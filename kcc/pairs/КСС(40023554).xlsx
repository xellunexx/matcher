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Документи\Проекти\Старчески домове\Електрически работи\"/>
    </mc:Choice>
  </mc:AlternateContent>
  <bookViews>
    <workbookView xWindow="0" yWindow="0" windowWidth="23040" windowHeight="9192"/>
  </bookViews>
  <sheets>
    <sheet name="КСС" sheetId="5" r:id="rId1"/>
  </sheets>
  <definedNames>
    <definedName name="_xlnm.Print_Area" localSheetId="0">КСС!$A$7:$D$16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9" i="5" l="1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60" i="5"/>
  <c r="F61" i="5"/>
  <c r="F62" i="5"/>
  <c r="F63" i="5"/>
  <c r="F64" i="5"/>
  <c r="F65" i="5"/>
  <c r="F66" i="5"/>
  <c r="F67" i="5"/>
  <c r="F68" i="5"/>
  <c r="F18" i="5"/>
  <c r="F69" i="5" l="1"/>
  <c r="F75" i="5" s="1"/>
  <c r="F76" i="5" s="1"/>
  <c r="F77" i="5" s="1"/>
  <c r="F78" i="5" s="1"/>
  <c r="F79" i="5" s="1"/>
</calcChain>
</file>

<file path=xl/sharedStrings.xml><?xml version="1.0" encoding="utf-8"?>
<sst xmlns="http://schemas.openxmlformats.org/spreadsheetml/2006/main" count="119" uniqueCount="73">
  <si>
    <t xml:space="preserve">№ </t>
  </si>
  <si>
    <t>Наименование</t>
  </si>
  <si>
    <t>Мярка</t>
  </si>
  <si>
    <t>Количество</t>
  </si>
  <si>
    <t>бр.</t>
  </si>
  <si>
    <t>ВЪЗЛОЖИТЕЛ: Община Велико Търново</t>
  </si>
  <si>
    <t>м</t>
  </si>
  <si>
    <t>Общо без ДДС</t>
  </si>
  <si>
    <t>Ед. Цена</t>
  </si>
  <si>
    <t>Стойност</t>
  </si>
  <si>
    <t>.</t>
  </si>
  <si>
    <t>ЧАСТ ВЪНШНО ЕЛ. ЗАХРАНВАНЕ</t>
  </si>
  <si>
    <t>Направа на изкоп за шурфове 1,45/1/0,8</t>
  </si>
  <si>
    <t>Разкъртване на тротоар бетонен</t>
  </si>
  <si>
    <t>Разкъртване на тротоар с тротоарни плочки</t>
  </si>
  <si>
    <t>Рязане на асфалтова или бетонова настилка - едностранно</t>
  </si>
  <si>
    <t>Възстановяване на тротоар бетонен</t>
  </si>
  <si>
    <t>Възстановяване на тротоар с нови плочки</t>
  </si>
  <si>
    <t>Възстановяване на тротоар със стари плочки</t>
  </si>
  <si>
    <t>Демонтаж на бетонни бордюри</t>
  </si>
  <si>
    <t>Монтаж на бордюри - стари</t>
  </si>
  <si>
    <t>Възстановяване на асфалтова настилка - път</t>
  </si>
  <si>
    <t>Направа изкоп ІІІ категория 0,8х0,4 върху кабел</t>
  </si>
  <si>
    <t>Направа изкоп ІІІ категория 1,3х0,6 върху кабел</t>
  </si>
  <si>
    <t>Направа изкоп ІІІ категория 1,1х0,6 върху кабел</t>
  </si>
  <si>
    <t>Направа изкоп ІІІ категория 1,45х0,8 върху кабел</t>
  </si>
  <si>
    <t>Монтаж метална тръба при пресичане на газопровод до Ф140мм</t>
  </si>
  <si>
    <t>Направа на шахта за кабелен колектор 1/1,65/1,3 по конструктивен чертеж</t>
  </si>
  <si>
    <t>Направа на шахта за кабелен колектор 1/1/1,45 по конструктивен чертеж</t>
  </si>
  <si>
    <t>Монтаж на РVС тръби Ф110 в бетонов кожух, с дебелина на тръбитe мин. 3,2 мм</t>
  </si>
  <si>
    <t>Монтаж на РVС тръби Ф110 в изкоп, с дебелина на тръбитe мин. 3,2 мм</t>
  </si>
  <si>
    <t>Монтаж на РVС тръби Ф140 в изкоп, с дебелина на тръбитe мин. 4,1 мм</t>
  </si>
  <si>
    <t>Монтаж на метални тръби тръби Ф110 в изкоп, с дебелина на тръбитe мин. 3,2 мм</t>
  </si>
  <si>
    <t>Монтаж на метални тръби тръби Ф140 в изкоп, с дебелина на тръбитe мин. 4,1 мм</t>
  </si>
  <si>
    <t>Разбиване на същ. шахта за кабелен колектор</t>
  </si>
  <si>
    <t>Доставка и монтаж  на кабелни марки</t>
  </si>
  <si>
    <t>Доставка и монтаж на табелка с диспечерско наименование на кабелна касета и електромерно табло</t>
  </si>
  <si>
    <t>Направа на кабелна глава НН до 4х185мм2</t>
  </si>
  <si>
    <t>Подвързване на кабел към съществуващо табло/съоръжение</t>
  </si>
  <si>
    <t>Сфазировка на кабелна линия НН</t>
  </si>
  <si>
    <t>Монтаж на касета ПВЦ4</t>
  </si>
  <si>
    <t>Монтаж на комбиниран кабелен шкаф с електромерна секция</t>
  </si>
  <si>
    <t>Направа на заземление с един кол</t>
  </si>
  <si>
    <t>Полагане на поцинкована шина 40/4 мм в изкоп</t>
  </si>
  <si>
    <t>Измерване на съпротивлението на точка</t>
  </si>
  <si>
    <t>Изпитване изолацията на кабел НН</t>
  </si>
  <si>
    <t>Натоварване и извозване на строителни отпадъци</t>
  </si>
  <si>
    <t>Направа на подложка с пясък и покриване с ПВЦ лента</t>
  </si>
  <si>
    <t>Запушване на свободни тръби с тапи</t>
  </si>
  <si>
    <t>Запушване на заети тръби с негорим и пожроустойчив материал</t>
  </si>
  <si>
    <t>Доставка на съоръжения и материали</t>
  </si>
  <si>
    <t>Доставка на касета ПВЦ4  - по схема</t>
  </si>
  <si>
    <t>Доставка на комбинирана кабелна касета с електромерна секция  - по схема</t>
  </si>
  <si>
    <t xml:space="preserve">Доставка на заземител постоянен вертикален 63/63/6/1500мм </t>
  </si>
  <si>
    <t>Доставка на шина заземителна поцинкована 40/4 6м</t>
  </si>
  <si>
    <t xml:space="preserve">Капак/адаптер за 3бр. кабели за херметичен преход - HIS 150-D </t>
  </si>
  <si>
    <t>Обувки AL 185мм2</t>
  </si>
  <si>
    <t>Доставка на ВП НН NH-2 315А</t>
  </si>
  <si>
    <r>
      <t>м</t>
    </r>
    <r>
      <rPr>
        <vertAlign val="superscript"/>
        <sz val="10"/>
        <color rgb="FF000000"/>
        <rFont val="Arial"/>
        <family val="2"/>
        <charset val="204"/>
      </rPr>
      <t>2</t>
    </r>
  </si>
  <si>
    <r>
      <t>Полагане на кабел в изкоп  до 4х185мм</t>
    </r>
    <r>
      <rPr>
        <vertAlign val="superscript"/>
        <sz val="10"/>
        <color theme="1"/>
        <rFont val="Arial"/>
        <family val="2"/>
        <charset val="204"/>
      </rPr>
      <t>2</t>
    </r>
  </si>
  <si>
    <r>
      <t>Изтегляне на кабел до 4x185мм</t>
    </r>
    <r>
      <rPr>
        <vertAlign val="superscript"/>
        <sz val="10"/>
        <color rgb="FF000000"/>
        <rFont val="Arial"/>
        <family val="2"/>
        <charset val="204"/>
      </rPr>
      <t>2</t>
    </r>
    <r>
      <rPr>
        <sz val="10"/>
        <color rgb="FF000000"/>
        <rFont val="Calibri"/>
        <family val="2"/>
        <charset val="204"/>
        <scheme val="minor"/>
      </rPr>
      <t xml:space="preserve"> в тръби </t>
    </r>
  </si>
  <si>
    <r>
      <t>Изваждане на кабел от изкоп до 4х185мм</t>
    </r>
    <r>
      <rPr>
        <vertAlign val="superscript"/>
        <sz val="10"/>
        <color rgb="FF000000"/>
        <rFont val="Arial"/>
        <family val="2"/>
        <charset val="204"/>
      </rPr>
      <t>2</t>
    </r>
  </si>
  <si>
    <r>
      <t>м</t>
    </r>
    <r>
      <rPr>
        <vertAlign val="superscript"/>
        <sz val="10"/>
        <color rgb="FF000000"/>
        <rFont val="Arial"/>
        <family val="2"/>
        <charset val="204"/>
      </rPr>
      <t>3</t>
    </r>
  </si>
  <si>
    <r>
      <t>Доставка на кабел тип NAYY 4X185 мм</t>
    </r>
    <r>
      <rPr>
        <vertAlign val="superscript"/>
        <sz val="10"/>
        <color rgb="FF000000"/>
        <rFont val="Arial"/>
        <family val="2"/>
        <charset val="204"/>
      </rPr>
      <t>2</t>
    </r>
  </si>
  <si>
    <r>
      <t>Доставка на кабел тип NAYY 3X185+95 мм</t>
    </r>
    <r>
      <rPr>
        <vertAlign val="superscript"/>
        <sz val="10"/>
        <color rgb="FF000000"/>
        <rFont val="Arial"/>
        <family val="2"/>
        <charset val="204"/>
      </rPr>
      <t>2</t>
    </r>
  </si>
  <si>
    <t>ЧАСТ :ПСД</t>
  </si>
  <si>
    <t>Количествено - стойностна сметка</t>
  </si>
  <si>
    <t>ОБЩА СТОЙНОСТ СМР БЕЗ НЕПРЕДВИДЕНИ РАЗХОДИ (ЛВ. БЕЗ ДДС)</t>
  </si>
  <si>
    <t>НЕПРЕДВИДЕНИ РАЗХОДИ (до 10%)</t>
  </si>
  <si>
    <t>ОБЩА СТОЙНОСТ СМР  (ЛВ. БЕЗ ДДС)</t>
  </si>
  <si>
    <t>ДДС 20%</t>
  </si>
  <si>
    <t>ОБЩА СТОЙНОСТ СМР С ДДС 20%</t>
  </si>
  <si>
    <t>ОБЕКТ: Изграждане на външно електрическо захранване във връзка с изпълнение на инвестиция: „Реформиране на Дом за стари хора "Венета Ботева" гр. Велико Търново“.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</si>
</sst>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лв.&quot;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0"/>
      <name val="Arial"/>
      <family val="2"/>
      <charset val="204"/>
    </font>
    <font>
      <u/>
      <sz val="11"/>
      <color theme="10"/>
      <name val="Calibri"/>
      <family val="2"/>
      <charset val="204"/>
    </font>
    <font>
      <b/>
      <sz val="8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vertAlign val="superscript"/>
      <sz val="10"/>
      <color rgb="FF000000"/>
      <name val="Arial"/>
      <family val="2"/>
      <charset val="204"/>
    </font>
    <font>
      <vertAlign val="superscript"/>
      <sz val="10"/>
      <color theme="1"/>
      <name val="Arial"/>
      <family val="2"/>
      <charset val="204"/>
    </font>
    <font>
      <sz val="10"/>
      <color rgb="FF000000"/>
      <name val="Calibri"/>
      <family val="2"/>
      <charset val="204"/>
      <scheme val="minor"/>
    </font>
    <font>
      <b/>
      <sz val="10"/>
      <color rgb="FF00000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7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4" fontId="10" fillId="3" borderId="4" xfId="0" applyNumberFormat="1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vertical="center"/>
    </xf>
    <xf numFmtId="0" fontId="10" fillId="3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vertical="center" wrapText="1"/>
    </xf>
    <xf numFmtId="0" fontId="10" fillId="0" borderId="4" xfId="0" applyFont="1" applyBorder="1" applyAlignment="1">
      <alignment horizontal="center" vertical="center"/>
    </xf>
    <xf numFmtId="0" fontId="10" fillId="3" borderId="4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vertical="center"/>
    </xf>
    <xf numFmtId="0" fontId="10" fillId="3" borderId="7" xfId="0" applyFont="1" applyFill="1" applyBorder="1" applyAlignment="1">
      <alignment horizontal="center" vertical="center"/>
    </xf>
    <xf numFmtId="164" fontId="10" fillId="3" borderId="7" xfId="0" applyNumberFormat="1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vertical="center" wrapText="1"/>
    </xf>
    <xf numFmtId="0" fontId="10" fillId="3" borderId="9" xfId="0" applyFont="1" applyFill="1" applyBorder="1" applyAlignment="1">
      <alignment horizontal="center" vertical="center"/>
    </xf>
    <xf numFmtId="164" fontId="10" fillId="3" borderId="9" xfId="0" applyNumberFormat="1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vertical="center" wrapText="1"/>
    </xf>
    <xf numFmtId="164" fontId="10" fillId="3" borderId="3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left" wrapText="1"/>
    </xf>
    <xf numFmtId="0" fontId="7" fillId="4" borderId="1" xfId="0" applyFont="1" applyFill="1" applyBorder="1" applyAlignment="1">
      <alignment horizontal="center" wrapText="1"/>
    </xf>
    <xf numFmtId="0" fontId="15" fillId="4" borderId="1" xfId="0" applyFont="1" applyFill="1" applyBorder="1" applyAlignment="1">
      <alignment horizontal="left" wrapText="1"/>
    </xf>
    <xf numFmtId="0" fontId="7" fillId="5" borderId="1" xfId="0" applyFont="1" applyFill="1" applyBorder="1" applyAlignment="1">
      <alignment horizontal="center" wrapText="1"/>
    </xf>
    <xf numFmtId="0" fontId="15" fillId="5" borderId="1" xfId="0" applyFont="1" applyFill="1" applyBorder="1" applyAlignment="1">
      <alignment horizontal="left" wrapText="1"/>
    </xf>
    <xf numFmtId="0" fontId="15" fillId="0" borderId="1" xfId="0" applyFont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2" fontId="15" fillId="5" borderId="1" xfId="0" applyNumberFormat="1" applyFont="1" applyFill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5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164" fontId="10" fillId="3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/>
    </xf>
    <xf numFmtId="2" fontId="8" fillId="4" borderId="1" xfId="0" applyNumberFormat="1" applyFont="1" applyFill="1" applyBorder="1" applyAlignment="1">
      <alignment horizontal="center"/>
    </xf>
    <xf numFmtId="2" fontId="8" fillId="5" borderId="1" xfId="0" applyNumberFormat="1" applyFont="1" applyFill="1" applyBorder="1" applyAlignment="1">
      <alignment horizontal="center"/>
    </xf>
    <xf numFmtId="0" fontId="14" fillId="0" borderId="1" xfId="0" applyFont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3">
    <cellStyle name="Hyperlink 2" xfId="2"/>
    <cellStyle name="Normal 2" xfId="1"/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5:G90"/>
  <sheetViews>
    <sheetView tabSelected="1" zoomScale="115" zoomScaleNormal="115" workbookViewId="0">
      <selection activeCell="A7" sqref="A7:F7"/>
    </sheetView>
  </sheetViews>
  <sheetFormatPr defaultColWidth="9.109375" defaultRowHeight="13.8" x14ac:dyDescent="0.3"/>
  <cols>
    <col min="1" max="1" width="6.109375" style="1" customWidth="1"/>
    <col min="2" max="2" width="78.6640625" style="2" customWidth="1"/>
    <col min="3" max="3" width="8.109375" style="1" bestFit="1" customWidth="1"/>
    <col min="4" max="4" width="13.5546875" style="59" bestFit="1" customWidth="1"/>
    <col min="5" max="5" width="14.6640625" style="42" customWidth="1"/>
    <col min="6" max="6" width="18.88671875" style="42" customWidth="1"/>
    <col min="7" max="7" width="13.109375" style="2" customWidth="1"/>
    <col min="8" max="8" width="9.109375" style="2"/>
    <col min="9" max="9" width="14.5546875" style="2" bestFit="1" customWidth="1"/>
    <col min="10" max="16384" width="9.109375" style="2"/>
  </cols>
  <sheetData>
    <row r="5" spans="1:6" x14ac:dyDescent="0.3">
      <c r="A5" s="73" t="s">
        <v>5</v>
      </c>
      <c r="B5" s="73"/>
      <c r="C5" s="73"/>
      <c r="D5" s="73"/>
      <c r="E5" s="73"/>
      <c r="F5" s="73"/>
    </row>
    <row r="7" spans="1:6" s="3" customFormat="1" ht="53.25" customHeight="1" x14ac:dyDescent="0.3">
      <c r="A7" s="75" t="s">
        <v>72</v>
      </c>
      <c r="B7" s="75"/>
      <c r="C7" s="75"/>
      <c r="D7" s="75"/>
      <c r="E7" s="75"/>
      <c r="F7" s="75"/>
    </row>
    <row r="8" spans="1:6" s="3" customFormat="1" x14ac:dyDescent="0.3">
      <c r="A8" s="75"/>
      <c r="B8" s="75"/>
      <c r="C8" s="75"/>
      <c r="D8" s="75"/>
      <c r="E8" s="75"/>
      <c r="F8" s="75"/>
    </row>
    <row r="9" spans="1:6" s="3" customFormat="1" x14ac:dyDescent="0.3">
      <c r="C9" s="1"/>
      <c r="D9" s="56"/>
      <c r="E9" s="1"/>
      <c r="F9" s="1"/>
    </row>
    <row r="10" spans="1:6" s="3" customFormat="1" x14ac:dyDescent="0.3">
      <c r="A10" s="74"/>
      <c r="B10" s="74"/>
      <c r="C10" s="74"/>
      <c r="D10" s="74"/>
      <c r="E10" s="74"/>
      <c r="F10" s="74"/>
    </row>
    <row r="11" spans="1:6" s="3" customFormat="1" x14ac:dyDescent="0.3">
      <c r="A11" s="73" t="s">
        <v>65</v>
      </c>
      <c r="B11" s="73"/>
      <c r="C11" s="73"/>
      <c r="D11" s="73"/>
      <c r="E11" s="73"/>
      <c r="F11" s="73"/>
    </row>
    <row r="12" spans="1:6" x14ac:dyDescent="0.3">
      <c r="A12" s="76"/>
      <c r="B12" s="76"/>
      <c r="C12" s="76"/>
      <c r="D12" s="76"/>
      <c r="E12" s="76"/>
      <c r="F12" s="76"/>
    </row>
    <row r="13" spans="1:6" ht="20.399999999999999" x14ac:dyDescent="0.3">
      <c r="A13" s="78" t="s">
        <v>66</v>
      </c>
      <c r="B13" s="78"/>
      <c r="C13" s="78"/>
      <c r="D13" s="78"/>
      <c r="E13" s="78"/>
      <c r="F13" s="78"/>
    </row>
    <row r="15" spans="1:6" s="4" customFormat="1" x14ac:dyDescent="0.3">
      <c r="A15" s="7" t="s">
        <v>0</v>
      </c>
      <c r="B15" s="7" t="s">
        <v>1</v>
      </c>
      <c r="C15" s="32" t="s">
        <v>2</v>
      </c>
      <c r="D15" s="57" t="s">
        <v>3</v>
      </c>
      <c r="E15" s="9" t="s">
        <v>8</v>
      </c>
      <c r="F15" s="9" t="s">
        <v>9</v>
      </c>
    </row>
    <row r="16" spans="1:6" s="5" customFormat="1" x14ac:dyDescent="0.3">
      <c r="A16" s="8">
        <v>1</v>
      </c>
      <c r="B16" s="8">
        <v>2</v>
      </c>
      <c r="C16" s="8">
        <v>3</v>
      </c>
      <c r="D16" s="58">
        <v>4</v>
      </c>
      <c r="E16" s="10">
        <v>5</v>
      </c>
      <c r="F16" s="10">
        <v>6</v>
      </c>
    </row>
    <row r="17" spans="1:7" ht="14.4" thickBot="1" x14ac:dyDescent="0.35">
      <c r="A17" s="77" t="s">
        <v>11</v>
      </c>
      <c r="B17" s="77"/>
      <c r="C17" s="77"/>
      <c r="D17" s="77"/>
      <c r="E17" s="77"/>
      <c r="F17" s="77"/>
      <c r="G17" s="6"/>
    </row>
    <row r="18" spans="1:7" ht="14.4" thickBot="1" x14ac:dyDescent="0.35">
      <c r="A18" s="11">
        <v>1</v>
      </c>
      <c r="B18" s="12" t="s">
        <v>12</v>
      </c>
      <c r="C18" s="13" t="s">
        <v>4</v>
      </c>
      <c r="D18" s="60">
        <v>3</v>
      </c>
      <c r="E18" s="14"/>
      <c r="F18" s="14">
        <f>D18*E18</f>
        <v>0</v>
      </c>
      <c r="G18" s="6"/>
    </row>
    <row r="19" spans="1:7" ht="16.2" thickBot="1" x14ac:dyDescent="0.35">
      <c r="A19" s="15">
        <v>2</v>
      </c>
      <c r="B19" s="16" t="s">
        <v>13</v>
      </c>
      <c r="C19" s="17" t="s">
        <v>58</v>
      </c>
      <c r="D19" s="61">
        <v>65</v>
      </c>
      <c r="E19" s="14"/>
      <c r="F19" s="14">
        <f t="shared" ref="F19:F68" si="0">D19*E19</f>
        <v>0</v>
      </c>
      <c r="G19" s="6"/>
    </row>
    <row r="20" spans="1:7" ht="16.2" thickBot="1" x14ac:dyDescent="0.35">
      <c r="A20" s="15">
        <v>3</v>
      </c>
      <c r="B20" s="16" t="s">
        <v>14</v>
      </c>
      <c r="C20" s="17" t="s">
        <v>58</v>
      </c>
      <c r="D20" s="61">
        <v>1</v>
      </c>
      <c r="E20" s="14"/>
      <c r="F20" s="14">
        <f t="shared" si="0"/>
        <v>0</v>
      </c>
      <c r="G20" s="6"/>
    </row>
    <row r="21" spans="1:7" ht="14.4" thickBot="1" x14ac:dyDescent="0.35">
      <c r="A21" s="15">
        <v>4</v>
      </c>
      <c r="B21" s="16" t="s">
        <v>15</v>
      </c>
      <c r="C21" s="17" t="s">
        <v>6</v>
      </c>
      <c r="D21" s="61">
        <v>185</v>
      </c>
      <c r="E21" s="14"/>
      <c r="F21" s="14">
        <f t="shared" si="0"/>
        <v>0</v>
      </c>
      <c r="G21" s="6"/>
    </row>
    <row r="22" spans="1:7" ht="16.2" thickBot="1" x14ac:dyDescent="0.35">
      <c r="A22" s="15">
        <v>5</v>
      </c>
      <c r="B22" s="16" t="s">
        <v>16</v>
      </c>
      <c r="C22" s="17" t="s">
        <v>58</v>
      </c>
      <c r="D22" s="61">
        <v>65</v>
      </c>
      <c r="E22" s="14"/>
      <c r="F22" s="14">
        <f t="shared" si="0"/>
        <v>0</v>
      </c>
      <c r="G22" s="6"/>
    </row>
    <row r="23" spans="1:7" ht="16.2" thickBot="1" x14ac:dyDescent="0.35">
      <c r="A23" s="15">
        <v>6</v>
      </c>
      <c r="B23" s="16" t="s">
        <v>17</v>
      </c>
      <c r="C23" s="17" t="s">
        <v>58</v>
      </c>
      <c r="D23" s="61">
        <v>1</v>
      </c>
      <c r="E23" s="14"/>
      <c r="F23" s="14">
        <f t="shared" si="0"/>
        <v>0</v>
      </c>
      <c r="G23" s="6"/>
    </row>
    <row r="24" spans="1:7" ht="16.2" thickBot="1" x14ac:dyDescent="0.35">
      <c r="A24" s="15">
        <v>7</v>
      </c>
      <c r="B24" s="16" t="s">
        <v>18</v>
      </c>
      <c r="C24" s="17" t="s">
        <v>58</v>
      </c>
      <c r="D24" s="61">
        <v>39</v>
      </c>
      <c r="E24" s="14"/>
      <c r="F24" s="14">
        <f t="shared" si="0"/>
        <v>0</v>
      </c>
      <c r="G24" s="6"/>
    </row>
    <row r="25" spans="1:7" ht="14.4" thickBot="1" x14ac:dyDescent="0.35">
      <c r="A25" s="15">
        <v>8</v>
      </c>
      <c r="B25" s="16" t="s">
        <v>19</v>
      </c>
      <c r="C25" s="17" t="s">
        <v>4</v>
      </c>
      <c r="D25" s="61">
        <v>2</v>
      </c>
      <c r="E25" s="14"/>
      <c r="F25" s="14">
        <f t="shared" si="0"/>
        <v>0</v>
      </c>
      <c r="G25" s="6"/>
    </row>
    <row r="26" spans="1:7" ht="14.4" thickBot="1" x14ac:dyDescent="0.35">
      <c r="A26" s="15">
        <v>9</v>
      </c>
      <c r="B26" s="16" t="s">
        <v>20</v>
      </c>
      <c r="C26" s="17" t="s">
        <v>4</v>
      </c>
      <c r="D26" s="61">
        <v>2</v>
      </c>
      <c r="E26" s="14"/>
      <c r="F26" s="14">
        <f t="shared" si="0"/>
        <v>0</v>
      </c>
      <c r="G26" s="6"/>
    </row>
    <row r="27" spans="1:7" ht="16.2" thickBot="1" x14ac:dyDescent="0.35">
      <c r="A27" s="15">
        <v>10</v>
      </c>
      <c r="B27" s="16" t="s">
        <v>21</v>
      </c>
      <c r="C27" s="17" t="s">
        <v>58</v>
      </c>
      <c r="D27" s="61">
        <v>11.7</v>
      </c>
      <c r="E27" s="14"/>
      <c r="F27" s="14">
        <f t="shared" si="0"/>
        <v>0</v>
      </c>
      <c r="G27" s="6"/>
    </row>
    <row r="28" spans="1:7" ht="14.4" thickBot="1" x14ac:dyDescent="0.35">
      <c r="A28" s="15">
        <v>11</v>
      </c>
      <c r="B28" s="16" t="s">
        <v>22</v>
      </c>
      <c r="C28" s="17" t="s">
        <v>6</v>
      </c>
      <c r="D28" s="61">
        <v>56</v>
      </c>
      <c r="E28" s="14"/>
      <c r="F28" s="14">
        <f t="shared" si="0"/>
        <v>0</v>
      </c>
      <c r="G28" s="6"/>
    </row>
    <row r="29" spans="1:7" ht="14.4" thickBot="1" x14ac:dyDescent="0.35">
      <c r="A29" s="15">
        <v>12</v>
      </c>
      <c r="B29" s="16" t="s">
        <v>23</v>
      </c>
      <c r="C29" s="17" t="s">
        <v>6</v>
      </c>
      <c r="D29" s="61">
        <v>14</v>
      </c>
      <c r="E29" s="14"/>
      <c r="F29" s="14">
        <f t="shared" si="0"/>
        <v>0</v>
      </c>
      <c r="G29" s="6"/>
    </row>
    <row r="30" spans="1:7" ht="14.4" thickBot="1" x14ac:dyDescent="0.35">
      <c r="A30" s="15">
        <v>13</v>
      </c>
      <c r="B30" s="16" t="s">
        <v>24</v>
      </c>
      <c r="C30" s="17" t="s">
        <v>6</v>
      </c>
      <c r="D30" s="61">
        <v>36.700000000000003</v>
      </c>
      <c r="E30" s="14"/>
      <c r="F30" s="14">
        <f t="shared" si="0"/>
        <v>0</v>
      </c>
      <c r="G30" s="6"/>
    </row>
    <row r="31" spans="1:7" ht="14.4" thickBot="1" x14ac:dyDescent="0.35">
      <c r="A31" s="15">
        <v>14</v>
      </c>
      <c r="B31" s="16" t="s">
        <v>25</v>
      </c>
      <c r="C31" s="17" t="s">
        <v>6</v>
      </c>
      <c r="D31" s="61">
        <v>10.5</v>
      </c>
      <c r="E31" s="14"/>
      <c r="F31" s="14">
        <f t="shared" si="0"/>
        <v>0</v>
      </c>
      <c r="G31" s="6"/>
    </row>
    <row r="32" spans="1:7" ht="14.4" thickBot="1" x14ac:dyDescent="0.35">
      <c r="A32" s="15">
        <v>15</v>
      </c>
      <c r="B32" s="18" t="s">
        <v>26</v>
      </c>
      <c r="C32" s="19" t="s">
        <v>6</v>
      </c>
      <c r="D32" s="62">
        <v>44</v>
      </c>
      <c r="E32" s="14"/>
      <c r="F32" s="14">
        <f t="shared" si="0"/>
        <v>0</v>
      </c>
      <c r="G32" s="6"/>
    </row>
    <row r="33" spans="1:7" ht="14.4" thickBot="1" x14ac:dyDescent="0.35">
      <c r="A33" s="15">
        <v>16</v>
      </c>
      <c r="B33" s="20" t="s">
        <v>27</v>
      </c>
      <c r="C33" s="17" t="s">
        <v>4</v>
      </c>
      <c r="D33" s="61">
        <v>1</v>
      </c>
      <c r="E33" s="14"/>
      <c r="F33" s="14">
        <f t="shared" si="0"/>
        <v>0</v>
      </c>
      <c r="G33" s="6"/>
    </row>
    <row r="34" spans="1:7" ht="14.4" thickBot="1" x14ac:dyDescent="0.35">
      <c r="A34" s="15">
        <v>17</v>
      </c>
      <c r="B34" s="20" t="s">
        <v>28</v>
      </c>
      <c r="C34" s="17" t="s">
        <v>4</v>
      </c>
      <c r="D34" s="61">
        <v>3</v>
      </c>
      <c r="E34" s="14"/>
      <c r="F34" s="14">
        <f t="shared" si="0"/>
        <v>0</v>
      </c>
      <c r="G34" s="6"/>
    </row>
    <row r="35" spans="1:7" ht="14.4" thickBot="1" x14ac:dyDescent="0.35">
      <c r="A35" s="15">
        <v>18</v>
      </c>
      <c r="B35" s="18" t="s">
        <v>29</v>
      </c>
      <c r="C35" s="19" t="s">
        <v>6</v>
      </c>
      <c r="D35" s="62">
        <v>112</v>
      </c>
      <c r="E35" s="14"/>
      <c r="F35" s="14">
        <f t="shared" si="0"/>
        <v>0</v>
      </c>
      <c r="G35" s="6"/>
    </row>
    <row r="36" spans="1:7" ht="14.4" thickBot="1" x14ac:dyDescent="0.35">
      <c r="A36" s="15">
        <v>19</v>
      </c>
      <c r="B36" s="18" t="s">
        <v>30</v>
      </c>
      <c r="C36" s="19" t="s">
        <v>6</v>
      </c>
      <c r="D36" s="62">
        <v>417</v>
      </c>
      <c r="E36" s="14"/>
      <c r="F36" s="14">
        <f t="shared" si="0"/>
        <v>0</v>
      </c>
      <c r="G36" s="6"/>
    </row>
    <row r="37" spans="1:7" ht="14.4" thickBot="1" x14ac:dyDescent="0.35">
      <c r="A37" s="15">
        <v>20</v>
      </c>
      <c r="B37" s="18" t="s">
        <v>31</v>
      </c>
      <c r="C37" s="19" t="s">
        <v>6</v>
      </c>
      <c r="D37" s="62">
        <v>43</v>
      </c>
      <c r="E37" s="14"/>
      <c r="F37" s="14">
        <f t="shared" si="0"/>
        <v>0</v>
      </c>
      <c r="G37" s="6"/>
    </row>
    <row r="38" spans="1:7" ht="14.4" thickBot="1" x14ac:dyDescent="0.35">
      <c r="A38" s="15">
        <v>21</v>
      </c>
      <c r="B38" s="18" t="s">
        <v>32</v>
      </c>
      <c r="C38" s="19" t="s">
        <v>6</v>
      </c>
      <c r="D38" s="62">
        <v>80</v>
      </c>
      <c r="E38" s="14"/>
      <c r="F38" s="14">
        <f t="shared" si="0"/>
        <v>0</v>
      </c>
      <c r="G38" s="6"/>
    </row>
    <row r="39" spans="1:7" ht="14.4" thickBot="1" x14ac:dyDescent="0.35">
      <c r="A39" s="15">
        <v>22</v>
      </c>
      <c r="B39" s="18" t="s">
        <v>33</v>
      </c>
      <c r="C39" s="19" t="s">
        <v>6</v>
      </c>
      <c r="D39" s="62">
        <v>12</v>
      </c>
      <c r="E39" s="14"/>
      <c r="F39" s="14">
        <f t="shared" si="0"/>
        <v>0</v>
      </c>
      <c r="G39" s="6"/>
    </row>
    <row r="40" spans="1:7" ht="14.4" thickBot="1" x14ac:dyDescent="0.35">
      <c r="A40" s="15">
        <v>23</v>
      </c>
      <c r="B40" s="21" t="s">
        <v>34</v>
      </c>
      <c r="C40" s="19" t="s">
        <v>4</v>
      </c>
      <c r="D40" s="62">
        <v>2</v>
      </c>
      <c r="E40" s="14"/>
      <c r="F40" s="14">
        <f t="shared" si="0"/>
        <v>0</v>
      </c>
      <c r="G40" s="6"/>
    </row>
    <row r="41" spans="1:7" ht="16.2" thickBot="1" x14ac:dyDescent="0.35">
      <c r="A41" s="15">
        <v>24</v>
      </c>
      <c r="B41" s="16" t="s">
        <v>59</v>
      </c>
      <c r="C41" s="17" t="s">
        <v>6</v>
      </c>
      <c r="D41" s="61">
        <v>56</v>
      </c>
      <c r="E41" s="14"/>
      <c r="F41" s="14">
        <f t="shared" si="0"/>
        <v>0</v>
      </c>
      <c r="G41" s="6"/>
    </row>
    <row r="42" spans="1:7" ht="16.2" thickBot="1" x14ac:dyDescent="0.35">
      <c r="A42" s="15">
        <v>25</v>
      </c>
      <c r="B42" s="16" t="s">
        <v>60</v>
      </c>
      <c r="C42" s="17" t="s">
        <v>6</v>
      </c>
      <c r="D42" s="61">
        <v>659</v>
      </c>
      <c r="E42" s="14"/>
      <c r="F42" s="14">
        <f t="shared" si="0"/>
        <v>0</v>
      </c>
      <c r="G42" s="6"/>
    </row>
    <row r="43" spans="1:7" ht="14.4" thickBot="1" x14ac:dyDescent="0.35">
      <c r="A43" s="22">
        <v>26</v>
      </c>
      <c r="B43" s="23" t="s">
        <v>35</v>
      </c>
      <c r="C43" s="24" t="s">
        <v>4</v>
      </c>
      <c r="D43" s="63">
        <v>40</v>
      </c>
      <c r="E43" s="25"/>
      <c r="F43" s="14">
        <f t="shared" si="0"/>
        <v>0</v>
      </c>
      <c r="G43" s="6"/>
    </row>
    <row r="44" spans="1:7" ht="27" thickBot="1" x14ac:dyDescent="0.35">
      <c r="A44" s="26">
        <v>27</v>
      </c>
      <c r="B44" s="27" t="s">
        <v>36</v>
      </c>
      <c r="C44" s="28" t="s">
        <v>4</v>
      </c>
      <c r="D44" s="64">
        <v>2</v>
      </c>
      <c r="E44" s="29"/>
      <c r="F44" s="14">
        <f t="shared" si="0"/>
        <v>0</v>
      </c>
      <c r="G44" s="6"/>
    </row>
    <row r="45" spans="1:7" ht="16.2" thickBot="1" x14ac:dyDescent="0.35">
      <c r="A45" s="26">
        <v>28</v>
      </c>
      <c r="B45" s="27" t="s">
        <v>61</v>
      </c>
      <c r="C45" s="28" t="s">
        <v>6</v>
      </c>
      <c r="D45" s="64">
        <v>10</v>
      </c>
      <c r="E45" s="29"/>
      <c r="F45" s="14">
        <f t="shared" si="0"/>
        <v>0</v>
      </c>
      <c r="G45" s="6"/>
    </row>
    <row r="46" spans="1:7" ht="14.4" thickBot="1" x14ac:dyDescent="0.35">
      <c r="A46" s="26">
        <v>29</v>
      </c>
      <c r="B46" s="27" t="s">
        <v>37</v>
      </c>
      <c r="C46" s="28" t="s">
        <v>4</v>
      </c>
      <c r="D46" s="64">
        <v>9</v>
      </c>
      <c r="E46" s="29"/>
      <c r="F46" s="14">
        <f t="shared" si="0"/>
        <v>0</v>
      </c>
      <c r="G46" s="6"/>
    </row>
    <row r="47" spans="1:7" ht="14.4" thickBot="1" x14ac:dyDescent="0.35">
      <c r="A47" s="26">
        <v>30</v>
      </c>
      <c r="B47" s="27" t="s">
        <v>38</v>
      </c>
      <c r="C47" s="28" t="s">
        <v>4</v>
      </c>
      <c r="D47" s="64">
        <v>3</v>
      </c>
      <c r="E47" s="29"/>
      <c r="F47" s="14">
        <f t="shared" si="0"/>
        <v>0</v>
      </c>
      <c r="G47" s="6"/>
    </row>
    <row r="48" spans="1:7" ht="14.4" thickBot="1" x14ac:dyDescent="0.35">
      <c r="A48" s="11">
        <v>31</v>
      </c>
      <c r="B48" s="30" t="s">
        <v>39</v>
      </c>
      <c r="C48" s="13" t="s">
        <v>4</v>
      </c>
      <c r="D48" s="60">
        <v>4</v>
      </c>
      <c r="E48" s="31"/>
      <c r="F48" s="14">
        <f t="shared" si="0"/>
        <v>0</v>
      </c>
      <c r="G48" s="6"/>
    </row>
    <row r="49" spans="1:7" x14ac:dyDescent="0.3">
      <c r="A49" s="15">
        <v>32</v>
      </c>
      <c r="B49" s="20" t="s">
        <v>40</v>
      </c>
      <c r="C49" s="17" t="s">
        <v>4</v>
      </c>
      <c r="D49" s="61">
        <v>1</v>
      </c>
      <c r="E49" s="14"/>
      <c r="F49" s="14">
        <f t="shared" si="0"/>
        <v>0</v>
      </c>
      <c r="G49" s="6"/>
    </row>
    <row r="50" spans="1:7" x14ac:dyDescent="0.3">
      <c r="A50" s="53">
        <v>33</v>
      </c>
      <c r="B50" s="71" t="s">
        <v>41</v>
      </c>
      <c r="C50" s="53" t="s">
        <v>4</v>
      </c>
      <c r="D50" s="65">
        <v>1</v>
      </c>
      <c r="E50" s="54"/>
      <c r="F50" s="54">
        <f t="shared" si="0"/>
        <v>0</v>
      </c>
      <c r="G50" s="6"/>
    </row>
    <row r="51" spans="1:7" x14ac:dyDescent="0.3">
      <c r="A51" s="53">
        <v>34</v>
      </c>
      <c r="B51" s="71" t="s">
        <v>42</v>
      </c>
      <c r="C51" s="53" t="s">
        <v>4</v>
      </c>
      <c r="D51" s="65">
        <v>8</v>
      </c>
      <c r="E51" s="54"/>
      <c r="F51" s="54">
        <f t="shared" si="0"/>
        <v>0</v>
      </c>
      <c r="G51" s="6"/>
    </row>
    <row r="52" spans="1:7" x14ac:dyDescent="0.3">
      <c r="A52" s="53">
        <v>35</v>
      </c>
      <c r="B52" s="72" t="s">
        <v>43</v>
      </c>
      <c r="C52" s="53" t="s">
        <v>6</v>
      </c>
      <c r="D52" s="65">
        <v>6</v>
      </c>
      <c r="E52" s="54"/>
      <c r="F52" s="54">
        <f t="shared" si="0"/>
        <v>0</v>
      </c>
      <c r="G52" s="6"/>
    </row>
    <row r="53" spans="1:7" x14ac:dyDescent="0.3">
      <c r="A53" s="53">
        <v>36</v>
      </c>
      <c r="B53" s="72" t="s">
        <v>44</v>
      </c>
      <c r="C53" s="53" t="s">
        <v>4</v>
      </c>
      <c r="D53" s="65">
        <v>4</v>
      </c>
      <c r="E53" s="54"/>
      <c r="F53" s="54">
        <f t="shared" si="0"/>
        <v>0</v>
      </c>
      <c r="G53" s="6"/>
    </row>
    <row r="54" spans="1:7" x14ac:dyDescent="0.3">
      <c r="A54" s="53">
        <v>37</v>
      </c>
      <c r="B54" s="72" t="s">
        <v>45</v>
      </c>
      <c r="C54" s="53" t="s">
        <v>4</v>
      </c>
      <c r="D54" s="65">
        <v>5</v>
      </c>
      <c r="E54" s="54"/>
      <c r="F54" s="54">
        <f t="shared" si="0"/>
        <v>0</v>
      </c>
      <c r="G54" s="6"/>
    </row>
    <row r="55" spans="1:7" ht="15.6" x14ac:dyDescent="0.3">
      <c r="A55" s="53">
        <v>38</v>
      </c>
      <c r="B55" s="72" t="s">
        <v>46</v>
      </c>
      <c r="C55" s="53" t="s">
        <v>62</v>
      </c>
      <c r="D55" s="65">
        <v>18.22</v>
      </c>
      <c r="E55" s="54"/>
      <c r="F55" s="54">
        <f t="shared" si="0"/>
        <v>0</v>
      </c>
      <c r="G55" s="6"/>
    </row>
    <row r="56" spans="1:7" x14ac:dyDescent="0.3">
      <c r="A56" s="53">
        <v>39</v>
      </c>
      <c r="B56" s="72" t="s">
        <v>47</v>
      </c>
      <c r="C56" s="53" t="s">
        <v>6</v>
      </c>
      <c r="D56" s="65">
        <v>6</v>
      </c>
      <c r="E56" s="54"/>
      <c r="F56" s="54">
        <f t="shared" si="0"/>
        <v>0</v>
      </c>
      <c r="G56" s="6"/>
    </row>
    <row r="57" spans="1:7" x14ac:dyDescent="0.3">
      <c r="A57" s="53">
        <v>40</v>
      </c>
      <c r="B57" s="72" t="s">
        <v>48</v>
      </c>
      <c r="C57" s="53" t="s">
        <v>4</v>
      </c>
      <c r="D57" s="65">
        <v>34</v>
      </c>
      <c r="E57" s="54"/>
      <c r="F57" s="54">
        <f t="shared" si="0"/>
        <v>0</v>
      </c>
      <c r="G57" s="6"/>
    </row>
    <row r="58" spans="1:7" x14ac:dyDescent="0.3">
      <c r="A58" s="53">
        <v>41</v>
      </c>
      <c r="B58" s="71" t="s">
        <v>49</v>
      </c>
      <c r="C58" s="53" t="s">
        <v>4</v>
      </c>
      <c r="D58" s="65">
        <v>30</v>
      </c>
      <c r="E58" s="54"/>
      <c r="F58" s="54">
        <f t="shared" si="0"/>
        <v>0</v>
      </c>
      <c r="G58" s="6"/>
    </row>
    <row r="59" spans="1:7" x14ac:dyDescent="0.3">
      <c r="A59" s="55"/>
      <c r="B59" s="70" t="s">
        <v>50</v>
      </c>
      <c r="C59" s="55"/>
      <c r="D59" s="66"/>
      <c r="E59" s="54"/>
      <c r="F59" s="54"/>
      <c r="G59" s="6"/>
    </row>
    <row r="60" spans="1:7" x14ac:dyDescent="0.3">
      <c r="A60" s="53">
        <v>1</v>
      </c>
      <c r="B60" s="71" t="s">
        <v>51</v>
      </c>
      <c r="C60" s="53" t="s">
        <v>4</v>
      </c>
      <c r="D60" s="65">
        <v>1</v>
      </c>
      <c r="E60" s="54"/>
      <c r="F60" s="54">
        <f t="shared" si="0"/>
        <v>0</v>
      </c>
      <c r="G60" s="6"/>
    </row>
    <row r="61" spans="1:7" x14ac:dyDescent="0.3">
      <c r="A61" s="53">
        <v>2</v>
      </c>
      <c r="B61" s="71" t="s">
        <v>52</v>
      </c>
      <c r="C61" s="53" t="s">
        <v>4</v>
      </c>
      <c r="D61" s="65">
        <v>1</v>
      </c>
      <c r="E61" s="54"/>
      <c r="F61" s="54">
        <f t="shared" si="0"/>
        <v>0</v>
      </c>
      <c r="G61" s="6"/>
    </row>
    <row r="62" spans="1:7" ht="15.6" x14ac:dyDescent="0.3">
      <c r="A62" s="53">
        <v>3</v>
      </c>
      <c r="B62" s="71" t="s">
        <v>63</v>
      </c>
      <c r="C62" s="53" t="s">
        <v>6</v>
      </c>
      <c r="D62" s="65">
        <v>116</v>
      </c>
      <c r="E62" s="54"/>
      <c r="F62" s="54">
        <f t="shared" si="0"/>
        <v>0</v>
      </c>
      <c r="G62" s="6"/>
    </row>
    <row r="63" spans="1:7" ht="16.2" thickBot="1" x14ac:dyDescent="0.35">
      <c r="A63" s="26">
        <v>4</v>
      </c>
      <c r="B63" s="27" t="s">
        <v>64</v>
      </c>
      <c r="C63" s="28" t="s">
        <v>6</v>
      </c>
      <c r="D63" s="64">
        <v>670</v>
      </c>
      <c r="E63" s="29"/>
      <c r="F63" s="31">
        <f t="shared" si="0"/>
        <v>0</v>
      </c>
      <c r="G63" s="6"/>
    </row>
    <row r="64" spans="1:7" ht="14.4" thickBot="1" x14ac:dyDescent="0.35">
      <c r="A64" s="26">
        <v>5</v>
      </c>
      <c r="B64" s="27" t="s">
        <v>53</v>
      </c>
      <c r="C64" s="28" t="s">
        <v>4</v>
      </c>
      <c r="D64" s="64">
        <v>4</v>
      </c>
      <c r="E64" s="29"/>
      <c r="F64" s="14">
        <f t="shared" si="0"/>
        <v>0</v>
      </c>
      <c r="G64" s="6"/>
    </row>
    <row r="65" spans="1:7" ht="14.4" thickBot="1" x14ac:dyDescent="0.35">
      <c r="A65" s="26">
        <v>6</v>
      </c>
      <c r="B65" s="27" t="s">
        <v>54</v>
      </c>
      <c r="C65" s="28" t="s">
        <v>4</v>
      </c>
      <c r="D65" s="64">
        <v>1</v>
      </c>
      <c r="E65" s="29"/>
      <c r="F65" s="14">
        <f t="shared" si="0"/>
        <v>0</v>
      </c>
      <c r="G65" s="6"/>
    </row>
    <row r="66" spans="1:7" ht="14.4" thickBot="1" x14ac:dyDescent="0.35">
      <c r="A66" s="26">
        <v>7</v>
      </c>
      <c r="B66" s="27" t="s">
        <v>55</v>
      </c>
      <c r="C66" s="28" t="s">
        <v>4</v>
      </c>
      <c r="D66" s="64">
        <v>2</v>
      </c>
      <c r="E66" s="29"/>
      <c r="F66" s="14">
        <f t="shared" si="0"/>
        <v>0</v>
      </c>
      <c r="G66" s="6"/>
    </row>
    <row r="67" spans="1:7" ht="14.4" thickBot="1" x14ac:dyDescent="0.35">
      <c r="A67" s="26">
        <v>8</v>
      </c>
      <c r="B67" s="27" t="s">
        <v>56</v>
      </c>
      <c r="C67" s="28" t="s">
        <v>4</v>
      </c>
      <c r="D67" s="64">
        <v>36</v>
      </c>
      <c r="E67" s="29"/>
      <c r="F67" s="14">
        <f t="shared" si="0"/>
        <v>0</v>
      </c>
      <c r="G67" s="6"/>
    </row>
    <row r="68" spans="1:7" ht="14.4" thickBot="1" x14ac:dyDescent="0.35">
      <c r="A68" s="26">
        <v>9</v>
      </c>
      <c r="B68" s="27" t="s">
        <v>57</v>
      </c>
      <c r="C68" s="28" t="s">
        <v>4</v>
      </c>
      <c r="D68" s="64">
        <v>6</v>
      </c>
      <c r="E68" s="31"/>
      <c r="F68" s="14">
        <f t="shared" si="0"/>
        <v>0</v>
      </c>
      <c r="G68" s="6"/>
    </row>
    <row r="69" spans="1:7" x14ac:dyDescent="0.3">
      <c r="E69" s="45" t="s">
        <v>7</v>
      </c>
      <c r="F69" s="9">
        <f>SUM(F18:F68)</f>
        <v>0</v>
      </c>
    </row>
    <row r="70" spans="1:7" x14ac:dyDescent="0.3">
      <c r="E70" s="46"/>
      <c r="F70" s="43"/>
    </row>
    <row r="71" spans="1:7" x14ac:dyDescent="0.3">
      <c r="E71" s="46"/>
      <c r="F71" s="43"/>
    </row>
    <row r="72" spans="1:7" x14ac:dyDescent="0.3">
      <c r="E72" s="46"/>
      <c r="F72" s="43"/>
    </row>
    <row r="73" spans="1:7" x14ac:dyDescent="0.3">
      <c r="E73" s="46"/>
      <c r="F73" s="43"/>
    </row>
    <row r="74" spans="1:7" x14ac:dyDescent="0.3">
      <c r="E74" s="46"/>
      <c r="F74" s="43"/>
    </row>
    <row r="75" spans="1:7" x14ac:dyDescent="0.25">
      <c r="A75" s="33"/>
      <c r="B75" s="34" t="s">
        <v>67</v>
      </c>
      <c r="C75" s="39"/>
      <c r="D75" s="67"/>
      <c r="E75" s="47"/>
      <c r="F75" s="50">
        <f>F69</f>
        <v>0</v>
      </c>
    </row>
    <row r="76" spans="1:7" x14ac:dyDescent="0.25">
      <c r="A76" s="33"/>
      <c r="B76" s="34" t="s">
        <v>68</v>
      </c>
      <c r="C76" s="39"/>
      <c r="D76" s="67"/>
      <c r="E76" s="47"/>
      <c r="F76" s="50">
        <f>F75*0.1</f>
        <v>0</v>
      </c>
    </row>
    <row r="77" spans="1:7" x14ac:dyDescent="0.25">
      <c r="A77" s="35"/>
      <c r="B77" s="36" t="s">
        <v>69</v>
      </c>
      <c r="C77" s="40"/>
      <c r="D77" s="68"/>
      <c r="E77" s="48"/>
      <c r="F77" s="51">
        <f>F76+F75</f>
        <v>0</v>
      </c>
    </row>
    <row r="78" spans="1:7" x14ac:dyDescent="0.25">
      <c r="A78" s="33"/>
      <c r="B78" s="34" t="s">
        <v>70</v>
      </c>
      <c r="C78" s="39"/>
      <c r="D78" s="67"/>
      <c r="E78" s="47"/>
      <c r="F78" s="50">
        <f>F77*0.2</f>
        <v>0</v>
      </c>
    </row>
    <row r="79" spans="1:7" x14ac:dyDescent="0.25">
      <c r="A79" s="37"/>
      <c r="B79" s="38" t="s">
        <v>71</v>
      </c>
      <c r="C79" s="41"/>
      <c r="D79" s="69"/>
      <c r="E79" s="49"/>
      <c r="F79" s="52">
        <f>F78+F77</f>
        <v>0</v>
      </c>
    </row>
    <row r="80" spans="1:7" x14ac:dyDescent="0.3">
      <c r="E80" s="46"/>
      <c r="F80" s="43"/>
    </row>
    <row r="88" spans="6:6" x14ac:dyDescent="0.3">
      <c r="F88" s="44"/>
    </row>
    <row r="89" spans="6:6" x14ac:dyDescent="0.3">
      <c r="F89" s="43"/>
    </row>
    <row r="90" spans="6:6" x14ac:dyDescent="0.3">
      <c r="F90" s="42" t="s">
        <v>10</v>
      </c>
    </row>
  </sheetData>
  <mergeCells count="8">
    <mergeCell ref="A17:F17"/>
    <mergeCell ref="A7:F7"/>
    <mergeCell ref="A13:F13"/>
    <mergeCell ref="A5:F5"/>
    <mergeCell ref="A10:F10"/>
    <mergeCell ref="A11:F11"/>
    <mergeCell ref="A8:F8"/>
    <mergeCell ref="A12:F12"/>
  </mergeCells>
  <pageMargins left="0.25" right="0.25" top="0.75" bottom="0.75" header="0.3" footer="0.3"/>
  <pageSetup paperSize="9" scale="9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1</vt:i4>
      </vt:variant>
      <vt:variant>
        <vt:lpstr>Наименувани диапазони</vt:lpstr>
      </vt:variant>
      <vt:variant>
        <vt:i4>1</vt:i4>
      </vt:variant>
    </vt:vector>
  </HeadingPairs>
  <TitlesOfParts>
    <vt:vector size="2" baseType="lpstr">
      <vt:lpstr>КСС</vt:lpstr>
      <vt:lpstr>КСС!Област_печат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Yavor Ivanov</cp:lastModifiedBy>
  <cp:lastPrinted>2024-07-17T11:11:43Z</cp:lastPrinted>
  <dcterms:created xsi:type="dcterms:W3CDTF">2023-02-28T07:33:37Z</dcterms:created>
  <dcterms:modified xsi:type="dcterms:W3CDTF">2024-11-07T09:50:59Z</dcterms:modified>
</cp:coreProperties>
</file>