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КЛИЕНТИ\КОЛЕВ ГРУП СТРОЙ 2001 ЕООД\Читалище Своге  - за 14 юли\ГОТОВИ ДОКУМЕНТИ\"/>
    </mc:Choice>
  </mc:AlternateContent>
  <xr:revisionPtr revIDLastSave="0" documentId="8_{56D70236-8B18-4E55-A7E5-134C8CAFF1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F236" i="1" l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237" i="1" s="1"/>
  <c r="F238" i="1" l="1"/>
  <c r="F239" i="1" s="1"/>
  <c r="F240" i="1" l="1"/>
  <c r="F241" i="1" s="1"/>
</calcChain>
</file>

<file path=xl/sharedStrings.xml><?xml version="1.0" encoding="utf-8"?>
<sst xmlns="http://schemas.openxmlformats.org/spreadsheetml/2006/main" count="455" uniqueCount="142">
  <si>
    <t>КОЛИЧЕСТВЕНО- СТОЙНОСТНА СМЕТКА</t>
  </si>
  <si>
    <r>
      <rPr>
        <b/>
        <sz val="12"/>
        <rFont val="Times New Roman"/>
        <family val="1"/>
      </rPr>
      <t>за обект:</t>
    </r>
    <r>
      <rPr>
        <sz val="12"/>
        <rFont val="Times New Roman"/>
        <family val="1"/>
      </rPr>
      <t xml:space="preserve"> Текущ ремонт на обект: Народно читалище „Светлина- 1896“ в с. Гара Бов</t>
    </r>
  </si>
  <si>
    <t xml:space="preserve">№ по ред </t>
  </si>
  <si>
    <t>Видове  СМР</t>
  </si>
  <si>
    <t xml:space="preserve">Ед. мярка </t>
  </si>
  <si>
    <t xml:space="preserve">Количество </t>
  </si>
  <si>
    <t>Ед. цена /евро/</t>
  </si>
  <si>
    <t xml:space="preserve">Стойност /евро/                                      </t>
  </si>
  <si>
    <t>Помещение за гости</t>
  </si>
  <si>
    <t>Демонтаж дървена врата 1,00/ 2,20</t>
  </si>
  <si>
    <t>бр</t>
  </si>
  <si>
    <t>Доставка и монтаж ал.врата 1,00/ 2,20</t>
  </si>
  <si>
    <t>Обръщане отвор за врата, вкл. ръбохранители, шпакловка и латекс</t>
  </si>
  <si>
    <t>л.м.</t>
  </si>
  <si>
    <t>Гипсокартон на конструкция</t>
  </si>
  <si>
    <t>м2</t>
  </si>
  <si>
    <t>Грундиране по гипсокартон</t>
  </si>
  <si>
    <t>Шпакловка по гипсокартон</t>
  </si>
  <si>
    <t>Боядисване с латекс, вкл. грунд</t>
  </si>
  <si>
    <t>Демонтаж и обратен монтаж климатик, включително източване и ново зареждане на хладилен агент</t>
  </si>
  <si>
    <t>Изравнителна замазка по под</t>
  </si>
  <si>
    <t>Настилка от гранитогрес</t>
  </si>
  <si>
    <t>Цокъл от гранитогрес</t>
  </si>
  <si>
    <t>Преработка ел. инсталация</t>
  </si>
  <si>
    <t>Демонтаж ед.контакт</t>
  </si>
  <si>
    <t>Доставка и монтаж дв.контакт</t>
  </si>
  <si>
    <t>Демонтаж и обратен монтаж ед.ключ</t>
  </si>
  <si>
    <t>Доставка и монтаж вертикални щори</t>
  </si>
  <si>
    <t>Доставка и монтаж вътрешни подпрозоречни первази</t>
  </si>
  <si>
    <t>Хладилно помещение</t>
  </si>
  <si>
    <t>Направа окачен таван тип "Армстронг"</t>
  </si>
  <si>
    <t>Демонтаж LED панел и обратен монтаж  LED панел в окачен таван</t>
  </si>
  <si>
    <t>Преработка ел.инсталация</t>
  </si>
  <si>
    <t>Демонтаж теракот</t>
  </si>
  <si>
    <t>Демонтаж цокъл от теракот</t>
  </si>
  <si>
    <t>Облицовка на плот с гранитогрес</t>
  </si>
  <si>
    <t>Миялно помещение</t>
  </si>
  <si>
    <t>Демонтаж мивка бетонова</t>
  </si>
  <si>
    <t>Демонтаж дървена врата 0,80/1,90</t>
  </si>
  <si>
    <t>Доставка и монтаж ал.врата 0,80/1,90</t>
  </si>
  <si>
    <t>Демонтаж осв.тяло плафон</t>
  </si>
  <si>
    <t>Доставка и монтаж LED плафон</t>
  </si>
  <si>
    <t>Доставка и монтаж ед.ключ</t>
  </si>
  <si>
    <t>Доставка и монтаж ед.контакт</t>
  </si>
  <si>
    <t>Натоварване и извозване стр.отпадъци</t>
  </si>
  <si>
    <t>курс</t>
  </si>
  <si>
    <t>Предверие тоалетна 2 етаж</t>
  </si>
  <si>
    <t>Разбиване бетонов плот 0,70 м. х 2,20 м.х 0,10 м.</t>
  </si>
  <si>
    <t>Демонтаж  и обратен монтаж LED плафон</t>
  </si>
  <si>
    <t>Направа на окачен таван от влагоустойчив гипсокартон</t>
  </si>
  <si>
    <t>Доставка и монтаж ал.капандура за изход към подпокривно пространство 0,70х0,50</t>
  </si>
  <si>
    <t>Демонтаж ед.ключ</t>
  </si>
  <si>
    <t>Демонтаж  и обратен монтаж стенен конвектор</t>
  </si>
  <si>
    <t>Демонтаж и обратен монтаж ел.конвектор</t>
  </si>
  <si>
    <t>Умивално помещение</t>
  </si>
  <si>
    <t>Демонтаж смес.батерия</t>
  </si>
  <si>
    <t>Демонтаж мивка порц.</t>
  </si>
  <si>
    <t>Демонтаж бетонов плот 1,15х0,28х0,10 и 0,43х1,10х0,10</t>
  </si>
  <si>
    <t>Преработка ВиК инсталация</t>
  </si>
  <si>
    <t>Влагоустойчив гипсокартон на конструкция</t>
  </si>
  <si>
    <t>Направа на окачен таван от влагоустойчив гипсокартон с пониж. 0,25</t>
  </si>
  <si>
    <t>Демонтаж LED плафон и обратен монтаж</t>
  </si>
  <si>
    <t>Демонтаж дърв.врата 0,65/1,92</t>
  </si>
  <si>
    <t>Доставка и монтаж ал.врата 0,65/1,92</t>
  </si>
  <si>
    <t>Фаянсова облицовка около мивка</t>
  </si>
  <si>
    <t>Доставка и монтаж подов сифон Ф50, вкл.включване в съществуваща канализация</t>
  </si>
  <si>
    <t>Доставка и монтаж смесителна батерия</t>
  </si>
  <si>
    <t>Доставка и монтаж порц.мивка с полуботуш</t>
  </si>
  <si>
    <t>Доставка и монтаж огледало</t>
  </si>
  <si>
    <t>Доставка и монтаж диспенсър за теч.сапун</t>
  </si>
  <si>
    <t>Доставка и монтаж диспенсър за хартия</t>
  </si>
  <si>
    <t>Доставка кош за отпадъци</t>
  </si>
  <si>
    <t>Тоалетна</t>
  </si>
  <si>
    <t>Разбиване бетонов под 0,95х1,25х0,10</t>
  </si>
  <si>
    <t>Доставка и монтаж дв.ключ</t>
  </si>
  <si>
    <t>Доставка и монтаж ел.вентилатор, вкл.включване към съществуващ неизползваем комин</t>
  </si>
  <si>
    <t>Фаянсова облицовка с вис. 2,60</t>
  </si>
  <si>
    <t>Обръщане врата с фаянс</t>
  </si>
  <si>
    <t>Доставка и монтаж тоалетна чиния</t>
  </si>
  <si>
    <t>Доставка и монтаж тоалетно казанче</t>
  </si>
  <si>
    <t>Доставка и монтаж поставка за тоалетна хартия</t>
  </si>
  <si>
    <t>Доставка четка за тоалетна</t>
  </si>
  <si>
    <t>Балкон към Салон- 2 етаж</t>
  </si>
  <si>
    <t>Демонтаж дървена врата 1,50/ 2,16</t>
  </si>
  <si>
    <t>Доставка и монтаж ал. врата двукрила 1,50/2,16</t>
  </si>
  <si>
    <t>Бл.боя по под, вкл.почистване преди боядисване</t>
  </si>
  <si>
    <t>Бл.боя по дървен парапет</t>
  </si>
  <si>
    <t>Бл.боя по врати</t>
  </si>
  <si>
    <t>Стая Приказките</t>
  </si>
  <si>
    <t>Демонтаж мокет</t>
  </si>
  <si>
    <t>Демонтаж дървени первази</t>
  </si>
  <si>
    <t>Доставка и монтаж мокет</t>
  </si>
  <si>
    <t>Доставка и монтаж ПВЦ первази</t>
  </si>
  <si>
    <t>Предверие Приказките</t>
  </si>
  <si>
    <t>Предверие Малка зала</t>
  </si>
  <si>
    <t>Демонтаж каса на врата 1,50/2,15</t>
  </si>
  <si>
    <t>Обръщане отвор, вкл. ръбохранители, шпакловка и латекс</t>
  </si>
  <si>
    <t>Преработка Пожароизвестителна инсталация</t>
  </si>
  <si>
    <t>Бл.боя по каси на врати</t>
  </si>
  <si>
    <t>Доставка и монтаж балатум 3,2 мм.</t>
  </si>
  <si>
    <t>Доставка и монтаж преходни лайсни</t>
  </si>
  <si>
    <t>Малка зала</t>
  </si>
  <si>
    <t>Канцелария 2 етаж</t>
  </si>
  <si>
    <t>Фоайе 2 етаж, стълбище, фоайе 1 етаж и вход</t>
  </si>
  <si>
    <t>Направа куфар от гипсокартон 0,15/0,10, включително ръбохранители, шпакловка и латекс</t>
  </si>
  <si>
    <t>Бл.боя по "черен" цокъл, вкл.чела стълби</t>
  </si>
  <si>
    <t>Бл.боя по метален парапет, вкл. дървена ръкохватка</t>
  </si>
  <si>
    <t>Грънчарство</t>
  </si>
  <si>
    <t>Салон</t>
  </si>
  <si>
    <t>Демонтаж седалки, вкл.пренос до помещение в сградата</t>
  </si>
  <si>
    <t>Циклене, фугиране и лакиране паркет</t>
  </si>
  <si>
    <t>Направа на нови ст.б.стълби с дълж. 0,65- 4 бр. и площадка 0,90х0,65, вкл.анкериране в под и стени</t>
  </si>
  <si>
    <t>Настилка от гранитогрес по стълби, вкл.страници и чела</t>
  </si>
  <si>
    <t>Доставка и монтаж MDF ламперия</t>
  </si>
  <si>
    <t xml:space="preserve">Доставка и монтаж мокет </t>
  </si>
  <si>
    <t>Доставка и монтаж ъглови лайсни</t>
  </si>
  <si>
    <t>Гримьорна 1 "Бовяне"</t>
  </si>
  <si>
    <t>Гримьорна 2</t>
  </si>
  <si>
    <t>Библиотека</t>
  </si>
  <si>
    <t>Бл.боя по дървени первази на под</t>
  </si>
  <si>
    <t>Бл.боя по каса на врата</t>
  </si>
  <si>
    <t>Външни стълби към Компютърен кабинет</t>
  </si>
  <si>
    <t>Настилка от гранитогрес по стълби и площадка, вкл.начукване и грундиране съществуващи</t>
  </si>
  <si>
    <t>Демонтаж цокъл от гранитогрес</t>
  </si>
  <si>
    <t>Доставка и монтаж ъглови лайсни по стълби</t>
  </si>
  <si>
    <t>Изкърпване минерална мазилка</t>
  </si>
  <si>
    <t>Сервизно помещение Сутерен</t>
  </si>
  <si>
    <t>Направа монтажна стена от два слоя влагоустойчив гипсокартон на метална конструкция</t>
  </si>
  <si>
    <t>Демонтаж LED осветително тяло и обратен монтаж  LED осветително тяло</t>
  </si>
  <si>
    <t>Доставка и монтаж осв.тяло тип "Луна" вградено в ок.таван от гипсокартон</t>
  </si>
  <si>
    <t>Демонтаж бет.праг 0,10х0,05х3,20, вкл. натоварване и извозване стр.отпадъци</t>
  </si>
  <si>
    <t>Циментова замазка 5 см.</t>
  </si>
  <si>
    <t>Доставка и монтаж ревизионен отвор от гипсокартон с механизъм 0,40х0,60</t>
  </si>
  <si>
    <t>Доставка и монтаж долен шкаф с вградена мивка</t>
  </si>
  <si>
    <t>Доставка и монтаж горен шкаф</t>
  </si>
  <si>
    <t>Доставка и сглобяване метални стелажи вис. 1,80, дълж. 1,60 м., шир. 0,60 м.</t>
  </si>
  <si>
    <t>Доставка и монтаж водонагревател</t>
  </si>
  <si>
    <t>Общо :</t>
  </si>
  <si>
    <t>5% непредвидени разходи:</t>
  </si>
  <si>
    <t>Всичко без ДДС:</t>
  </si>
  <si>
    <t>20% ДДС:</t>
  </si>
  <si>
    <t>Всичко с ДДС: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</si>
</sst>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2"/>
      <name val="Arial"/>
    </font>
    <font>
      <sz val="11"/>
      <color theme="1"/>
      <name val="Times New Roman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0" fillId="2" borderId="0" xfId="0" applyFill="1"/>
    <xf numFmtId="0" fontId="4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" fillId="2" borderId="1" xfId="0" applyFont="1" applyFill="1" applyBorder="1"/>
    <xf numFmtId="2" fontId="0" fillId="2" borderId="0" xfId="0" applyNumberFormat="1" applyFill="1"/>
    <xf numFmtId="4" fontId="2" fillId="2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wrapText="1"/>
    </xf>
    <xf numFmtId="4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 wrapText="1"/>
    </xf>
    <xf numFmtId="4" fontId="3" fillId="2" borderId="1" xfId="0" applyNumberFormat="1" applyFont="1" applyFill="1" applyBorder="1" applyAlignment="1">
      <alignment horizontal="right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K245"/>
  <sheetViews>
    <sheetView tabSelected="1" topLeftCell="A232" workbookViewId="0">
      <selection sqref="A1:F1"/>
    </sheetView>
  </sheetViews>
  <sheetFormatPr defaultRowHeight="15" x14ac:dyDescent="0.25"/>
  <cols>
    <col min="1" max="1" width="8.42578125" style="2" customWidth="1"/>
    <col min="2" max="2" width="33.7109375" style="2" customWidth="1"/>
    <col min="3" max="3" width="7.7109375" style="2" customWidth="1"/>
    <col min="4" max="4" width="13.85546875" style="2" customWidth="1"/>
    <col min="5" max="5" width="10.140625" style="2" customWidth="1"/>
    <col min="6" max="6" width="15.140625" style="2" customWidth="1"/>
    <col min="7" max="245" width="9.140625" style="2"/>
    <col min="246" max="246" width="7.42578125" style="2" customWidth="1"/>
    <col min="247" max="247" width="40.5703125" style="2" customWidth="1"/>
    <col min="248" max="248" width="8.28515625" style="2" customWidth="1"/>
    <col min="249" max="249" width="14" style="2" customWidth="1"/>
    <col min="250" max="250" width="9.140625" style="2"/>
    <col min="251" max="251" width="10.28515625" style="2" customWidth="1"/>
    <col min="252" max="501" width="9.140625" style="2"/>
    <col min="502" max="502" width="7.42578125" style="2" customWidth="1"/>
    <col min="503" max="503" width="40.5703125" style="2" customWidth="1"/>
    <col min="504" max="504" width="8.28515625" style="2" customWidth="1"/>
    <col min="505" max="505" width="14" style="2" customWidth="1"/>
    <col min="506" max="506" width="9.140625" style="2"/>
    <col min="507" max="507" width="10.28515625" style="2" customWidth="1"/>
    <col min="508" max="757" width="9.140625" style="2"/>
    <col min="758" max="758" width="7.42578125" style="2" customWidth="1"/>
    <col min="759" max="759" width="40.5703125" style="2" customWidth="1"/>
    <col min="760" max="760" width="8.28515625" style="2" customWidth="1"/>
    <col min="761" max="761" width="14" style="2" customWidth="1"/>
    <col min="762" max="762" width="9.140625" style="2"/>
    <col min="763" max="763" width="10.28515625" style="2" customWidth="1"/>
    <col min="764" max="1013" width="9.140625" style="2"/>
    <col min="1014" max="1014" width="7.42578125" style="2" customWidth="1"/>
    <col min="1015" max="1015" width="40.5703125" style="2" customWidth="1"/>
    <col min="1016" max="1016" width="8.28515625" style="2" customWidth="1"/>
    <col min="1017" max="1017" width="14" style="2" customWidth="1"/>
    <col min="1018" max="1018" width="9.140625" style="2"/>
    <col min="1019" max="1019" width="10.28515625" style="2" customWidth="1"/>
    <col min="1020" max="1269" width="9.140625" style="2"/>
    <col min="1270" max="1270" width="7.42578125" style="2" customWidth="1"/>
    <col min="1271" max="1271" width="40.5703125" style="2" customWidth="1"/>
    <col min="1272" max="1272" width="8.28515625" style="2" customWidth="1"/>
    <col min="1273" max="1273" width="14" style="2" customWidth="1"/>
    <col min="1274" max="1274" width="9.140625" style="2"/>
    <col min="1275" max="1275" width="10.28515625" style="2" customWidth="1"/>
    <col min="1276" max="1525" width="9.140625" style="2"/>
    <col min="1526" max="1526" width="7.42578125" style="2" customWidth="1"/>
    <col min="1527" max="1527" width="40.5703125" style="2" customWidth="1"/>
    <col min="1528" max="1528" width="8.28515625" style="2" customWidth="1"/>
    <col min="1529" max="1529" width="14" style="2" customWidth="1"/>
    <col min="1530" max="1530" width="9.140625" style="2"/>
    <col min="1531" max="1531" width="10.28515625" style="2" customWidth="1"/>
    <col min="1532" max="1781" width="9.140625" style="2"/>
    <col min="1782" max="1782" width="7.42578125" style="2" customWidth="1"/>
    <col min="1783" max="1783" width="40.5703125" style="2" customWidth="1"/>
    <col min="1784" max="1784" width="8.28515625" style="2" customWidth="1"/>
    <col min="1785" max="1785" width="14" style="2" customWidth="1"/>
    <col min="1786" max="1786" width="9.140625" style="2"/>
    <col min="1787" max="1787" width="10.28515625" style="2" customWidth="1"/>
    <col min="1788" max="2037" width="9.140625" style="2"/>
    <col min="2038" max="2038" width="7.42578125" style="2" customWidth="1"/>
    <col min="2039" max="2039" width="40.5703125" style="2" customWidth="1"/>
    <col min="2040" max="2040" width="8.28515625" style="2" customWidth="1"/>
    <col min="2041" max="2041" width="14" style="2" customWidth="1"/>
    <col min="2042" max="2042" width="9.140625" style="2"/>
    <col min="2043" max="2043" width="10.28515625" style="2" customWidth="1"/>
    <col min="2044" max="2293" width="9.140625" style="2"/>
    <col min="2294" max="2294" width="7.42578125" style="2" customWidth="1"/>
    <col min="2295" max="2295" width="40.5703125" style="2" customWidth="1"/>
    <col min="2296" max="2296" width="8.28515625" style="2" customWidth="1"/>
    <col min="2297" max="2297" width="14" style="2" customWidth="1"/>
    <col min="2298" max="2298" width="9.140625" style="2"/>
    <col min="2299" max="2299" width="10.28515625" style="2" customWidth="1"/>
    <col min="2300" max="2549" width="9.140625" style="2"/>
    <col min="2550" max="2550" width="7.42578125" style="2" customWidth="1"/>
    <col min="2551" max="2551" width="40.5703125" style="2" customWidth="1"/>
    <col min="2552" max="2552" width="8.28515625" style="2" customWidth="1"/>
    <col min="2553" max="2553" width="14" style="2" customWidth="1"/>
    <col min="2554" max="2554" width="9.140625" style="2"/>
    <col min="2555" max="2555" width="10.28515625" style="2" customWidth="1"/>
    <col min="2556" max="2805" width="9.140625" style="2"/>
    <col min="2806" max="2806" width="7.42578125" style="2" customWidth="1"/>
    <col min="2807" max="2807" width="40.5703125" style="2" customWidth="1"/>
    <col min="2808" max="2808" width="8.28515625" style="2" customWidth="1"/>
    <col min="2809" max="2809" width="14" style="2" customWidth="1"/>
    <col min="2810" max="2810" width="9.140625" style="2"/>
    <col min="2811" max="2811" width="10.28515625" style="2" customWidth="1"/>
    <col min="2812" max="3061" width="9.140625" style="2"/>
    <col min="3062" max="3062" width="7.42578125" style="2" customWidth="1"/>
    <col min="3063" max="3063" width="40.5703125" style="2" customWidth="1"/>
    <col min="3064" max="3064" width="8.28515625" style="2" customWidth="1"/>
    <col min="3065" max="3065" width="14" style="2" customWidth="1"/>
    <col min="3066" max="3066" width="9.140625" style="2"/>
    <col min="3067" max="3067" width="10.28515625" style="2" customWidth="1"/>
    <col min="3068" max="3317" width="9.140625" style="2"/>
    <col min="3318" max="3318" width="7.42578125" style="2" customWidth="1"/>
    <col min="3319" max="3319" width="40.5703125" style="2" customWidth="1"/>
    <col min="3320" max="3320" width="8.28515625" style="2" customWidth="1"/>
    <col min="3321" max="3321" width="14" style="2" customWidth="1"/>
    <col min="3322" max="3322" width="9.140625" style="2"/>
    <col min="3323" max="3323" width="10.28515625" style="2" customWidth="1"/>
    <col min="3324" max="3573" width="9.140625" style="2"/>
    <col min="3574" max="3574" width="7.42578125" style="2" customWidth="1"/>
    <col min="3575" max="3575" width="40.5703125" style="2" customWidth="1"/>
    <col min="3576" max="3576" width="8.28515625" style="2" customWidth="1"/>
    <col min="3577" max="3577" width="14" style="2" customWidth="1"/>
    <col min="3578" max="3578" width="9.140625" style="2"/>
    <col min="3579" max="3579" width="10.28515625" style="2" customWidth="1"/>
    <col min="3580" max="3829" width="9.140625" style="2"/>
    <col min="3830" max="3830" width="7.42578125" style="2" customWidth="1"/>
    <col min="3831" max="3831" width="40.5703125" style="2" customWidth="1"/>
    <col min="3832" max="3832" width="8.28515625" style="2" customWidth="1"/>
    <col min="3833" max="3833" width="14" style="2" customWidth="1"/>
    <col min="3834" max="3834" width="9.140625" style="2"/>
    <col min="3835" max="3835" width="10.28515625" style="2" customWidth="1"/>
    <col min="3836" max="4085" width="9.140625" style="2"/>
    <col min="4086" max="4086" width="7.42578125" style="2" customWidth="1"/>
    <col min="4087" max="4087" width="40.5703125" style="2" customWidth="1"/>
    <col min="4088" max="4088" width="8.28515625" style="2" customWidth="1"/>
    <col min="4089" max="4089" width="14" style="2" customWidth="1"/>
    <col min="4090" max="4090" width="9.140625" style="2"/>
    <col min="4091" max="4091" width="10.28515625" style="2" customWidth="1"/>
    <col min="4092" max="4341" width="9.140625" style="2"/>
    <col min="4342" max="4342" width="7.42578125" style="2" customWidth="1"/>
    <col min="4343" max="4343" width="40.5703125" style="2" customWidth="1"/>
    <col min="4344" max="4344" width="8.28515625" style="2" customWidth="1"/>
    <col min="4345" max="4345" width="14" style="2" customWidth="1"/>
    <col min="4346" max="4346" width="9.140625" style="2"/>
    <col min="4347" max="4347" width="10.28515625" style="2" customWidth="1"/>
    <col min="4348" max="4597" width="9.140625" style="2"/>
    <col min="4598" max="4598" width="7.42578125" style="2" customWidth="1"/>
    <col min="4599" max="4599" width="40.5703125" style="2" customWidth="1"/>
    <col min="4600" max="4600" width="8.28515625" style="2" customWidth="1"/>
    <col min="4601" max="4601" width="14" style="2" customWidth="1"/>
    <col min="4602" max="4602" width="9.140625" style="2"/>
    <col min="4603" max="4603" width="10.28515625" style="2" customWidth="1"/>
    <col min="4604" max="4853" width="9.140625" style="2"/>
    <col min="4854" max="4854" width="7.42578125" style="2" customWidth="1"/>
    <col min="4855" max="4855" width="40.5703125" style="2" customWidth="1"/>
    <col min="4856" max="4856" width="8.28515625" style="2" customWidth="1"/>
    <col min="4857" max="4857" width="14" style="2" customWidth="1"/>
    <col min="4858" max="4858" width="9.140625" style="2"/>
    <col min="4859" max="4859" width="10.28515625" style="2" customWidth="1"/>
    <col min="4860" max="5109" width="9.140625" style="2"/>
    <col min="5110" max="5110" width="7.42578125" style="2" customWidth="1"/>
    <col min="5111" max="5111" width="40.5703125" style="2" customWidth="1"/>
    <col min="5112" max="5112" width="8.28515625" style="2" customWidth="1"/>
    <col min="5113" max="5113" width="14" style="2" customWidth="1"/>
    <col min="5114" max="5114" width="9.140625" style="2"/>
    <col min="5115" max="5115" width="10.28515625" style="2" customWidth="1"/>
    <col min="5116" max="5365" width="9.140625" style="2"/>
    <col min="5366" max="5366" width="7.42578125" style="2" customWidth="1"/>
    <col min="5367" max="5367" width="40.5703125" style="2" customWidth="1"/>
    <col min="5368" max="5368" width="8.28515625" style="2" customWidth="1"/>
    <col min="5369" max="5369" width="14" style="2" customWidth="1"/>
    <col min="5370" max="5370" width="9.140625" style="2"/>
    <col min="5371" max="5371" width="10.28515625" style="2" customWidth="1"/>
    <col min="5372" max="5621" width="9.140625" style="2"/>
    <col min="5622" max="5622" width="7.42578125" style="2" customWidth="1"/>
    <col min="5623" max="5623" width="40.5703125" style="2" customWidth="1"/>
    <col min="5624" max="5624" width="8.28515625" style="2" customWidth="1"/>
    <col min="5625" max="5625" width="14" style="2" customWidth="1"/>
    <col min="5626" max="5626" width="9.140625" style="2"/>
    <col min="5627" max="5627" width="10.28515625" style="2" customWidth="1"/>
    <col min="5628" max="5877" width="9.140625" style="2"/>
    <col min="5878" max="5878" width="7.42578125" style="2" customWidth="1"/>
    <col min="5879" max="5879" width="40.5703125" style="2" customWidth="1"/>
    <col min="5880" max="5880" width="8.28515625" style="2" customWidth="1"/>
    <col min="5881" max="5881" width="14" style="2" customWidth="1"/>
    <col min="5882" max="5882" width="9.140625" style="2"/>
    <col min="5883" max="5883" width="10.28515625" style="2" customWidth="1"/>
    <col min="5884" max="6133" width="9.140625" style="2"/>
    <col min="6134" max="6134" width="7.42578125" style="2" customWidth="1"/>
    <col min="6135" max="6135" width="40.5703125" style="2" customWidth="1"/>
    <col min="6136" max="6136" width="8.28515625" style="2" customWidth="1"/>
    <col min="6137" max="6137" width="14" style="2" customWidth="1"/>
    <col min="6138" max="6138" width="9.140625" style="2"/>
    <col min="6139" max="6139" width="10.28515625" style="2" customWidth="1"/>
    <col min="6140" max="6389" width="9.140625" style="2"/>
    <col min="6390" max="6390" width="7.42578125" style="2" customWidth="1"/>
    <col min="6391" max="6391" width="40.5703125" style="2" customWidth="1"/>
    <col min="6392" max="6392" width="8.28515625" style="2" customWidth="1"/>
    <col min="6393" max="6393" width="14" style="2" customWidth="1"/>
    <col min="6394" max="6394" width="9.140625" style="2"/>
    <col min="6395" max="6395" width="10.28515625" style="2" customWidth="1"/>
    <col min="6396" max="6645" width="9.140625" style="2"/>
    <col min="6646" max="6646" width="7.42578125" style="2" customWidth="1"/>
    <col min="6647" max="6647" width="40.5703125" style="2" customWidth="1"/>
    <col min="6648" max="6648" width="8.28515625" style="2" customWidth="1"/>
    <col min="6649" max="6649" width="14" style="2" customWidth="1"/>
    <col min="6650" max="6650" width="9.140625" style="2"/>
    <col min="6651" max="6651" width="10.28515625" style="2" customWidth="1"/>
    <col min="6652" max="6901" width="9.140625" style="2"/>
    <col min="6902" max="6902" width="7.42578125" style="2" customWidth="1"/>
    <col min="6903" max="6903" width="40.5703125" style="2" customWidth="1"/>
    <col min="6904" max="6904" width="8.28515625" style="2" customWidth="1"/>
    <col min="6905" max="6905" width="14" style="2" customWidth="1"/>
    <col min="6906" max="6906" width="9.140625" style="2"/>
    <col min="6907" max="6907" width="10.28515625" style="2" customWidth="1"/>
    <col min="6908" max="7157" width="9.140625" style="2"/>
    <col min="7158" max="7158" width="7.42578125" style="2" customWidth="1"/>
    <col min="7159" max="7159" width="40.5703125" style="2" customWidth="1"/>
    <col min="7160" max="7160" width="8.28515625" style="2" customWidth="1"/>
    <col min="7161" max="7161" width="14" style="2" customWidth="1"/>
    <col min="7162" max="7162" width="9.140625" style="2"/>
    <col min="7163" max="7163" width="10.28515625" style="2" customWidth="1"/>
    <col min="7164" max="7413" width="9.140625" style="2"/>
    <col min="7414" max="7414" width="7.42578125" style="2" customWidth="1"/>
    <col min="7415" max="7415" width="40.5703125" style="2" customWidth="1"/>
    <col min="7416" max="7416" width="8.28515625" style="2" customWidth="1"/>
    <col min="7417" max="7417" width="14" style="2" customWidth="1"/>
    <col min="7418" max="7418" width="9.140625" style="2"/>
    <col min="7419" max="7419" width="10.28515625" style="2" customWidth="1"/>
    <col min="7420" max="7669" width="9.140625" style="2"/>
    <col min="7670" max="7670" width="7.42578125" style="2" customWidth="1"/>
    <col min="7671" max="7671" width="40.5703125" style="2" customWidth="1"/>
    <col min="7672" max="7672" width="8.28515625" style="2" customWidth="1"/>
    <col min="7673" max="7673" width="14" style="2" customWidth="1"/>
    <col min="7674" max="7674" width="9.140625" style="2"/>
    <col min="7675" max="7675" width="10.28515625" style="2" customWidth="1"/>
    <col min="7676" max="7925" width="9.140625" style="2"/>
    <col min="7926" max="7926" width="7.42578125" style="2" customWidth="1"/>
    <col min="7927" max="7927" width="40.5703125" style="2" customWidth="1"/>
    <col min="7928" max="7928" width="8.28515625" style="2" customWidth="1"/>
    <col min="7929" max="7929" width="14" style="2" customWidth="1"/>
    <col min="7930" max="7930" width="9.140625" style="2"/>
    <col min="7931" max="7931" width="10.28515625" style="2" customWidth="1"/>
    <col min="7932" max="8181" width="9.140625" style="2"/>
    <col min="8182" max="8182" width="7.42578125" style="2" customWidth="1"/>
    <col min="8183" max="8183" width="40.5703125" style="2" customWidth="1"/>
    <col min="8184" max="8184" width="8.28515625" style="2" customWidth="1"/>
    <col min="8185" max="8185" width="14" style="2" customWidth="1"/>
    <col min="8186" max="8186" width="9.140625" style="2"/>
    <col min="8187" max="8187" width="10.28515625" style="2" customWidth="1"/>
    <col min="8188" max="8437" width="9.140625" style="2"/>
    <col min="8438" max="8438" width="7.42578125" style="2" customWidth="1"/>
    <col min="8439" max="8439" width="40.5703125" style="2" customWidth="1"/>
    <col min="8440" max="8440" width="8.28515625" style="2" customWidth="1"/>
    <col min="8441" max="8441" width="14" style="2" customWidth="1"/>
    <col min="8442" max="8442" width="9.140625" style="2"/>
    <col min="8443" max="8443" width="10.28515625" style="2" customWidth="1"/>
    <col min="8444" max="8693" width="9.140625" style="2"/>
    <col min="8694" max="8694" width="7.42578125" style="2" customWidth="1"/>
    <col min="8695" max="8695" width="40.5703125" style="2" customWidth="1"/>
    <col min="8696" max="8696" width="8.28515625" style="2" customWidth="1"/>
    <col min="8697" max="8697" width="14" style="2" customWidth="1"/>
    <col min="8698" max="8698" width="9.140625" style="2"/>
    <col min="8699" max="8699" width="10.28515625" style="2" customWidth="1"/>
    <col min="8700" max="8949" width="9.140625" style="2"/>
    <col min="8950" max="8950" width="7.42578125" style="2" customWidth="1"/>
    <col min="8951" max="8951" width="40.5703125" style="2" customWidth="1"/>
    <col min="8952" max="8952" width="8.28515625" style="2" customWidth="1"/>
    <col min="8953" max="8953" width="14" style="2" customWidth="1"/>
    <col min="8954" max="8954" width="9.140625" style="2"/>
    <col min="8955" max="8955" width="10.28515625" style="2" customWidth="1"/>
    <col min="8956" max="9205" width="9.140625" style="2"/>
    <col min="9206" max="9206" width="7.42578125" style="2" customWidth="1"/>
    <col min="9207" max="9207" width="40.5703125" style="2" customWidth="1"/>
    <col min="9208" max="9208" width="8.28515625" style="2" customWidth="1"/>
    <col min="9209" max="9209" width="14" style="2" customWidth="1"/>
    <col min="9210" max="9210" width="9.140625" style="2"/>
    <col min="9211" max="9211" width="10.28515625" style="2" customWidth="1"/>
    <col min="9212" max="9461" width="9.140625" style="2"/>
    <col min="9462" max="9462" width="7.42578125" style="2" customWidth="1"/>
    <col min="9463" max="9463" width="40.5703125" style="2" customWidth="1"/>
    <col min="9464" max="9464" width="8.28515625" style="2" customWidth="1"/>
    <col min="9465" max="9465" width="14" style="2" customWidth="1"/>
    <col min="9466" max="9466" width="9.140625" style="2"/>
    <col min="9467" max="9467" width="10.28515625" style="2" customWidth="1"/>
    <col min="9468" max="9717" width="9.140625" style="2"/>
    <col min="9718" max="9718" width="7.42578125" style="2" customWidth="1"/>
    <col min="9719" max="9719" width="40.5703125" style="2" customWidth="1"/>
    <col min="9720" max="9720" width="8.28515625" style="2" customWidth="1"/>
    <col min="9721" max="9721" width="14" style="2" customWidth="1"/>
    <col min="9722" max="9722" width="9.140625" style="2"/>
    <col min="9723" max="9723" width="10.28515625" style="2" customWidth="1"/>
    <col min="9724" max="9973" width="9.140625" style="2"/>
    <col min="9974" max="9974" width="7.42578125" style="2" customWidth="1"/>
    <col min="9975" max="9975" width="40.5703125" style="2" customWidth="1"/>
    <col min="9976" max="9976" width="8.28515625" style="2" customWidth="1"/>
    <col min="9977" max="9977" width="14" style="2" customWidth="1"/>
    <col min="9978" max="9978" width="9.140625" style="2"/>
    <col min="9979" max="9979" width="10.28515625" style="2" customWidth="1"/>
    <col min="9980" max="10229" width="9.140625" style="2"/>
    <col min="10230" max="10230" width="7.42578125" style="2" customWidth="1"/>
    <col min="10231" max="10231" width="40.5703125" style="2" customWidth="1"/>
    <col min="10232" max="10232" width="8.28515625" style="2" customWidth="1"/>
    <col min="10233" max="10233" width="14" style="2" customWidth="1"/>
    <col min="10234" max="10234" width="9.140625" style="2"/>
    <col min="10235" max="10235" width="10.28515625" style="2" customWidth="1"/>
    <col min="10236" max="10485" width="9.140625" style="2"/>
    <col min="10486" max="10486" width="7.42578125" style="2" customWidth="1"/>
    <col min="10487" max="10487" width="40.5703125" style="2" customWidth="1"/>
    <col min="10488" max="10488" width="8.28515625" style="2" customWidth="1"/>
    <col min="10489" max="10489" width="14" style="2" customWidth="1"/>
    <col min="10490" max="10490" width="9.140625" style="2"/>
    <col min="10491" max="10491" width="10.28515625" style="2" customWidth="1"/>
    <col min="10492" max="10741" width="9.140625" style="2"/>
    <col min="10742" max="10742" width="7.42578125" style="2" customWidth="1"/>
    <col min="10743" max="10743" width="40.5703125" style="2" customWidth="1"/>
    <col min="10744" max="10744" width="8.28515625" style="2" customWidth="1"/>
    <col min="10745" max="10745" width="14" style="2" customWidth="1"/>
    <col min="10746" max="10746" width="9.140625" style="2"/>
    <col min="10747" max="10747" width="10.28515625" style="2" customWidth="1"/>
    <col min="10748" max="10997" width="9.140625" style="2"/>
    <col min="10998" max="10998" width="7.42578125" style="2" customWidth="1"/>
    <col min="10999" max="10999" width="40.5703125" style="2" customWidth="1"/>
    <col min="11000" max="11000" width="8.28515625" style="2" customWidth="1"/>
    <col min="11001" max="11001" width="14" style="2" customWidth="1"/>
    <col min="11002" max="11002" width="9.140625" style="2"/>
    <col min="11003" max="11003" width="10.28515625" style="2" customWidth="1"/>
    <col min="11004" max="11253" width="9.140625" style="2"/>
    <col min="11254" max="11254" width="7.42578125" style="2" customWidth="1"/>
    <col min="11255" max="11255" width="40.5703125" style="2" customWidth="1"/>
    <col min="11256" max="11256" width="8.28515625" style="2" customWidth="1"/>
    <col min="11257" max="11257" width="14" style="2" customWidth="1"/>
    <col min="11258" max="11258" width="9.140625" style="2"/>
    <col min="11259" max="11259" width="10.28515625" style="2" customWidth="1"/>
    <col min="11260" max="11509" width="9.140625" style="2"/>
    <col min="11510" max="11510" width="7.42578125" style="2" customWidth="1"/>
    <col min="11511" max="11511" width="40.5703125" style="2" customWidth="1"/>
    <col min="11512" max="11512" width="8.28515625" style="2" customWidth="1"/>
    <col min="11513" max="11513" width="14" style="2" customWidth="1"/>
    <col min="11514" max="11514" width="9.140625" style="2"/>
    <col min="11515" max="11515" width="10.28515625" style="2" customWidth="1"/>
    <col min="11516" max="11765" width="9.140625" style="2"/>
    <col min="11766" max="11766" width="7.42578125" style="2" customWidth="1"/>
    <col min="11767" max="11767" width="40.5703125" style="2" customWidth="1"/>
    <col min="11768" max="11768" width="8.28515625" style="2" customWidth="1"/>
    <col min="11769" max="11769" width="14" style="2" customWidth="1"/>
    <col min="11770" max="11770" width="9.140625" style="2"/>
    <col min="11771" max="11771" width="10.28515625" style="2" customWidth="1"/>
    <col min="11772" max="12021" width="9.140625" style="2"/>
    <col min="12022" max="12022" width="7.42578125" style="2" customWidth="1"/>
    <col min="12023" max="12023" width="40.5703125" style="2" customWidth="1"/>
    <col min="12024" max="12024" width="8.28515625" style="2" customWidth="1"/>
    <col min="12025" max="12025" width="14" style="2" customWidth="1"/>
    <col min="12026" max="12026" width="9.140625" style="2"/>
    <col min="12027" max="12027" width="10.28515625" style="2" customWidth="1"/>
    <col min="12028" max="12277" width="9.140625" style="2"/>
    <col min="12278" max="12278" width="7.42578125" style="2" customWidth="1"/>
    <col min="12279" max="12279" width="40.5703125" style="2" customWidth="1"/>
    <col min="12280" max="12280" width="8.28515625" style="2" customWidth="1"/>
    <col min="12281" max="12281" width="14" style="2" customWidth="1"/>
    <col min="12282" max="12282" width="9.140625" style="2"/>
    <col min="12283" max="12283" width="10.28515625" style="2" customWidth="1"/>
    <col min="12284" max="12533" width="9.140625" style="2"/>
    <col min="12534" max="12534" width="7.42578125" style="2" customWidth="1"/>
    <col min="12535" max="12535" width="40.5703125" style="2" customWidth="1"/>
    <col min="12536" max="12536" width="8.28515625" style="2" customWidth="1"/>
    <col min="12537" max="12537" width="14" style="2" customWidth="1"/>
    <col min="12538" max="12538" width="9.140625" style="2"/>
    <col min="12539" max="12539" width="10.28515625" style="2" customWidth="1"/>
    <col min="12540" max="12789" width="9.140625" style="2"/>
    <col min="12790" max="12790" width="7.42578125" style="2" customWidth="1"/>
    <col min="12791" max="12791" width="40.5703125" style="2" customWidth="1"/>
    <col min="12792" max="12792" width="8.28515625" style="2" customWidth="1"/>
    <col min="12793" max="12793" width="14" style="2" customWidth="1"/>
    <col min="12794" max="12794" width="9.140625" style="2"/>
    <col min="12795" max="12795" width="10.28515625" style="2" customWidth="1"/>
    <col min="12796" max="13045" width="9.140625" style="2"/>
    <col min="13046" max="13046" width="7.42578125" style="2" customWidth="1"/>
    <col min="13047" max="13047" width="40.5703125" style="2" customWidth="1"/>
    <col min="13048" max="13048" width="8.28515625" style="2" customWidth="1"/>
    <col min="13049" max="13049" width="14" style="2" customWidth="1"/>
    <col min="13050" max="13050" width="9.140625" style="2"/>
    <col min="13051" max="13051" width="10.28515625" style="2" customWidth="1"/>
    <col min="13052" max="13301" width="9.140625" style="2"/>
    <col min="13302" max="13302" width="7.42578125" style="2" customWidth="1"/>
    <col min="13303" max="13303" width="40.5703125" style="2" customWidth="1"/>
    <col min="13304" max="13304" width="8.28515625" style="2" customWidth="1"/>
    <col min="13305" max="13305" width="14" style="2" customWidth="1"/>
    <col min="13306" max="13306" width="9.140625" style="2"/>
    <col min="13307" max="13307" width="10.28515625" style="2" customWidth="1"/>
    <col min="13308" max="13557" width="9.140625" style="2"/>
    <col min="13558" max="13558" width="7.42578125" style="2" customWidth="1"/>
    <col min="13559" max="13559" width="40.5703125" style="2" customWidth="1"/>
    <col min="13560" max="13560" width="8.28515625" style="2" customWidth="1"/>
    <col min="13561" max="13561" width="14" style="2" customWidth="1"/>
    <col min="13562" max="13562" width="9.140625" style="2"/>
    <col min="13563" max="13563" width="10.28515625" style="2" customWidth="1"/>
    <col min="13564" max="13813" width="9.140625" style="2"/>
    <col min="13814" max="13814" width="7.42578125" style="2" customWidth="1"/>
    <col min="13815" max="13815" width="40.5703125" style="2" customWidth="1"/>
    <col min="13816" max="13816" width="8.28515625" style="2" customWidth="1"/>
    <col min="13817" max="13817" width="14" style="2" customWidth="1"/>
    <col min="13818" max="13818" width="9.140625" style="2"/>
    <col min="13819" max="13819" width="10.28515625" style="2" customWidth="1"/>
    <col min="13820" max="14069" width="9.140625" style="2"/>
    <col min="14070" max="14070" width="7.42578125" style="2" customWidth="1"/>
    <col min="14071" max="14071" width="40.5703125" style="2" customWidth="1"/>
    <col min="14072" max="14072" width="8.28515625" style="2" customWidth="1"/>
    <col min="14073" max="14073" width="14" style="2" customWidth="1"/>
    <col min="14074" max="14074" width="9.140625" style="2"/>
    <col min="14075" max="14075" width="10.28515625" style="2" customWidth="1"/>
    <col min="14076" max="14325" width="9.140625" style="2"/>
    <col min="14326" max="14326" width="7.42578125" style="2" customWidth="1"/>
    <col min="14327" max="14327" width="40.5703125" style="2" customWidth="1"/>
    <col min="14328" max="14328" width="8.28515625" style="2" customWidth="1"/>
    <col min="14329" max="14329" width="14" style="2" customWidth="1"/>
    <col min="14330" max="14330" width="9.140625" style="2"/>
    <col min="14331" max="14331" width="10.28515625" style="2" customWidth="1"/>
    <col min="14332" max="14581" width="9.140625" style="2"/>
    <col min="14582" max="14582" width="7.42578125" style="2" customWidth="1"/>
    <col min="14583" max="14583" width="40.5703125" style="2" customWidth="1"/>
    <col min="14584" max="14584" width="8.28515625" style="2" customWidth="1"/>
    <col min="14585" max="14585" width="14" style="2" customWidth="1"/>
    <col min="14586" max="14586" width="9.140625" style="2"/>
    <col min="14587" max="14587" width="10.28515625" style="2" customWidth="1"/>
    <col min="14588" max="14837" width="9.140625" style="2"/>
    <col min="14838" max="14838" width="7.42578125" style="2" customWidth="1"/>
    <col min="14839" max="14839" width="40.5703125" style="2" customWidth="1"/>
    <col min="14840" max="14840" width="8.28515625" style="2" customWidth="1"/>
    <col min="14841" max="14841" width="14" style="2" customWidth="1"/>
    <col min="14842" max="14842" width="9.140625" style="2"/>
    <col min="14843" max="14843" width="10.28515625" style="2" customWidth="1"/>
    <col min="14844" max="15093" width="9.140625" style="2"/>
    <col min="15094" max="15094" width="7.42578125" style="2" customWidth="1"/>
    <col min="15095" max="15095" width="40.5703125" style="2" customWidth="1"/>
    <col min="15096" max="15096" width="8.28515625" style="2" customWidth="1"/>
    <col min="15097" max="15097" width="14" style="2" customWidth="1"/>
    <col min="15098" max="15098" width="9.140625" style="2"/>
    <col min="15099" max="15099" width="10.28515625" style="2" customWidth="1"/>
    <col min="15100" max="15349" width="9.140625" style="2"/>
    <col min="15350" max="15350" width="7.42578125" style="2" customWidth="1"/>
    <col min="15351" max="15351" width="40.5703125" style="2" customWidth="1"/>
    <col min="15352" max="15352" width="8.28515625" style="2" customWidth="1"/>
    <col min="15353" max="15353" width="14" style="2" customWidth="1"/>
    <col min="15354" max="15354" width="9.140625" style="2"/>
    <col min="15355" max="15355" width="10.28515625" style="2" customWidth="1"/>
    <col min="15356" max="15605" width="9.140625" style="2"/>
    <col min="15606" max="15606" width="7.42578125" style="2" customWidth="1"/>
    <col min="15607" max="15607" width="40.5703125" style="2" customWidth="1"/>
    <col min="15608" max="15608" width="8.28515625" style="2" customWidth="1"/>
    <col min="15609" max="15609" width="14" style="2" customWidth="1"/>
    <col min="15610" max="15610" width="9.140625" style="2"/>
    <col min="15611" max="15611" width="10.28515625" style="2" customWidth="1"/>
    <col min="15612" max="15861" width="9.140625" style="2"/>
    <col min="15862" max="15862" width="7.42578125" style="2" customWidth="1"/>
    <col min="15863" max="15863" width="40.5703125" style="2" customWidth="1"/>
    <col min="15864" max="15864" width="8.28515625" style="2" customWidth="1"/>
    <col min="15865" max="15865" width="14" style="2" customWidth="1"/>
    <col min="15866" max="15866" width="9.140625" style="2"/>
    <col min="15867" max="15867" width="10.28515625" style="2" customWidth="1"/>
    <col min="15868" max="16117" width="9.140625" style="2"/>
    <col min="16118" max="16118" width="7.42578125" style="2" customWidth="1"/>
    <col min="16119" max="16119" width="40.5703125" style="2" customWidth="1"/>
    <col min="16120" max="16120" width="8.28515625" style="2" customWidth="1"/>
    <col min="16121" max="16121" width="14" style="2" customWidth="1"/>
    <col min="16122" max="16122" width="9.140625" style="2"/>
    <col min="16123" max="16123" width="10.28515625" style="2" customWidth="1"/>
    <col min="16124" max="16384" width="9.140625" style="2"/>
  </cols>
  <sheetData>
    <row r="1" spans="1:245" ht="20.25" x14ac:dyDescent="0.3">
      <c r="A1" s="18" t="s">
        <v>0</v>
      </c>
      <c r="B1" s="18"/>
      <c r="C1" s="18"/>
      <c r="D1" s="18"/>
      <c r="E1" s="18"/>
      <c r="F1" s="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</row>
    <row r="2" spans="1:245" ht="15.75" x14ac:dyDescent="0.25">
      <c r="A2" s="19"/>
      <c r="B2" s="19"/>
      <c r="C2" s="19"/>
      <c r="D2" s="19"/>
      <c r="E2" s="19"/>
      <c r="F2" s="1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</row>
    <row r="3" spans="1:245" ht="15.75" x14ac:dyDescent="0.25">
      <c r="A3" s="20" t="s">
        <v>1</v>
      </c>
      <c r="B3" s="20"/>
      <c r="C3" s="20"/>
      <c r="D3" s="20"/>
      <c r="E3" s="20"/>
      <c r="F3" s="2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</row>
    <row r="4" spans="1:245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</row>
    <row r="5" spans="1:245" ht="31.5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</row>
    <row r="6" spans="1:245" ht="15.75" x14ac:dyDescent="0.25">
      <c r="A6" s="5"/>
      <c r="B6" s="6" t="s">
        <v>8</v>
      </c>
      <c r="C6" s="5"/>
      <c r="D6" s="7"/>
      <c r="E6" s="7"/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</row>
    <row r="7" spans="1:245" ht="31.5" x14ac:dyDescent="0.25">
      <c r="A7" s="5">
        <v>1</v>
      </c>
      <c r="B7" s="8" t="s">
        <v>9</v>
      </c>
      <c r="C7" s="5" t="s">
        <v>10</v>
      </c>
      <c r="D7" s="7">
        <v>1</v>
      </c>
      <c r="E7" s="12">
        <v>24</v>
      </c>
      <c r="F7" s="13">
        <f t="shared" ref="F7:F70" si="0">ROUND(D7*E7,2)</f>
        <v>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</row>
    <row r="8" spans="1:245" ht="31.5" x14ac:dyDescent="0.25">
      <c r="A8" s="5">
        <v>2</v>
      </c>
      <c r="B8" s="8" t="s">
        <v>11</v>
      </c>
      <c r="C8" s="5" t="s">
        <v>10</v>
      </c>
      <c r="D8" s="7">
        <v>1</v>
      </c>
      <c r="E8" s="12">
        <v>540</v>
      </c>
      <c r="F8" s="13">
        <f t="shared" si="0"/>
        <v>540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</row>
    <row r="9" spans="1:245" ht="47.25" x14ac:dyDescent="0.25">
      <c r="A9" s="5">
        <v>3</v>
      </c>
      <c r="B9" s="8" t="s">
        <v>12</v>
      </c>
      <c r="C9" s="5" t="s">
        <v>13</v>
      </c>
      <c r="D9" s="7">
        <v>5.4</v>
      </c>
      <c r="E9" s="12">
        <v>22</v>
      </c>
      <c r="F9" s="13">
        <f t="shared" si="0"/>
        <v>118.8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</row>
    <row r="10" spans="1:245" ht="15.75" x14ac:dyDescent="0.25">
      <c r="A10" s="5">
        <v>4</v>
      </c>
      <c r="B10" s="8" t="s">
        <v>14</v>
      </c>
      <c r="C10" s="5" t="s">
        <v>15</v>
      </c>
      <c r="D10" s="7">
        <v>39.26</v>
      </c>
      <c r="E10" s="12">
        <v>40</v>
      </c>
      <c r="F10" s="13">
        <f t="shared" si="0"/>
        <v>1570.4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</row>
    <row r="11" spans="1:245" ht="15.75" x14ac:dyDescent="0.25">
      <c r="A11" s="5">
        <v>5</v>
      </c>
      <c r="B11" s="8" t="s">
        <v>16</v>
      </c>
      <c r="C11" s="5" t="s">
        <v>15</v>
      </c>
      <c r="D11" s="7">
        <v>39.26</v>
      </c>
      <c r="E11" s="12">
        <v>2</v>
      </c>
      <c r="F11" s="13">
        <f t="shared" si="0"/>
        <v>78.52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</row>
    <row r="12" spans="1:245" ht="15.75" x14ac:dyDescent="0.25">
      <c r="A12" s="5">
        <v>6</v>
      </c>
      <c r="B12" s="8" t="s">
        <v>17</v>
      </c>
      <c r="C12" s="5" t="s">
        <v>15</v>
      </c>
      <c r="D12" s="7">
        <v>39.26</v>
      </c>
      <c r="E12" s="12">
        <v>8</v>
      </c>
      <c r="F12" s="13">
        <f t="shared" si="0"/>
        <v>314.08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</row>
    <row r="13" spans="1:245" ht="15.75" x14ac:dyDescent="0.25">
      <c r="A13" s="5">
        <v>7</v>
      </c>
      <c r="B13" s="8" t="s">
        <v>18</v>
      </c>
      <c r="C13" s="5" t="s">
        <v>15</v>
      </c>
      <c r="D13" s="7">
        <v>49.62</v>
      </c>
      <c r="E13" s="12">
        <v>7</v>
      </c>
      <c r="F13" s="13">
        <f t="shared" si="0"/>
        <v>347.34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</row>
    <row r="14" spans="1:245" ht="63" x14ac:dyDescent="0.25">
      <c r="A14" s="5">
        <v>8</v>
      </c>
      <c r="B14" s="8" t="s">
        <v>19</v>
      </c>
      <c r="C14" s="5" t="s">
        <v>10</v>
      </c>
      <c r="D14" s="7">
        <v>1</v>
      </c>
      <c r="E14" s="12">
        <v>190</v>
      </c>
      <c r="F14" s="13">
        <f t="shared" si="0"/>
        <v>190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</row>
    <row r="15" spans="1:245" ht="15.75" x14ac:dyDescent="0.25">
      <c r="A15" s="5">
        <v>9</v>
      </c>
      <c r="B15" s="8" t="s">
        <v>20</v>
      </c>
      <c r="C15" s="5" t="s">
        <v>15</v>
      </c>
      <c r="D15" s="7">
        <v>13.2</v>
      </c>
      <c r="E15" s="12">
        <v>19</v>
      </c>
      <c r="F15" s="13">
        <f t="shared" si="0"/>
        <v>250.8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</row>
    <row r="16" spans="1:245" ht="15.75" x14ac:dyDescent="0.25">
      <c r="A16" s="5">
        <v>10</v>
      </c>
      <c r="B16" s="8" t="s">
        <v>21</v>
      </c>
      <c r="C16" s="5" t="s">
        <v>15</v>
      </c>
      <c r="D16" s="7">
        <v>13.2</v>
      </c>
      <c r="E16" s="12">
        <v>56</v>
      </c>
      <c r="F16" s="13">
        <f t="shared" si="0"/>
        <v>739.2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</row>
    <row r="17" spans="1:245" ht="15.75" x14ac:dyDescent="0.25">
      <c r="A17" s="5">
        <v>11</v>
      </c>
      <c r="B17" s="8" t="s">
        <v>22</v>
      </c>
      <c r="C17" s="5" t="s">
        <v>13</v>
      </c>
      <c r="D17" s="7">
        <v>13.6</v>
      </c>
      <c r="E17" s="12">
        <v>14</v>
      </c>
      <c r="F17" s="13">
        <f t="shared" si="0"/>
        <v>190.4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</row>
    <row r="18" spans="1:245" ht="15.75" x14ac:dyDescent="0.25">
      <c r="A18" s="5">
        <v>12</v>
      </c>
      <c r="B18" s="8" t="s">
        <v>23</v>
      </c>
      <c r="C18" s="5" t="s">
        <v>10</v>
      </c>
      <c r="D18" s="7">
        <v>1</v>
      </c>
      <c r="E18" s="12">
        <v>60</v>
      </c>
      <c r="F18" s="13">
        <f t="shared" si="0"/>
        <v>60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</row>
    <row r="19" spans="1:245" ht="15.75" x14ac:dyDescent="0.25">
      <c r="A19" s="5">
        <v>13</v>
      </c>
      <c r="B19" s="8" t="s">
        <v>24</v>
      </c>
      <c r="C19" s="5" t="s">
        <v>10</v>
      </c>
      <c r="D19" s="7">
        <v>2</v>
      </c>
      <c r="E19" s="12">
        <v>1</v>
      </c>
      <c r="F19" s="13">
        <f t="shared" si="0"/>
        <v>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</row>
    <row r="20" spans="1:245" ht="15.75" x14ac:dyDescent="0.25">
      <c r="A20" s="5">
        <v>14</v>
      </c>
      <c r="B20" s="8" t="s">
        <v>25</v>
      </c>
      <c r="C20" s="5" t="s">
        <v>10</v>
      </c>
      <c r="D20" s="7">
        <v>2</v>
      </c>
      <c r="E20" s="12">
        <v>26</v>
      </c>
      <c r="F20" s="13">
        <f t="shared" si="0"/>
        <v>52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</row>
    <row r="21" spans="1:245" ht="31.5" x14ac:dyDescent="0.25">
      <c r="A21" s="5">
        <v>15</v>
      </c>
      <c r="B21" s="8" t="s">
        <v>26</v>
      </c>
      <c r="C21" s="5" t="s">
        <v>10</v>
      </c>
      <c r="D21" s="7">
        <v>1</v>
      </c>
      <c r="E21" s="12">
        <v>12</v>
      </c>
      <c r="F21" s="13">
        <f t="shared" si="0"/>
        <v>12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</row>
    <row r="22" spans="1:245" ht="31.5" x14ac:dyDescent="0.25">
      <c r="A22" s="5">
        <v>16</v>
      </c>
      <c r="B22" s="8" t="s">
        <v>27</v>
      </c>
      <c r="C22" s="5" t="s">
        <v>15</v>
      </c>
      <c r="D22" s="7">
        <v>5.82</v>
      </c>
      <c r="E22" s="12">
        <v>23</v>
      </c>
      <c r="F22" s="13">
        <f t="shared" si="0"/>
        <v>133.86000000000001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</row>
    <row r="23" spans="1:245" ht="31.5" x14ac:dyDescent="0.25">
      <c r="A23" s="5">
        <v>17</v>
      </c>
      <c r="B23" s="8" t="s">
        <v>28</v>
      </c>
      <c r="C23" s="5" t="s">
        <v>13</v>
      </c>
      <c r="D23" s="7">
        <v>1.9</v>
      </c>
      <c r="E23" s="12">
        <v>22</v>
      </c>
      <c r="F23" s="13">
        <f t="shared" si="0"/>
        <v>41.8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</row>
    <row r="24" spans="1:245" ht="15.75" x14ac:dyDescent="0.25">
      <c r="A24" s="5"/>
      <c r="B24" s="6" t="s">
        <v>29</v>
      </c>
      <c r="C24" s="5"/>
      <c r="D24" s="7"/>
      <c r="E24" s="12"/>
      <c r="F24" s="13">
        <f t="shared" si="0"/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</row>
    <row r="25" spans="1:245" ht="15.75" x14ac:dyDescent="0.25">
      <c r="A25" s="5">
        <v>18</v>
      </c>
      <c r="B25" s="8" t="s">
        <v>14</v>
      </c>
      <c r="C25" s="5" t="s">
        <v>15</v>
      </c>
      <c r="D25" s="7">
        <v>16.34</v>
      </c>
      <c r="E25" s="12">
        <v>40</v>
      </c>
      <c r="F25" s="13">
        <f t="shared" si="0"/>
        <v>653.6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</row>
    <row r="26" spans="1:245" ht="15.75" x14ac:dyDescent="0.25">
      <c r="A26" s="5">
        <v>19</v>
      </c>
      <c r="B26" s="8" t="s">
        <v>16</v>
      </c>
      <c r="C26" s="5" t="s">
        <v>15</v>
      </c>
      <c r="D26" s="7">
        <v>16.34</v>
      </c>
      <c r="E26" s="12">
        <v>2</v>
      </c>
      <c r="F26" s="13">
        <f t="shared" si="0"/>
        <v>32.68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</row>
    <row r="27" spans="1:245" ht="15.75" x14ac:dyDescent="0.25">
      <c r="A27" s="5">
        <v>20</v>
      </c>
      <c r="B27" s="8" t="s">
        <v>17</v>
      </c>
      <c r="C27" s="5" t="s">
        <v>15</v>
      </c>
      <c r="D27" s="7">
        <v>16.34</v>
      </c>
      <c r="E27" s="12">
        <v>8</v>
      </c>
      <c r="F27" s="13">
        <f t="shared" si="0"/>
        <v>130.72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</row>
    <row r="28" spans="1:245" ht="15.75" x14ac:dyDescent="0.25">
      <c r="A28" s="5">
        <v>21</v>
      </c>
      <c r="B28" s="8" t="s">
        <v>18</v>
      </c>
      <c r="C28" s="5" t="s">
        <v>15</v>
      </c>
      <c r="D28" s="7">
        <v>17.52</v>
      </c>
      <c r="E28" s="12">
        <v>7</v>
      </c>
      <c r="F28" s="13">
        <f t="shared" si="0"/>
        <v>122.64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</row>
    <row r="29" spans="1:245" ht="31.5" x14ac:dyDescent="0.25">
      <c r="A29" s="5">
        <v>22</v>
      </c>
      <c r="B29" s="8" t="s">
        <v>30</v>
      </c>
      <c r="C29" s="5" t="s">
        <v>15</v>
      </c>
      <c r="D29" s="7">
        <v>3.49</v>
      </c>
      <c r="E29" s="12">
        <v>33</v>
      </c>
      <c r="F29" s="13">
        <f t="shared" si="0"/>
        <v>115.17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</row>
    <row r="30" spans="1:245" ht="47.25" x14ac:dyDescent="0.25">
      <c r="A30" s="5">
        <v>23</v>
      </c>
      <c r="B30" s="8" t="s">
        <v>31</v>
      </c>
      <c r="C30" s="5" t="s">
        <v>10</v>
      </c>
      <c r="D30" s="7">
        <v>1</v>
      </c>
      <c r="E30" s="12">
        <v>23</v>
      </c>
      <c r="F30" s="13">
        <f t="shared" si="0"/>
        <v>23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</row>
    <row r="31" spans="1:245" ht="15.75" x14ac:dyDescent="0.25">
      <c r="A31" s="5">
        <v>24</v>
      </c>
      <c r="B31" s="8" t="s">
        <v>32</v>
      </c>
      <c r="C31" s="5" t="s">
        <v>10</v>
      </c>
      <c r="D31" s="7">
        <v>1</v>
      </c>
      <c r="E31" s="12">
        <v>60</v>
      </c>
      <c r="F31" s="13">
        <f t="shared" si="0"/>
        <v>60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</row>
    <row r="32" spans="1:245" ht="15.75" x14ac:dyDescent="0.25">
      <c r="A32" s="5">
        <v>25</v>
      </c>
      <c r="B32" s="8" t="s">
        <v>24</v>
      </c>
      <c r="C32" s="5" t="s">
        <v>10</v>
      </c>
      <c r="D32" s="7">
        <v>1</v>
      </c>
      <c r="E32" s="12">
        <v>1</v>
      </c>
      <c r="F32" s="13">
        <f t="shared" si="0"/>
        <v>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</row>
    <row r="33" spans="1:245" ht="15.75" x14ac:dyDescent="0.25">
      <c r="A33" s="5">
        <v>26</v>
      </c>
      <c r="B33" s="8" t="s">
        <v>25</v>
      </c>
      <c r="C33" s="5" t="s">
        <v>10</v>
      </c>
      <c r="D33" s="7">
        <v>2</v>
      </c>
      <c r="E33" s="12">
        <v>26</v>
      </c>
      <c r="F33" s="13">
        <f t="shared" si="0"/>
        <v>52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</row>
    <row r="34" spans="1:245" ht="15.75" x14ac:dyDescent="0.25">
      <c r="A34" s="5">
        <v>27</v>
      </c>
      <c r="B34" s="8" t="s">
        <v>33</v>
      </c>
      <c r="C34" s="5" t="s">
        <v>15</v>
      </c>
      <c r="D34" s="7">
        <v>3.49</v>
      </c>
      <c r="E34" s="12">
        <v>4</v>
      </c>
      <c r="F34" s="13">
        <f t="shared" si="0"/>
        <v>13.96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</row>
    <row r="35" spans="1:245" ht="15.75" x14ac:dyDescent="0.25">
      <c r="A35" s="5">
        <v>28</v>
      </c>
      <c r="B35" s="8" t="s">
        <v>34</v>
      </c>
      <c r="C35" s="5" t="s">
        <v>13</v>
      </c>
      <c r="D35" s="7">
        <v>6.23</v>
      </c>
      <c r="E35" s="12">
        <v>2</v>
      </c>
      <c r="F35" s="13">
        <f t="shared" si="0"/>
        <v>12.46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</row>
    <row r="36" spans="1:245" ht="15.75" x14ac:dyDescent="0.25">
      <c r="A36" s="5">
        <v>29</v>
      </c>
      <c r="B36" s="8" t="s">
        <v>21</v>
      </c>
      <c r="C36" s="5" t="s">
        <v>15</v>
      </c>
      <c r="D36" s="7">
        <v>3.49</v>
      </c>
      <c r="E36" s="12">
        <v>56</v>
      </c>
      <c r="F36" s="13">
        <f t="shared" si="0"/>
        <v>195.44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</row>
    <row r="37" spans="1:245" ht="15.75" x14ac:dyDescent="0.25">
      <c r="A37" s="5">
        <v>30</v>
      </c>
      <c r="B37" s="8" t="s">
        <v>22</v>
      </c>
      <c r="C37" s="5" t="s">
        <v>13</v>
      </c>
      <c r="D37" s="7">
        <v>6.23</v>
      </c>
      <c r="E37" s="12">
        <v>14</v>
      </c>
      <c r="F37" s="13">
        <f t="shared" si="0"/>
        <v>87.22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</row>
    <row r="38" spans="1:245" ht="31.5" x14ac:dyDescent="0.25">
      <c r="A38" s="5">
        <v>31</v>
      </c>
      <c r="B38" s="8" t="s">
        <v>35</v>
      </c>
      <c r="C38" s="5" t="s">
        <v>15</v>
      </c>
      <c r="D38" s="7">
        <v>0.4</v>
      </c>
      <c r="E38" s="12">
        <v>56</v>
      </c>
      <c r="F38" s="13">
        <f t="shared" si="0"/>
        <v>22.4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</row>
    <row r="39" spans="1:245" ht="31.5" x14ac:dyDescent="0.25">
      <c r="A39" s="5">
        <v>32</v>
      </c>
      <c r="B39" s="8" t="s">
        <v>27</v>
      </c>
      <c r="C39" s="5" t="s">
        <v>15</v>
      </c>
      <c r="D39" s="7">
        <v>2.91</v>
      </c>
      <c r="E39" s="12">
        <v>23</v>
      </c>
      <c r="F39" s="13">
        <f t="shared" si="0"/>
        <v>66.930000000000007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</row>
    <row r="40" spans="1:245" ht="31.5" x14ac:dyDescent="0.25">
      <c r="A40" s="5">
        <v>33</v>
      </c>
      <c r="B40" s="8" t="s">
        <v>28</v>
      </c>
      <c r="C40" s="5" t="s">
        <v>13</v>
      </c>
      <c r="D40" s="7">
        <v>0.95</v>
      </c>
      <c r="E40" s="12">
        <v>22</v>
      </c>
      <c r="F40" s="13">
        <f t="shared" si="0"/>
        <v>20.9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</row>
    <row r="41" spans="1:245" ht="15.75" x14ac:dyDescent="0.25">
      <c r="A41" s="5"/>
      <c r="B41" s="6" t="s">
        <v>36</v>
      </c>
      <c r="C41" s="5"/>
      <c r="D41" s="7"/>
      <c r="E41" s="12"/>
      <c r="F41" s="13">
        <f t="shared" si="0"/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</row>
    <row r="42" spans="1:245" ht="15.75" x14ac:dyDescent="0.25">
      <c r="A42" s="5">
        <v>34</v>
      </c>
      <c r="B42" s="8" t="s">
        <v>37</v>
      </c>
      <c r="C42" s="5" t="s">
        <v>10</v>
      </c>
      <c r="D42" s="7">
        <v>1</v>
      </c>
      <c r="E42" s="12">
        <v>90</v>
      </c>
      <c r="F42" s="13">
        <f t="shared" si="0"/>
        <v>90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</row>
    <row r="43" spans="1:245" ht="31.5" x14ac:dyDescent="0.25">
      <c r="A43" s="5">
        <v>35</v>
      </c>
      <c r="B43" s="8" t="s">
        <v>38</v>
      </c>
      <c r="C43" s="5" t="s">
        <v>10</v>
      </c>
      <c r="D43" s="7">
        <v>1</v>
      </c>
      <c r="E43" s="12">
        <v>24</v>
      </c>
      <c r="F43" s="13">
        <f t="shared" si="0"/>
        <v>24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</row>
    <row r="44" spans="1:245" ht="31.5" x14ac:dyDescent="0.25">
      <c r="A44" s="5">
        <v>36</v>
      </c>
      <c r="B44" s="8" t="s">
        <v>39</v>
      </c>
      <c r="C44" s="5" t="s">
        <v>10</v>
      </c>
      <c r="D44" s="7">
        <v>1</v>
      </c>
      <c r="E44" s="12">
        <v>510</v>
      </c>
      <c r="F44" s="13">
        <f t="shared" si="0"/>
        <v>510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</row>
    <row r="45" spans="1:245" ht="47.25" x14ac:dyDescent="0.25">
      <c r="A45" s="5">
        <v>37</v>
      </c>
      <c r="B45" s="8" t="s">
        <v>12</v>
      </c>
      <c r="C45" s="5" t="s">
        <v>13</v>
      </c>
      <c r="D45" s="7">
        <v>4.5999999999999996</v>
      </c>
      <c r="E45" s="12">
        <v>22</v>
      </c>
      <c r="F45" s="13">
        <f t="shared" si="0"/>
        <v>101.2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</row>
    <row r="46" spans="1:245" ht="15.75" x14ac:dyDescent="0.25">
      <c r="A46" s="5">
        <v>38</v>
      </c>
      <c r="B46" s="8" t="s">
        <v>14</v>
      </c>
      <c r="C46" s="5" t="s">
        <v>15</v>
      </c>
      <c r="D46" s="7">
        <v>10.91</v>
      </c>
      <c r="E46" s="12">
        <v>40</v>
      </c>
      <c r="F46" s="13">
        <f t="shared" si="0"/>
        <v>436.4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</row>
    <row r="47" spans="1:245" ht="15.75" x14ac:dyDescent="0.25">
      <c r="A47" s="5">
        <v>39</v>
      </c>
      <c r="B47" s="8" t="s">
        <v>16</v>
      </c>
      <c r="C47" s="5" t="s">
        <v>15</v>
      </c>
      <c r="D47" s="7">
        <v>10.91</v>
      </c>
      <c r="E47" s="12">
        <v>2</v>
      </c>
      <c r="F47" s="13">
        <f t="shared" si="0"/>
        <v>21.82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</row>
    <row r="48" spans="1:245" ht="15.75" x14ac:dyDescent="0.25">
      <c r="A48" s="5">
        <v>40</v>
      </c>
      <c r="B48" s="8" t="s">
        <v>17</v>
      </c>
      <c r="C48" s="5" t="s">
        <v>15</v>
      </c>
      <c r="D48" s="7">
        <v>10.91</v>
      </c>
      <c r="E48" s="12">
        <v>8</v>
      </c>
      <c r="F48" s="13">
        <f t="shared" si="0"/>
        <v>87.28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</row>
    <row r="49" spans="1:245" ht="15.75" x14ac:dyDescent="0.25">
      <c r="A49" s="5">
        <v>41</v>
      </c>
      <c r="B49" s="8" t="s">
        <v>18</v>
      </c>
      <c r="C49" s="5" t="s">
        <v>15</v>
      </c>
      <c r="D49" s="7">
        <v>10.91</v>
      </c>
      <c r="E49" s="12">
        <v>7</v>
      </c>
      <c r="F49" s="13">
        <f t="shared" si="0"/>
        <v>76.37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</row>
    <row r="50" spans="1:245" ht="31.5" x14ac:dyDescent="0.25">
      <c r="A50" s="5">
        <v>42</v>
      </c>
      <c r="B50" s="8" t="s">
        <v>30</v>
      </c>
      <c r="C50" s="5" t="s">
        <v>15</v>
      </c>
      <c r="D50" s="7">
        <v>1.21</v>
      </c>
      <c r="E50" s="12">
        <v>33</v>
      </c>
      <c r="F50" s="13">
        <f t="shared" si="0"/>
        <v>39.93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</row>
    <row r="51" spans="1:245" ht="15.75" x14ac:dyDescent="0.25">
      <c r="A51" s="5">
        <v>43</v>
      </c>
      <c r="B51" s="8" t="s">
        <v>32</v>
      </c>
      <c r="C51" s="5" t="s">
        <v>10</v>
      </c>
      <c r="D51" s="7">
        <v>1</v>
      </c>
      <c r="E51" s="12">
        <v>60</v>
      </c>
      <c r="F51" s="13">
        <f t="shared" si="0"/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</row>
    <row r="52" spans="1:245" ht="15.75" x14ac:dyDescent="0.25">
      <c r="A52" s="5">
        <v>44</v>
      </c>
      <c r="B52" s="8" t="s">
        <v>40</v>
      </c>
      <c r="C52" s="5" t="s">
        <v>10</v>
      </c>
      <c r="D52" s="7">
        <v>1</v>
      </c>
      <c r="E52" s="12">
        <v>4</v>
      </c>
      <c r="F52" s="13">
        <f t="shared" si="0"/>
        <v>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</row>
    <row r="53" spans="1:245" ht="15.75" x14ac:dyDescent="0.25">
      <c r="A53" s="5">
        <v>45</v>
      </c>
      <c r="B53" s="8" t="s">
        <v>41</v>
      </c>
      <c r="C53" s="5" t="s">
        <v>10</v>
      </c>
      <c r="D53" s="7">
        <v>1</v>
      </c>
      <c r="E53" s="12">
        <v>34</v>
      </c>
      <c r="F53" s="13">
        <f t="shared" si="0"/>
        <v>34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</row>
    <row r="54" spans="1:245" ht="15.75" x14ac:dyDescent="0.25">
      <c r="A54" s="5">
        <v>46</v>
      </c>
      <c r="B54" s="8" t="s">
        <v>42</v>
      </c>
      <c r="C54" s="5" t="s">
        <v>10</v>
      </c>
      <c r="D54" s="7">
        <v>1</v>
      </c>
      <c r="E54" s="12">
        <v>12</v>
      </c>
      <c r="F54" s="13">
        <f t="shared" si="0"/>
        <v>12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</row>
    <row r="55" spans="1:245" ht="15.75" x14ac:dyDescent="0.25">
      <c r="A55" s="5">
        <v>47</v>
      </c>
      <c r="B55" s="8" t="s">
        <v>43</v>
      </c>
      <c r="C55" s="5" t="s">
        <v>10</v>
      </c>
      <c r="D55" s="7">
        <v>1</v>
      </c>
      <c r="E55" s="12">
        <v>14</v>
      </c>
      <c r="F55" s="13">
        <f t="shared" si="0"/>
        <v>14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</row>
    <row r="56" spans="1:245" ht="15.75" x14ac:dyDescent="0.25">
      <c r="A56" s="5">
        <v>48</v>
      </c>
      <c r="B56" s="8" t="s">
        <v>33</v>
      </c>
      <c r="C56" s="5" t="s">
        <v>15</v>
      </c>
      <c r="D56" s="7">
        <v>1.21</v>
      </c>
      <c r="E56" s="12">
        <v>4</v>
      </c>
      <c r="F56" s="13">
        <f t="shared" si="0"/>
        <v>4.84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</row>
    <row r="57" spans="1:245" ht="15.75" x14ac:dyDescent="0.25">
      <c r="A57" s="5">
        <v>49</v>
      </c>
      <c r="B57" s="8" t="s">
        <v>34</v>
      </c>
      <c r="C57" s="5" t="s">
        <v>13</v>
      </c>
      <c r="D57" s="7">
        <v>2.91</v>
      </c>
      <c r="E57" s="12">
        <v>2</v>
      </c>
      <c r="F57" s="13">
        <f t="shared" si="0"/>
        <v>5.82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</row>
    <row r="58" spans="1:245" ht="15.75" x14ac:dyDescent="0.25">
      <c r="A58" s="5">
        <v>50</v>
      </c>
      <c r="B58" s="8" t="s">
        <v>21</v>
      </c>
      <c r="C58" s="5" t="s">
        <v>15</v>
      </c>
      <c r="D58" s="7">
        <v>1.21</v>
      </c>
      <c r="E58" s="12">
        <v>56</v>
      </c>
      <c r="F58" s="13">
        <f t="shared" si="0"/>
        <v>67.760000000000005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</row>
    <row r="59" spans="1:245" ht="15.75" x14ac:dyDescent="0.25">
      <c r="A59" s="5">
        <v>51</v>
      </c>
      <c r="B59" s="8" t="s">
        <v>22</v>
      </c>
      <c r="C59" s="5" t="s">
        <v>13</v>
      </c>
      <c r="D59" s="7">
        <v>2.91</v>
      </c>
      <c r="E59" s="12">
        <v>14</v>
      </c>
      <c r="F59" s="13">
        <f t="shared" si="0"/>
        <v>40.74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</row>
    <row r="60" spans="1:245" ht="31.5" x14ac:dyDescent="0.25">
      <c r="A60" s="5">
        <v>52</v>
      </c>
      <c r="B60" s="8" t="s">
        <v>44</v>
      </c>
      <c r="C60" s="5" t="s">
        <v>45</v>
      </c>
      <c r="D60" s="7">
        <v>2</v>
      </c>
      <c r="E60" s="12">
        <v>290</v>
      </c>
      <c r="F60" s="13">
        <f t="shared" si="0"/>
        <v>580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</row>
    <row r="61" spans="1:245" ht="15.75" x14ac:dyDescent="0.25">
      <c r="A61" s="5"/>
      <c r="B61" s="6" t="s">
        <v>46</v>
      </c>
      <c r="C61" s="5"/>
      <c r="D61" s="7"/>
      <c r="E61" s="12"/>
      <c r="F61" s="13">
        <f t="shared" si="0"/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</row>
    <row r="62" spans="1:245" ht="31.5" x14ac:dyDescent="0.25">
      <c r="A62" s="5">
        <v>53</v>
      </c>
      <c r="B62" s="8" t="s">
        <v>47</v>
      </c>
      <c r="C62" s="5" t="s">
        <v>10</v>
      </c>
      <c r="D62" s="7">
        <v>1</v>
      </c>
      <c r="E62" s="12">
        <v>90</v>
      </c>
      <c r="F62" s="13">
        <f t="shared" si="0"/>
        <v>90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</row>
    <row r="63" spans="1:245" ht="15.75" x14ac:dyDescent="0.25">
      <c r="A63" s="5">
        <v>54</v>
      </c>
      <c r="B63" s="8" t="s">
        <v>14</v>
      </c>
      <c r="C63" s="5" t="s">
        <v>15</v>
      </c>
      <c r="D63" s="7">
        <v>19.77</v>
      </c>
      <c r="E63" s="12">
        <v>40</v>
      </c>
      <c r="F63" s="13">
        <f t="shared" si="0"/>
        <v>790.8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</row>
    <row r="64" spans="1:245" ht="15.75" x14ac:dyDescent="0.25">
      <c r="A64" s="5">
        <v>55</v>
      </c>
      <c r="B64" s="8" t="s">
        <v>16</v>
      </c>
      <c r="C64" s="5" t="s">
        <v>15</v>
      </c>
      <c r="D64" s="7">
        <v>19.77</v>
      </c>
      <c r="E64" s="12">
        <v>2</v>
      </c>
      <c r="F64" s="13">
        <f t="shared" si="0"/>
        <v>39.54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</row>
    <row r="65" spans="1:245" ht="15.75" x14ac:dyDescent="0.25">
      <c r="A65" s="5">
        <v>56</v>
      </c>
      <c r="B65" s="8" t="s">
        <v>17</v>
      </c>
      <c r="C65" s="5" t="s">
        <v>15</v>
      </c>
      <c r="D65" s="7">
        <v>19.77</v>
      </c>
      <c r="E65" s="12">
        <v>8</v>
      </c>
      <c r="F65" s="13">
        <f t="shared" si="0"/>
        <v>158.16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</row>
    <row r="66" spans="1:245" ht="15.75" x14ac:dyDescent="0.25">
      <c r="A66" s="5">
        <v>57</v>
      </c>
      <c r="B66" s="8" t="s">
        <v>18</v>
      </c>
      <c r="C66" s="5" t="s">
        <v>15</v>
      </c>
      <c r="D66" s="7">
        <v>19.77</v>
      </c>
      <c r="E66" s="12">
        <v>7</v>
      </c>
      <c r="F66" s="13">
        <f t="shared" si="0"/>
        <v>138.38999999999999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</row>
    <row r="67" spans="1:245" ht="47.25" x14ac:dyDescent="0.25">
      <c r="A67" s="5">
        <v>58</v>
      </c>
      <c r="B67" s="8" t="s">
        <v>12</v>
      </c>
      <c r="C67" s="5" t="s">
        <v>13</v>
      </c>
      <c r="D67" s="7">
        <v>4.9400000000000004</v>
      </c>
      <c r="E67" s="12">
        <v>22</v>
      </c>
      <c r="F67" s="13">
        <f t="shared" si="0"/>
        <v>108.68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</row>
    <row r="68" spans="1:245" ht="31.5" x14ac:dyDescent="0.25">
      <c r="A68" s="5">
        <v>59</v>
      </c>
      <c r="B68" s="8" t="s">
        <v>48</v>
      </c>
      <c r="C68" s="5" t="s">
        <v>10</v>
      </c>
      <c r="D68" s="7">
        <v>1</v>
      </c>
      <c r="E68" s="12">
        <v>23</v>
      </c>
      <c r="F68" s="13">
        <f t="shared" si="0"/>
        <v>23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</row>
    <row r="69" spans="1:245" ht="31.5" x14ac:dyDescent="0.25">
      <c r="A69" s="5">
        <v>60</v>
      </c>
      <c r="B69" s="8" t="s">
        <v>49</v>
      </c>
      <c r="C69" s="5" t="s">
        <v>15</v>
      </c>
      <c r="D69" s="7">
        <v>4.26</v>
      </c>
      <c r="E69" s="12">
        <v>58</v>
      </c>
      <c r="F69" s="13">
        <f t="shared" si="0"/>
        <v>247.08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</row>
    <row r="70" spans="1:245" ht="47.25" x14ac:dyDescent="0.25">
      <c r="A70" s="5">
        <v>61</v>
      </c>
      <c r="B70" s="8" t="s">
        <v>50</v>
      </c>
      <c r="C70" s="5" t="s">
        <v>10</v>
      </c>
      <c r="D70" s="7">
        <v>1</v>
      </c>
      <c r="E70" s="12">
        <v>300</v>
      </c>
      <c r="F70" s="13">
        <f t="shared" si="0"/>
        <v>300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</row>
    <row r="71" spans="1:245" ht="15.75" x14ac:dyDescent="0.25">
      <c r="A71" s="5">
        <v>62</v>
      </c>
      <c r="B71" s="8" t="s">
        <v>51</v>
      </c>
      <c r="C71" s="5" t="s">
        <v>10</v>
      </c>
      <c r="D71" s="7">
        <v>1</v>
      </c>
      <c r="E71" s="12">
        <v>1</v>
      </c>
      <c r="F71" s="13">
        <f t="shared" ref="F71:F134" si="1">ROUND(D71*E71,2)</f>
        <v>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</row>
    <row r="72" spans="1:245" ht="15.75" x14ac:dyDescent="0.25">
      <c r="A72" s="5">
        <v>63</v>
      </c>
      <c r="B72" s="8" t="s">
        <v>42</v>
      </c>
      <c r="C72" s="5" t="s">
        <v>10</v>
      </c>
      <c r="D72" s="7">
        <v>1</v>
      </c>
      <c r="E72" s="12">
        <v>12</v>
      </c>
      <c r="F72" s="13">
        <f t="shared" si="1"/>
        <v>12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</row>
    <row r="73" spans="1:245" ht="31.5" x14ac:dyDescent="0.25">
      <c r="A73" s="5">
        <v>64</v>
      </c>
      <c r="B73" s="8" t="s">
        <v>52</v>
      </c>
      <c r="C73" s="5" t="s">
        <v>10</v>
      </c>
      <c r="D73" s="7">
        <v>1</v>
      </c>
      <c r="E73" s="12">
        <v>23</v>
      </c>
      <c r="F73" s="13">
        <f t="shared" si="1"/>
        <v>23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</row>
    <row r="74" spans="1:245" ht="15.75" x14ac:dyDescent="0.25">
      <c r="A74" s="5">
        <v>65</v>
      </c>
      <c r="B74" s="8" t="s">
        <v>32</v>
      </c>
      <c r="C74" s="5" t="s">
        <v>10</v>
      </c>
      <c r="D74" s="7">
        <v>1</v>
      </c>
      <c r="E74" s="12">
        <v>60</v>
      </c>
      <c r="F74" s="13">
        <f t="shared" si="1"/>
        <v>60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</row>
    <row r="75" spans="1:245" ht="31.5" x14ac:dyDescent="0.25">
      <c r="A75" s="5">
        <v>66</v>
      </c>
      <c r="B75" s="8" t="s">
        <v>53</v>
      </c>
      <c r="C75" s="5" t="s">
        <v>10</v>
      </c>
      <c r="D75" s="7">
        <v>1</v>
      </c>
      <c r="E75" s="12">
        <v>23</v>
      </c>
      <c r="F75" s="13">
        <f t="shared" si="1"/>
        <v>23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</row>
    <row r="76" spans="1:245" ht="15.75" x14ac:dyDescent="0.25">
      <c r="A76" s="5">
        <v>67</v>
      </c>
      <c r="B76" s="8" t="s">
        <v>21</v>
      </c>
      <c r="C76" s="5" t="s">
        <v>15</v>
      </c>
      <c r="D76" s="7">
        <v>4.26</v>
      </c>
      <c r="E76" s="12">
        <v>56</v>
      </c>
      <c r="F76" s="13">
        <f t="shared" si="1"/>
        <v>238.56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</row>
    <row r="77" spans="1:245" ht="15.75" x14ac:dyDescent="0.25">
      <c r="A77" s="5">
        <v>68</v>
      </c>
      <c r="B77" s="8" t="s">
        <v>22</v>
      </c>
      <c r="C77" s="5" t="s">
        <v>13</v>
      </c>
      <c r="D77" s="7">
        <v>6.56</v>
      </c>
      <c r="E77" s="12">
        <v>14</v>
      </c>
      <c r="F77" s="13">
        <f t="shared" si="1"/>
        <v>91.84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</row>
    <row r="78" spans="1:245" ht="15.75" x14ac:dyDescent="0.25">
      <c r="A78" s="5"/>
      <c r="B78" s="6" t="s">
        <v>54</v>
      </c>
      <c r="C78" s="5"/>
      <c r="D78" s="7"/>
      <c r="E78" s="12"/>
      <c r="F78" s="13">
        <f t="shared" si="1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</row>
    <row r="79" spans="1:245" ht="15.75" x14ac:dyDescent="0.25">
      <c r="A79" s="5">
        <v>69</v>
      </c>
      <c r="B79" s="8" t="s">
        <v>55</v>
      </c>
      <c r="C79" s="5" t="s">
        <v>10</v>
      </c>
      <c r="D79" s="7">
        <v>1</v>
      </c>
      <c r="E79" s="12">
        <v>6</v>
      </c>
      <c r="F79" s="13">
        <f t="shared" si="1"/>
        <v>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</row>
    <row r="80" spans="1:245" ht="15.75" x14ac:dyDescent="0.25">
      <c r="A80" s="5">
        <v>70</v>
      </c>
      <c r="B80" s="8" t="s">
        <v>56</v>
      </c>
      <c r="C80" s="5" t="s">
        <v>10</v>
      </c>
      <c r="D80" s="7">
        <v>1</v>
      </c>
      <c r="E80" s="12">
        <v>12</v>
      </c>
      <c r="F80" s="13">
        <f t="shared" si="1"/>
        <v>12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</row>
    <row r="81" spans="1:245" ht="31.5" x14ac:dyDescent="0.25">
      <c r="A81" s="5">
        <v>71</v>
      </c>
      <c r="B81" s="8" t="s">
        <v>57</v>
      </c>
      <c r="C81" s="5" t="s">
        <v>10</v>
      </c>
      <c r="D81" s="7">
        <v>1</v>
      </c>
      <c r="E81" s="12">
        <v>90</v>
      </c>
      <c r="F81" s="13">
        <f t="shared" si="1"/>
        <v>90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</row>
    <row r="82" spans="1:245" ht="15.75" x14ac:dyDescent="0.25">
      <c r="A82" s="5">
        <v>72</v>
      </c>
      <c r="B82" s="8" t="s">
        <v>58</v>
      </c>
      <c r="C82" s="5" t="s">
        <v>10</v>
      </c>
      <c r="D82" s="7">
        <v>1</v>
      </c>
      <c r="E82" s="12">
        <v>66</v>
      </c>
      <c r="F82" s="13">
        <f t="shared" si="1"/>
        <v>66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</row>
    <row r="83" spans="1:245" ht="31.5" x14ac:dyDescent="0.25">
      <c r="A83" s="5">
        <v>73</v>
      </c>
      <c r="B83" s="8" t="s">
        <v>59</v>
      </c>
      <c r="C83" s="5" t="s">
        <v>15</v>
      </c>
      <c r="D83" s="7">
        <v>10.62</v>
      </c>
      <c r="E83" s="12">
        <v>44</v>
      </c>
      <c r="F83" s="13">
        <f t="shared" si="1"/>
        <v>467.28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</row>
    <row r="84" spans="1:245" ht="15.75" x14ac:dyDescent="0.25">
      <c r="A84" s="5">
        <v>74</v>
      </c>
      <c r="B84" s="8" t="s">
        <v>16</v>
      </c>
      <c r="C84" s="5" t="s">
        <v>15</v>
      </c>
      <c r="D84" s="7">
        <v>7.72</v>
      </c>
      <c r="E84" s="12">
        <v>2</v>
      </c>
      <c r="F84" s="13">
        <f t="shared" si="1"/>
        <v>15.44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</row>
    <row r="85" spans="1:245" ht="15.75" x14ac:dyDescent="0.25">
      <c r="A85" s="5">
        <v>75</v>
      </c>
      <c r="B85" s="8" t="s">
        <v>17</v>
      </c>
      <c r="C85" s="5" t="s">
        <v>15</v>
      </c>
      <c r="D85" s="7">
        <v>7.72</v>
      </c>
      <c r="E85" s="12">
        <v>8</v>
      </c>
      <c r="F85" s="13">
        <f t="shared" si="1"/>
        <v>61.76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</row>
    <row r="86" spans="1:245" ht="15.75" x14ac:dyDescent="0.25">
      <c r="A86" s="5">
        <v>76</v>
      </c>
      <c r="B86" s="8" t="s">
        <v>18</v>
      </c>
      <c r="C86" s="5" t="s">
        <v>15</v>
      </c>
      <c r="D86" s="7">
        <v>7.72</v>
      </c>
      <c r="E86" s="12">
        <v>7</v>
      </c>
      <c r="F86" s="13">
        <f t="shared" si="1"/>
        <v>54.04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</row>
    <row r="87" spans="1:245" ht="47.25" x14ac:dyDescent="0.25">
      <c r="A87" s="5">
        <v>77</v>
      </c>
      <c r="B87" s="8" t="s">
        <v>12</v>
      </c>
      <c r="C87" s="5" t="s">
        <v>13</v>
      </c>
      <c r="D87" s="7">
        <v>4.49</v>
      </c>
      <c r="E87" s="12">
        <v>22</v>
      </c>
      <c r="F87" s="13">
        <f t="shared" si="1"/>
        <v>98.78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</row>
    <row r="88" spans="1:245" ht="47.25" x14ac:dyDescent="0.25">
      <c r="A88" s="5">
        <v>78</v>
      </c>
      <c r="B88" s="8" t="s">
        <v>60</v>
      </c>
      <c r="C88" s="5" t="s">
        <v>15</v>
      </c>
      <c r="D88" s="7">
        <v>1.38</v>
      </c>
      <c r="E88" s="12">
        <v>58</v>
      </c>
      <c r="F88" s="13">
        <f t="shared" si="1"/>
        <v>80.040000000000006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</row>
    <row r="89" spans="1:245" ht="31.5" x14ac:dyDescent="0.25">
      <c r="A89" s="5">
        <v>79</v>
      </c>
      <c r="B89" s="8" t="s">
        <v>61</v>
      </c>
      <c r="C89" s="5" t="s">
        <v>10</v>
      </c>
      <c r="D89" s="7">
        <v>1</v>
      </c>
      <c r="E89" s="12">
        <v>23</v>
      </c>
      <c r="F89" s="13">
        <f t="shared" si="1"/>
        <v>23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</row>
    <row r="90" spans="1:245" ht="15.75" x14ac:dyDescent="0.25">
      <c r="A90" s="5">
        <v>80</v>
      </c>
      <c r="B90" s="8" t="s">
        <v>32</v>
      </c>
      <c r="C90" s="5" t="s">
        <v>10</v>
      </c>
      <c r="D90" s="7">
        <v>1</v>
      </c>
      <c r="E90" s="12">
        <v>60</v>
      </c>
      <c r="F90" s="13">
        <f t="shared" si="1"/>
        <v>60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</row>
    <row r="91" spans="1:245" ht="15.75" x14ac:dyDescent="0.25">
      <c r="A91" s="5">
        <v>81</v>
      </c>
      <c r="B91" s="8" t="s">
        <v>51</v>
      </c>
      <c r="C91" s="5" t="s">
        <v>10</v>
      </c>
      <c r="D91" s="7">
        <v>1</v>
      </c>
      <c r="E91" s="12">
        <v>1</v>
      </c>
      <c r="F91" s="13">
        <f t="shared" si="1"/>
        <v>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</row>
    <row r="92" spans="1:245" ht="15.75" x14ac:dyDescent="0.25">
      <c r="A92" s="5">
        <v>82</v>
      </c>
      <c r="B92" s="8" t="s">
        <v>42</v>
      </c>
      <c r="C92" s="5" t="s">
        <v>10</v>
      </c>
      <c r="D92" s="7">
        <v>1</v>
      </c>
      <c r="E92" s="12">
        <v>12</v>
      </c>
      <c r="F92" s="13">
        <f t="shared" si="1"/>
        <v>12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</row>
    <row r="93" spans="1:245" ht="15.75" x14ac:dyDescent="0.25">
      <c r="A93" s="5">
        <v>83</v>
      </c>
      <c r="B93" s="8" t="s">
        <v>62</v>
      </c>
      <c r="C93" s="5" t="s">
        <v>10</v>
      </c>
      <c r="D93" s="7">
        <v>1</v>
      </c>
      <c r="E93" s="12">
        <v>24</v>
      </c>
      <c r="F93" s="13">
        <f t="shared" si="1"/>
        <v>24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</row>
    <row r="94" spans="1:245" ht="31.5" x14ac:dyDescent="0.25">
      <c r="A94" s="5">
        <v>84</v>
      </c>
      <c r="B94" s="8" t="s">
        <v>63</v>
      </c>
      <c r="C94" s="5" t="s">
        <v>10</v>
      </c>
      <c r="D94" s="7">
        <v>1</v>
      </c>
      <c r="E94" s="12">
        <v>500</v>
      </c>
      <c r="F94" s="13">
        <f t="shared" si="1"/>
        <v>500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</row>
    <row r="95" spans="1:245" ht="31.5" x14ac:dyDescent="0.25">
      <c r="A95" s="5">
        <v>85</v>
      </c>
      <c r="B95" s="8" t="s">
        <v>64</v>
      </c>
      <c r="C95" s="5" t="s">
        <v>15</v>
      </c>
      <c r="D95" s="7">
        <v>3.15</v>
      </c>
      <c r="E95" s="12">
        <v>54</v>
      </c>
      <c r="F95" s="13">
        <f t="shared" si="1"/>
        <v>170.1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</row>
    <row r="96" spans="1:245" ht="47.25" x14ac:dyDescent="0.25">
      <c r="A96" s="5">
        <v>86</v>
      </c>
      <c r="B96" s="8" t="s">
        <v>65</v>
      </c>
      <c r="C96" s="5" t="s">
        <v>10</v>
      </c>
      <c r="D96" s="7">
        <v>1</v>
      </c>
      <c r="E96" s="12">
        <v>38</v>
      </c>
      <c r="F96" s="13">
        <f t="shared" si="1"/>
        <v>38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</row>
    <row r="97" spans="1:245" ht="15.75" x14ac:dyDescent="0.25">
      <c r="A97" s="5">
        <v>87</v>
      </c>
      <c r="B97" s="8" t="s">
        <v>21</v>
      </c>
      <c r="C97" s="5" t="s">
        <v>15</v>
      </c>
      <c r="D97" s="7">
        <v>1.38</v>
      </c>
      <c r="E97" s="12">
        <v>56</v>
      </c>
      <c r="F97" s="13">
        <f t="shared" si="1"/>
        <v>77.28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</row>
    <row r="98" spans="1:245" ht="15.75" x14ac:dyDescent="0.25">
      <c r="A98" s="5">
        <v>88</v>
      </c>
      <c r="B98" s="8" t="s">
        <v>22</v>
      </c>
      <c r="C98" s="5" t="s">
        <v>13</v>
      </c>
      <c r="D98" s="7">
        <v>3.31</v>
      </c>
      <c r="E98" s="12">
        <v>14</v>
      </c>
      <c r="F98" s="13">
        <f t="shared" si="1"/>
        <v>46.34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</row>
    <row r="99" spans="1:245" ht="31.5" x14ac:dyDescent="0.25">
      <c r="A99" s="5">
        <v>89</v>
      </c>
      <c r="B99" s="8" t="s">
        <v>66</v>
      </c>
      <c r="C99" s="5" t="s">
        <v>10</v>
      </c>
      <c r="D99" s="7">
        <v>1</v>
      </c>
      <c r="E99" s="12">
        <v>98</v>
      </c>
      <c r="F99" s="13">
        <f t="shared" si="1"/>
        <v>98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</row>
    <row r="100" spans="1:245" ht="31.5" x14ac:dyDescent="0.25">
      <c r="A100" s="5">
        <v>90</v>
      </c>
      <c r="B100" s="8" t="s">
        <v>67</v>
      </c>
      <c r="C100" s="5" t="s">
        <v>10</v>
      </c>
      <c r="D100" s="7">
        <v>1</v>
      </c>
      <c r="E100" s="12">
        <v>133</v>
      </c>
      <c r="F100" s="13">
        <f t="shared" si="1"/>
        <v>133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</row>
    <row r="101" spans="1:245" ht="15.75" x14ac:dyDescent="0.25">
      <c r="A101" s="5">
        <v>91</v>
      </c>
      <c r="B101" s="8" t="s">
        <v>68</v>
      </c>
      <c r="C101" s="5" t="s">
        <v>10</v>
      </c>
      <c r="D101" s="7">
        <v>1</v>
      </c>
      <c r="E101" s="12">
        <v>38</v>
      </c>
      <c r="F101" s="13">
        <f t="shared" si="1"/>
        <v>38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</row>
    <row r="102" spans="1:245" ht="31.5" x14ac:dyDescent="0.25">
      <c r="A102" s="5">
        <v>92</v>
      </c>
      <c r="B102" s="8" t="s">
        <v>69</v>
      </c>
      <c r="C102" s="5" t="s">
        <v>10</v>
      </c>
      <c r="D102" s="7">
        <v>1</v>
      </c>
      <c r="E102" s="12">
        <v>35</v>
      </c>
      <c r="F102" s="13">
        <f t="shared" si="1"/>
        <v>35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</row>
    <row r="103" spans="1:245" ht="31.5" x14ac:dyDescent="0.25">
      <c r="A103" s="5">
        <v>93</v>
      </c>
      <c r="B103" s="8" t="s">
        <v>70</v>
      </c>
      <c r="C103" s="5" t="s">
        <v>10</v>
      </c>
      <c r="D103" s="7">
        <v>1</v>
      </c>
      <c r="E103" s="12">
        <v>65</v>
      </c>
      <c r="F103" s="13">
        <f t="shared" si="1"/>
        <v>65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</row>
    <row r="104" spans="1:245" ht="15.75" x14ac:dyDescent="0.25">
      <c r="A104" s="5">
        <v>94</v>
      </c>
      <c r="B104" s="8" t="s">
        <v>71</v>
      </c>
      <c r="C104" s="5" t="s">
        <v>10</v>
      </c>
      <c r="D104" s="7">
        <v>1</v>
      </c>
      <c r="E104" s="12">
        <v>32</v>
      </c>
      <c r="F104" s="13">
        <f t="shared" si="1"/>
        <v>32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</row>
    <row r="105" spans="1:245" ht="31.5" x14ac:dyDescent="0.25">
      <c r="A105" s="5">
        <v>95</v>
      </c>
      <c r="B105" s="8" t="s">
        <v>44</v>
      </c>
      <c r="C105" s="5" t="s">
        <v>45</v>
      </c>
      <c r="D105" s="7">
        <v>1</v>
      </c>
      <c r="E105" s="12">
        <v>290</v>
      </c>
      <c r="F105" s="13">
        <f t="shared" si="1"/>
        <v>290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</row>
    <row r="106" spans="1:245" ht="15.75" x14ac:dyDescent="0.25">
      <c r="A106" s="5"/>
      <c r="B106" s="6" t="s">
        <v>72</v>
      </c>
      <c r="C106" s="5"/>
      <c r="D106" s="7"/>
      <c r="E106" s="12"/>
      <c r="F106" s="13">
        <f t="shared" si="1"/>
        <v>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</row>
    <row r="107" spans="1:245" ht="31.5" x14ac:dyDescent="0.25">
      <c r="A107" s="5">
        <v>96</v>
      </c>
      <c r="B107" s="8" t="s">
        <v>73</v>
      </c>
      <c r="C107" s="5" t="s">
        <v>10</v>
      </c>
      <c r="D107" s="7">
        <v>1</v>
      </c>
      <c r="E107" s="12">
        <v>90</v>
      </c>
      <c r="F107" s="13">
        <f t="shared" si="1"/>
        <v>90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</row>
    <row r="108" spans="1:245" ht="15.75" x14ac:dyDescent="0.25">
      <c r="A108" s="5">
        <v>97</v>
      </c>
      <c r="B108" s="8" t="s">
        <v>58</v>
      </c>
      <c r="C108" s="5" t="s">
        <v>10</v>
      </c>
      <c r="D108" s="7">
        <v>1</v>
      </c>
      <c r="E108" s="12">
        <v>66</v>
      </c>
      <c r="F108" s="13">
        <f t="shared" si="1"/>
        <v>66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</row>
    <row r="109" spans="1:245" ht="15.75" x14ac:dyDescent="0.25">
      <c r="A109" s="5">
        <v>98</v>
      </c>
      <c r="B109" s="8" t="s">
        <v>20</v>
      </c>
      <c r="C109" s="5" t="s">
        <v>15</v>
      </c>
      <c r="D109" s="7">
        <v>1.19</v>
      </c>
      <c r="E109" s="12">
        <v>19</v>
      </c>
      <c r="F109" s="13">
        <f t="shared" si="1"/>
        <v>22.61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</row>
    <row r="110" spans="1:245" ht="31.5" x14ac:dyDescent="0.25">
      <c r="A110" s="5">
        <v>99</v>
      </c>
      <c r="B110" s="8" t="s">
        <v>59</v>
      </c>
      <c r="C110" s="5" t="s">
        <v>15</v>
      </c>
      <c r="D110" s="7">
        <v>11.25</v>
      </c>
      <c r="E110" s="12">
        <v>44</v>
      </c>
      <c r="F110" s="13">
        <f t="shared" si="1"/>
        <v>495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</row>
    <row r="111" spans="1:245" ht="47.25" x14ac:dyDescent="0.25">
      <c r="A111" s="5">
        <v>100</v>
      </c>
      <c r="B111" s="8" t="s">
        <v>60</v>
      </c>
      <c r="C111" s="5" t="s">
        <v>15</v>
      </c>
      <c r="D111" s="7">
        <v>1.1599999999999999</v>
      </c>
      <c r="E111" s="12">
        <v>58</v>
      </c>
      <c r="F111" s="13">
        <f t="shared" si="1"/>
        <v>67.28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</row>
    <row r="112" spans="1:245" ht="31.5" x14ac:dyDescent="0.25">
      <c r="A112" s="5">
        <v>101</v>
      </c>
      <c r="B112" s="8" t="s">
        <v>61</v>
      </c>
      <c r="C112" s="5" t="s">
        <v>10</v>
      </c>
      <c r="D112" s="7">
        <v>1</v>
      </c>
      <c r="E112" s="12">
        <v>23</v>
      </c>
      <c r="F112" s="13">
        <f t="shared" si="1"/>
        <v>23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</row>
    <row r="113" spans="1:245" ht="15.75" x14ac:dyDescent="0.25">
      <c r="A113" s="5">
        <v>102</v>
      </c>
      <c r="B113" s="8" t="s">
        <v>32</v>
      </c>
      <c r="C113" s="5" t="s">
        <v>10</v>
      </c>
      <c r="D113" s="7">
        <v>1</v>
      </c>
      <c r="E113" s="12">
        <v>60</v>
      </c>
      <c r="F113" s="13">
        <f t="shared" si="1"/>
        <v>60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</row>
    <row r="114" spans="1:245" ht="15.75" x14ac:dyDescent="0.25">
      <c r="A114" s="5">
        <v>103</v>
      </c>
      <c r="B114" s="8" t="s">
        <v>74</v>
      </c>
      <c r="C114" s="5" t="s">
        <v>10</v>
      </c>
      <c r="D114" s="7">
        <v>1</v>
      </c>
      <c r="E114" s="12">
        <v>18</v>
      </c>
      <c r="F114" s="13">
        <f t="shared" si="1"/>
        <v>18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</row>
    <row r="115" spans="1:245" ht="63" x14ac:dyDescent="0.25">
      <c r="A115" s="5">
        <v>104</v>
      </c>
      <c r="B115" s="8" t="s">
        <v>75</v>
      </c>
      <c r="C115" s="5" t="s">
        <v>10</v>
      </c>
      <c r="D115" s="7">
        <v>1</v>
      </c>
      <c r="E115" s="12">
        <v>90</v>
      </c>
      <c r="F115" s="13">
        <f t="shared" si="1"/>
        <v>90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</row>
    <row r="116" spans="1:245" ht="15.75" x14ac:dyDescent="0.25">
      <c r="A116" s="5">
        <v>105</v>
      </c>
      <c r="B116" s="8" t="s">
        <v>76</v>
      </c>
      <c r="C116" s="5" t="s">
        <v>15</v>
      </c>
      <c r="D116" s="7">
        <v>10.19</v>
      </c>
      <c r="E116" s="12">
        <v>54</v>
      </c>
      <c r="F116" s="13">
        <f t="shared" si="1"/>
        <v>550.26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</row>
    <row r="117" spans="1:245" ht="15.75" x14ac:dyDescent="0.25">
      <c r="A117" s="5">
        <v>106</v>
      </c>
      <c r="B117" s="8" t="s">
        <v>77</v>
      </c>
      <c r="C117" s="5" t="s">
        <v>13</v>
      </c>
      <c r="D117" s="7">
        <v>4.49</v>
      </c>
      <c r="E117" s="12">
        <v>32</v>
      </c>
      <c r="F117" s="13">
        <f t="shared" si="1"/>
        <v>143.68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</row>
    <row r="118" spans="1:245" ht="15.75" x14ac:dyDescent="0.25">
      <c r="A118" s="5">
        <v>107</v>
      </c>
      <c r="B118" s="8" t="s">
        <v>21</v>
      </c>
      <c r="C118" s="5" t="s">
        <v>15</v>
      </c>
      <c r="D118" s="7">
        <v>1.1599999999999999</v>
      </c>
      <c r="E118" s="12">
        <v>56</v>
      </c>
      <c r="F118" s="13">
        <f t="shared" si="1"/>
        <v>64.959999999999994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</row>
    <row r="119" spans="1:245" ht="31.5" x14ac:dyDescent="0.25">
      <c r="A119" s="5">
        <v>108</v>
      </c>
      <c r="B119" s="8" t="s">
        <v>78</v>
      </c>
      <c r="C119" s="5" t="s">
        <v>10</v>
      </c>
      <c r="D119" s="7">
        <v>1</v>
      </c>
      <c r="E119" s="12">
        <v>290</v>
      </c>
      <c r="F119" s="13">
        <f t="shared" si="1"/>
        <v>290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</row>
    <row r="120" spans="1:245" ht="31.5" x14ac:dyDescent="0.25">
      <c r="A120" s="5">
        <v>109</v>
      </c>
      <c r="B120" s="8" t="s">
        <v>79</v>
      </c>
      <c r="C120" s="5" t="s">
        <v>10</v>
      </c>
      <c r="D120" s="7">
        <v>1</v>
      </c>
      <c r="E120" s="12">
        <v>95.5</v>
      </c>
      <c r="F120" s="13">
        <f t="shared" si="1"/>
        <v>95.5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</row>
    <row r="121" spans="1:245" ht="31.5" x14ac:dyDescent="0.25">
      <c r="A121" s="5">
        <v>110</v>
      </c>
      <c r="B121" s="8" t="s">
        <v>80</v>
      </c>
      <c r="C121" s="5" t="s">
        <v>10</v>
      </c>
      <c r="D121" s="7">
        <v>1</v>
      </c>
      <c r="E121" s="12">
        <v>22</v>
      </c>
      <c r="F121" s="13">
        <f t="shared" si="1"/>
        <v>22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</row>
    <row r="122" spans="1:245" ht="15.75" x14ac:dyDescent="0.25">
      <c r="A122" s="5">
        <v>111</v>
      </c>
      <c r="B122" s="8" t="s">
        <v>71</v>
      </c>
      <c r="C122" s="5" t="s">
        <v>10</v>
      </c>
      <c r="D122" s="7">
        <v>1</v>
      </c>
      <c r="E122" s="12">
        <v>32</v>
      </c>
      <c r="F122" s="13">
        <f t="shared" si="1"/>
        <v>32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</row>
    <row r="123" spans="1:245" ht="15.75" x14ac:dyDescent="0.25">
      <c r="A123" s="5">
        <v>112</v>
      </c>
      <c r="B123" s="8" t="s">
        <v>81</v>
      </c>
      <c r="C123" s="5" t="s">
        <v>10</v>
      </c>
      <c r="D123" s="7">
        <v>1</v>
      </c>
      <c r="E123" s="12">
        <v>26</v>
      </c>
      <c r="F123" s="13">
        <f t="shared" si="1"/>
        <v>26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</row>
    <row r="124" spans="1:245" ht="15.75" x14ac:dyDescent="0.25">
      <c r="A124" s="5"/>
      <c r="B124" s="6" t="s">
        <v>82</v>
      </c>
      <c r="C124" s="5"/>
      <c r="D124" s="7"/>
      <c r="E124" s="12"/>
      <c r="F124" s="13">
        <f t="shared" si="1"/>
        <v>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</row>
    <row r="125" spans="1:245" ht="31.5" x14ac:dyDescent="0.25">
      <c r="A125" s="5">
        <v>113</v>
      </c>
      <c r="B125" s="8" t="s">
        <v>83</v>
      </c>
      <c r="C125" s="5" t="s">
        <v>10</v>
      </c>
      <c r="D125" s="7">
        <v>1</v>
      </c>
      <c r="E125" s="12">
        <v>24</v>
      </c>
      <c r="F125" s="13">
        <f t="shared" si="1"/>
        <v>24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</row>
    <row r="126" spans="1:245" ht="31.5" x14ac:dyDescent="0.25">
      <c r="A126" s="5">
        <v>114</v>
      </c>
      <c r="B126" s="8" t="s">
        <v>84</v>
      </c>
      <c r="C126" s="5" t="s">
        <v>10</v>
      </c>
      <c r="D126" s="7">
        <v>1</v>
      </c>
      <c r="E126" s="12">
        <v>900</v>
      </c>
      <c r="F126" s="13">
        <f t="shared" si="1"/>
        <v>900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</row>
    <row r="127" spans="1:245" ht="31.5" x14ac:dyDescent="0.25">
      <c r="A127" s="5">
        <v>115</v>
      </c>
      <c r="B127" s="8" t="s">
        <v>85</v>
      </c>
      <c r="C127" s="5" t="s">
        <v>15</v>
      </c>
      <c r="D127" s="7">
        <v>36.51</v>
      </c>
      <c r="E127" s="12">
        <v>6</v>
      </c>
      <c r="F127" s="13">
        <f t="shared" si="1"/>
        <v>219.06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</row>
    <row r="128" spans="1:245" ht="15.75" x14ac:dyDescent="0.25">
      <c r="A128" s="5">
        <v>116</v>
      </c>
      <c r="B128" s="8" t="s">
        <v>86</v>
      </c>
      <c r="C128" s="5" t="s">
        <v>15</v>
      </c>
      <c r="D128" s="7">
        <v>4.75</v>
      </c>
      <c r="E128" s="12">
        <v>6</v>
      </c>
      <c r="F128" s="13">
        <f t="shared" si="1"/>
        <v>28.5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</row>
    <row r="129" spans="1:245" ht="15.75" x14ac:dyDescent="0.25">
      <c r="A129" s="5">
        <v>117</v>
      </c>
      <c r="B129" s="8" t="s">
        <v>87</v>
      </c>
      <c r="C129" s="5" t="s">
        <v>15</v>
      </c>
      <c r="D129" s="7">
        <v>11.86</v>
      </c>
      <c r="E129" s="12">
        <v>6</v>
      </c>
      <c r="F129" s="13">
        <f t="shared" si="1"/>
        <v>71.16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</row>
    <row r="130" spans="1:245" ht="15.75" x14ac:dyDescent="0.25">
      <c r="A130" s="5"/>
      <c r="B130" s="6" t="s">
        <v>88</v>
      </c>
      <c r="C130" s="5"/>
      <c r="D130" s="7"/>
      <c r="E130" s="12"/>
      <c r="F130" s="13">
        <f t="shared" si="1"/>
        <v>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</row>
    <row r="131" spans="1:245" ht="15.75" x14ac:dyDescent="0.25">
      <c r="A131" s="5">
        <v>118</v>
      </c>
      <c r="B131" s="8" t="s">
        <v>87</v>
      </c>
      <c r="C131" s="5" t="s">
        <v>15</v>
      </c>
      <c r="D131" s="7">
        <v>4.66</v>
      </c>
      <c r="E131" s="12">
        <v>6</v>
      </c>
      <c r="F131" s="13">
        <f t="shared" si="1"/>
        <v>27.96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</row>
    <row r="132" spans="1:245" ht="15.75" x14ac:dyDescent="0.25">
      <c r="A132" s="5">
        <v>119</v>
      </c>
      <c r="B132" s="8" t="s">
        <v>89</v>
      </c>
      <c r="C132" s="5" t="s">
        <v>15</v>
      </c>
      <c r="D132" s="7">
        <v>24.32</v>
      </c>
      <c r="E132" s="12">
        <v>1</v>
      </c>
      <c r="F132" s="13">
        <f t="shared" si="1"/>
        <v>24.32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</row>
    <row r="133" spans="1:245" ht="15.75" x14ac:dyDescent="0.25">
      <c r="A133" s="5">
        <v>120</v>
      </c>
      <c r="B133" s="8" t="s">
        <v>90</v>
      </c>
      <c r="C133" s="5" t="s">
        <v>13</v>
      </c>
      <c r="D133" s="7">
        <v>24.29</v>
      </c>
      <c r="E133" s="12">
        <v>1</v>
      </c>
      <c r="F133" s="13">
        <f t="shared" si="1"/>
        <v>24.29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</row>
    <row r="134" spans="1:245" ht="15.75" x14ac:dyDescent="0.25">
      <c r="A134" s="5">
        <v>121</v>
      </c>
      <c r="B134" s="8" t="s">
        <v>91</v>
      </c>
      <c r="C134" s="5" t="s">
        <v>15</v>
      </c>
      <c r="D134" s="7">
        <v>24.32</v>
      </c>
      <c r="E134" s="12">
        <v>33</v>
      </c>
      <c r="F134" s="13">
        <f t="shared" si="1"/>
        <v>802.56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</row>
    <row r="135" spans="1:245" ht="31.5" x14ac:dyDescent="0.25">
      <c r="A135" s="5">
        <v>122</v>
      </c>
      <c r="B135" s="8" t="s">
        <v>92</v>
      </c>
      <c r="C135" s="5" t="s">
        <v>13</v>
      </c>
      <c r="D135" s="7">
        <v>24.29</v>
      </c>
      <c r="E135" s="12">
        <v>14</v>
      </c>
      <c r="F135" s="13">
        <f t="shared" ref="F135:F198" si="2">ROUND(D135*E135,2)</f>
        <v>340.06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</row>
    <row r="136" spans="1:245" ht="15.75" x14ac:dyDescent="0.25">
      <c r="A136" s="5"/>
      <c r="B136" s="6" t="s">
        <v>93</v>
      </c>
      <c r="C136" s="5"/>
      <c r="D136" s="7"/>
      <c r="E136" s="12"/>
      <c r="F136" s="13">
        <f t="shared" si="2"/>
        <v>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</row>
    <row r="137" spans="1:245" ht="15.75" x14ac:dyDescent="0.25">
      <c r="A137" s="5">
        <v>123</v>
      </c>
      <c r="B137" s="8" t="s">
        <v>90</v>
      </c>
      <c r="C137" s="5" t="s">
        <v>13</v>
      </c>
      <c r="D137" s="7">
        <v>12.24</v>
      </c>
      <c r="E137" s="12">
        <v>1</v>
      </c>
      <c r="F137" s="13">
        <f t="shared" si="2"/>
        <v>12.24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</row>
    <row r="138" spans="1:245" ht="15.75" x14ac:dyDescent="0.25">
      <c r="A138" s="5">
        <v>124</v>
      </c>
      <c r="B138" s="8" t="s">
        <v>91</v>
      </c>
      <c r="C138" s="5" t="s">
        <v>15</v>
      </c>
      <c r="D138" s="7">
        <v>11.74</v>
      </c>
      <c r="E138" s="12">
        <v>33</v>
      </c>
      <c r="F138" s="13">
        <f t="shared" si="2"/>
        <v>387.42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</row>
    <row r="139" spans="1:245" ht="31.5" x14ac:dyDescent="0.25">
      <c r="A139" s="5">
        <v>125</v>
      </c>
      <c r="B139" s="8" t="s">
        <v>92</v>
      </c>
      <c r="C139" s="5" t="s">
        <v>13</v>
      </c>
      <c r="D139" s="7">
        <v>12.24</v>
      </c>
      <c r="E139" s="12">
        <v>14</v>
      </c>
      <c r="F139" s="13">
        <f t="shared" si="2"/>
        <v>171.36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</row>
    <row r="140" spans="1:245" ht="15.75" x14ac:dyDescent="0.25">
      <c r="A140" s="5"/>
      <c r="B140" s="6" t="s">
        <v>94</v>
      </c>
      <c r="C140" s="5"/>
      <c r="D140" s="7"/>
      <c r="E140" s="12"/>
      <c r="F140" s="13">
        <f t="shared" si="2"/>
        <v>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</row>
    <row r="141" spans="1:245" ht="31.5" x14ac:dyDescent="0.25">
      <c r="A141" s="5">
        <v>126</v>
      </c>
      <c r="B141" s="8" t="s">
        <v>95</v>
      </c>
      <c r="C141" s="5" t="s">
        <v>10</v>
      </c>
      <c r="D141" s="7">
        <v>1</v>
      </c>
      <c r="E141" s="12">
        <v>24</v>
      </c>
      <c r="F141" s="13">
        <f t="shared" si="2"/>
        <v>24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</row>
    <row r="142" spans="1:245" ht="47.25" x14ac:dyDescent="0.25">
      <c r="A142" s="5">
        <v>127</v>
      </c>
      <c r="B142" s="8" t="s">
        <v>96</v>
      </c>
      <c r="C142" s="5" t="s">
        <v>13</v>
      </c>
      <c r="D142" s="7">
        <v>5.8</v>
      </c>
      <c r="E142" s="12">
        <v>22</v>
      </c>
      <c r="F142" s="13">
        <f t="shared" si="2"/>
        <v>127.6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</row>
    <row r="143" spans="1:245" ht="31.5" x14ac:dyDescent="0.25">
      <c r="A143" s="5">
        <v>128</v>
      </c>
      <c r="B143" s="8" t="s">
        <v>30</v>
      </c>
      <c r="C143" s="5" t="s">
        <v>15</v>
      </c>
      <c r="D143" s="7">
        <v>7.77</v>
      </c>
      <c r="E143" s="12">
        <v>33</v>
      </c>
      <c r="F143" s="13">
        <f t="shared" si="2"/>
        <v>256.41000000000003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</row>
    <row r="144" spans="1:245" ht="47.25" x14ac:dyDescent="0.25">
      <c r="A144" s="5">
        <v>129</v>
      </c>
      <c r="B144" s="8" t="s">
        <v>31</v>
      </c>
      <c r="C144" s="5" t="s">
        <v>10</v>
      </c>
      <c r="D144" s="7">
        <v>1</v>
      </c>
      <c r="E144" s="12">
        <v>23</v>
      </c>
      <c r="F144" s="13">
        <f t="shared" si="2"/>
        <v>23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</row>
    <row r="145" spans="1:245" ht="15.75" x14ac:dyDescent="0.25">
      <c r="A145" s="5">
        <v>130</v>
      </c>
      <c r="B145" s="8" t="s">
        <v>32</v>
      </c>
      <c r="C145" s="5" t="s">
        <v>10</v>
      </c>
      <c r="D145" s="7">
        <v>1</v>
      </c>
      <c r="E145" s="12">
        <v>60</v>
      </c>
      <c r="F145" s="13">
        <f t="shared" si="2"/>
        <v>60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</row>
    <row r="146" spans="1:245" ht="47.25" x14ac:dyDescent="0.25">
      <c r="A146" s="5">
        <v>131</v>
      </c>
      <c r="B146" s="8" t="s">
        <v>97</v>
      </c>
      <c r="C146" s="5" t="s">
        <v>10</v>
      </c>
      <c r="D146" s="7">
        <v>1</v>
      </c>
      <c r="E146" s="12">
        <v>60</v>
      </c>
      <c r="F146" s="13">
        <f t="shared" si="2"/>
        <v>60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</row>
    <row r="147" spans="1:245" ht="15.75" x14ac:dyDescent="0.25">
      <c r="A147" s="5">
        <v>132</v>
      </c>
      <c r="B147" s="8" t="s">
        <v>98</v>
      </c>
      <c r="C147" s="5" t="s">
        <v>15</v>
      </c>
      <c r="D147" s="7">
        <v>4.3899999999999997</v>
      </c>
      <c r="E147" s="12">
        <v>6</v>
      </c>
      <c r="F147" s="13">
        <f t="shared" si="2"/>
        <v>26.34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</row>
    <row r="148" spans="1:245" ht="31.5" x14ac:dyDescent="0.25">
      <c r="A148" s="5">
        <v>133</v>
      </c>
      <c r="B148" s="8" t="s">
        <v>99</v>
      </c>
      <c r="C148" s="5" t="s">
        <v>15</v>
      </c>
      <c r="D148" s="7">
        <v>6.14</v>
      </c>
      <c r="E148" s="12">
        <v>31</v>
      </c>
      <c r="F148" s="13">
        <f t="shared" si="2"/>
        <v>190.34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</row>
    <row r="149" spans="1:245" ht="15.75" x14ac:dyDescent="0.25">
      <c r="A149" s="5">
        <v>134</v>
      </c>
      <c r="B149" s="8" t="s">
        <v>90</v>
      </c>
      <c r="C149" s="5" t="s">
        <v>13</v>
      </c>
      <c r="D149" s="7">
        <v>5.65</v>
      </c>
      <c r="E149" s="12">
        <v>1</v>
      </c>
      <c r="F149" s="13">
        <f t="shared" si="2"/>
        <v>5.65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</row>
    <row r="150" spans="1:245" ht="31.5" x14ac:dyDescent="0.25">
      <c r="A150" s="5">
        <v>135</v>
      </c>
      <c r="B150" s="8" t="s">
        <v>92</v>
      </c>
      <c r="C150" s="5" t="s">
        <v>13</v>
      </c>
      <c r="D150" s="7">
        <v>5.65</v>
      </c>
      <c r="E150" s="12">
        <v>14</v>
      </c>
      <c r="F150" s="13">
        <f t="shared" si="2"/>
        <v>79.099999999999994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</row>
    <row r="151" spans="1:245" ht="31.5" x14ac:dyDescent="0.25">
      <c r="A151" s="5">
        <v>136</v>
      </c>
      <c r="B151" s="8" t="s">
        <v>100</v>
      </c>
      <c r="C151" s="5" t="s">
        <v>13</v>
      </c>
      <c r="D151" s="7">
        <v>3.9</v>
      </c>
      <c r="E151" s="12">
        <v>22</v>
      </c>
      <c r="F151" s="13">
        <f t="shared" si="2"/>
        <v>85.8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</row>
    <row r="152" spans="1:245" ht="15.75" x14ac:dyDescent="0.25">
      <c r="A152" s="5"/>
      <c r="B152" s="6" t="s">
        <v>101</v>
      </c>
      <c r="C152" s="5"/>
      <c r="D152" s="7"/>
      <c r="E152" s="12"/>
      <c r="F152" s="13">
        <f t="shared" si="2"/>
        <v>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</row>
    <row r="153" spans="1:245" ht="31.5" x14ac:dyDescent="0.25">
      <c r="A153" s="5">
        <v>137</v>
      </c>
      <c r="B153" s="8" t="s">
        <v>99</v>
      </c>
      <c r="C153" s="5" t="s">
        <v>15</v>
      </c>
      <c r="D153" s="7">
        <v>37.909999999999997</v>
      </c>
      <c r="E153" s="12">
        <v>31</v>
      </c>
      <c r="F153" s="13">
        <f t="shared" si="2"/>
        <v>1175.21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</row>
    <row r="154" spans="1:245" ht="15.75" x14ac:dyDescent="0.25">
      <c r="A154" s="5">
        <v>138</v>
      </c>
      <c r="B154" s="8" t="s">
        <v>90</v>
      </c>
      <c r="C154" s="5" t="s">
        <v>13</v>
      </c>
      <c r="D154" s="7">
        <v>25.92</v>
      </c>
      <c r="E154" s="12">
        <v>1</v>
      </c>
      <c r="F154" s="13">
        <f t="shared" si="2"/>
        <v>25.92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</row>
    <row r="155" spans="1:245" ht="31.5" x14ac:dyDescent="0.25">
      <c r="A155" s="5">
        <v>139</v>
      </c>
      <c r="B155" s="8" t="s">
        <v>92</v>
      </c>
      <c r="C155" s="5" t="s">
        <v>13</v>
      </c>
      <c r="D155" s="7">
        <v>25.92</v>
      </c>
      <c r="E155" s="12">
        <v>14</v>
      </c>
      <c r="F155" s="13">
        <f t="shared" si="2"/>
        <v>362.88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</row>
    <row r="156" spans="1:245" ht="31.5" x14ac:dyDescent="0.25">
      <c r="A156" s="5">
        <v>140</v>
      </c>
      <c r="B156" s="8" t="s">
        <v>27</v>
      </c>
      <c r="C156" s="5" t="s">
        <v>15</v>
      </c>
      <c r="D156" s="7">
        <v>6.84</v>
      </c>
      <c r="E156" s="12">
        <v>23</v>
      </c>
      <c r="F156" s="13">
        <f t="shared" si="2"/>
        <v>157.32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</row>
    <row r="157" spans="1:245" ht="15.75" x14ac:dyDescent="0.25">
      <c r="A157" s="5"/>
      <c r="B157" s="6" t="s">
        <v>102</v>
      </c>
      <c r="C157" s="5"/>
      <c r="D157" s="7"/>
      <c r="E157" s="12"/>
      <c r="F157" s="13">
        <f t="shared" si="2"/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</row>
    <row r="158" spans="1:245" ht="31.5" x14ac:dyDescent="0.25">
      <c r="A158" s="5">
        <v>141</v>
      </c>
      <c r="B158" s="8" t="s">
        <v>99</v>
      </c>
      <c r="C158" s="5" t="s">
        <v>15</v>
      </c>
      <c r="D158" s="7">
        <v>18.5</v>
      </c>
      <c r="E158" s="12">
        <v>31</v>
      </c>
      <c r="F158" s="13">
        <f t="shared" si="2"/>
        <v>573.5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</row>
    <row r="159" spans="1:245" ht="15.75" x14ac:dyDescent="0.25">
      <c r="A159" s="5">
        <v>142</v>
      </c>
      <c r="B159" s="8" t="s">
        <v>90</v>
      </c>
      <c r="C159" s="5" t="s">
        <v>13</v>
      </c>
      <c r="D159" s="7">
        <v>13.6</v>
      </c>
      <c r="E159" s="12">
        <v>1</v>
      </c>
      <c r="F159" s="13">
        <f t="shared" si="2"/>
        <v>13.6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</row>
    <row r="160" spans="1:245" ht="31.5" x14ac:dyDescent="0.25">
      <c r="A160" s="5">
        <v>143</v>
      </c>
      <c r="B160" s="8" t="s">
        <v>92</v>
      </c>
      <c r="C160" s="5" t="s">
        <v>13</v>
      </c>
      <c r="D160" s="7">
        <v>13.6</v>
      </c>
      <c r="E160" s="12">
        <v>14</v>
      </c>
      <c r="F160" s="13">
        <f t="shared" si="2"/>
        <v>190.4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</row>
    <row r="161" spans="1:245" ht="31.5" x14ac:dyDescent="0.25">
      <c r="A161" s="5">
        <v>144</v>
      </c>
      <c r="B161" s="8" t="s">
        <v>27</v>
      </c>
      <c r="C161" s="5" t="s">
        <v>15</v>
      </c>
      <c r="D161" s="7">
        <v>10.38</v>
      </c>
      <c r="E161" s="12">
        <v>23</v>
      </c>
      <c r="F161" s="13">
        <f t="shared" si="2"/>
        <v>238.74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</row>
    <row r="162" spans="1:245" ht="31.5" x14ac:dyDescent="0.25">
      <c r="A162" s="5"/>
      <c r="B162" s="6" t="s">
        <v>103</v>
      </c>
      <c r="C162" s="5"/>
      <c r="D162" s="7"/>
      <c r="E162" s="12"/>
      <c r="F162" s="13">
        <f t="shared" si="2"/>
        <v>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</row>
    <row r="163" spans="1:245" ht="63" x14ac:dyDescent="0.25">
      <c r="A163" s="5">
        <v>145</v>
      </c>
      <c r="B163" s="8" t="s">
        <v>104</v>
      </c>
      <c r="C163" s="5" t="s">
        <v>13</v>
      </c>
      <c r="D163" s="7">
        <v>8.6999999999999993</v>
      </c>
      <c r="E163" s="12">
        <v>23</v>
      </c>
      <c r="F163" s="13">
        <f t="shared" si="2"/>
        <v>200.1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</row>
    <row r="164" spans="1:245" ht="31.5" x14ac:dyDescent="0.25">
      <c r="A164" s="5">
        <v>146</v>
      </c>
      <c r="B164" s="8" t="s">
        <v>105</v>
      </c>
      <c r="C164" s="5" t="s">
        <v>13</v>
      </c>
      <c r="D164" s="7">
        <v>63</v>
      </c>
      <c r="E164" s="12">
        <v>4</v>
      </c>
      <c r="F164" s="13">
        <f t="shared" si="2"/>
        <v>252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</row>
    <row r="165" spans="1:245" ht="31.5" x14ac:dyDescent="0.25">
      <c r="A165" s="5">
        <v>147</v>
      </c>
      <c r="B165" s="8" t="s">
        <v>106</v>
      </c>
      <c r="C165" s="5" t="s">
        <v>15</v>
      </c>
      <c r="D165" s="7">
        <v>5.55</v>
      </c>
      <c r="E165" s="12">
        <v>6</v>
      </c>
      <c r="F165" s="13">
        <f t="shared" si="2"/>
        <v>33.299999999999997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</row>
    <row r="166" spans="1:245" ht="15.75" x14ac:dyDescent="0.25">
      <c r="A166" s="5">
        <v>148</v>
      </c>
      <c r="B166" s="8" t="s">
        <v>18</v>
      </c>
      <c r="C166" s="5" t="s">
        <v>15</v>
      </c>
      <c r="D166" s="7">
        <v>4.3</v>
      </c>
      <c r="E166" s="12">
        <v>7</v>
      </c>
      <c r="F166" s="13">
        <f t="shared" si="2"/>
        <v>30.1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</row>
    <row r="167" spans="1:245" ht="15.75" x14ac:dyDescent="0.25">
      <c r="A167" s="5">
        <v>149</v>
      </c>
      <c r="B167" s="8" t="s">
        <v>21</v>
      </c>
      <c r="C167" s="5" t="s">
        <v>15</v>
      </c>
      <c r="D167" s="7">
        <v>4.4400000000000004</v>
      </c>
      <c r="E167" s="12">
        <v>56</v>
      </c>
      <c r="F167" s="13">
        <f t="shared" si="2"/>
        <v>248.64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</row>
    <row r="168" spans="1:245" ht="15.75" x14ac:dyDescent="0.25">
      <c r="A168" s="5">
        <v>150</v>
      </c>
      <c r="B168" s="8" t="s">
        <v>22</v>
      </c>
      <c r="C168" s="5" t="s">
        <v>13</v>
      </c>
      <c r="D168" s="7">
        <v>3.63</v>
      </c>
      <c r="E168" s="12">
        <v>14</v>
      </c>
      <c r="F168" s="13">
        <f t="shared" si="2"/>
        <v>50.82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</row>
    <row r="169" spans="1:245" ht="15.75" x14ac:dyDescent="0.25">
      <c r="A169" s="5"/>
      <c r="B169" s="6" t="s">
        <v>107</v>
      </c>
      <c r="C169" s="5"/>
      <c r="D169" s="7"/>
      <c r="E169" s="12"/>
      <c r="F169" s="13">
        <f t="shared" si="2"/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</row>
    <row r="170" spans="1:245" ht="15.75" x14ac:dyDescent="0.25">
      <c r="A170" s="5">
        <v>151</v>
      </c>
      <c r="B170" s="8" t="s">
        <v>33</v>
      </c>
      <c r="C170" s="5" t="s">
        <v>15</v>
      </c>
      <c r="D170" s="7">
        <v>9.26</v>
      </c>
      <c r="E170" s="12">
        <v>4</v>
      </c>
      <c r="F170" s="13">
        <f t="shared" si="2"/>
        <v>37.04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</row>
    <row r="171" spans="1:245" ht="15.75" x14ac:dyDescent="0.25">
      <c r="A171" s="5">
        <v>152</v>
      </c>
      <c r="B171" s="8" t="s">
        <v>20</v>
      </c>
      <c r="C171" s="5" t="s">
        <v>15</v>
      </c>
      <c r="D171" s="7">
        <v>9.26</v>
      </c>
      <c r="E171" s="12">
        <v>19</v>
      </c>
      <c r="F171" s="13">
        <f t="shared" si="2"/>
        <v>175.94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</row>
    <row r="172" spans="1:245" ht="15.75" x14ac:dyDescent="0.25">
      <c r="A172" s="5">
        <v>153</v>
      </c>
      <c r="B172" s="8" t="s">
        <v>34</v>
      </c>
      <c r="C172" s="5" t="s">
        <v>13</v>
      </c>
      <c r="D172" s="7">
        <v>11.08</v>
      </c>
      <c r="E172" s="12">
        <v>2</v>
      </c>
      <c r="F172" s="13">
        <f t="shared" si="2"/>
        <v>22.16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</row>
    <row r="173" spans="1:245" ht="15.75" x14ac:dyDescent="0.25">
      <c r="A173" s="5">
        <v>154</v>
      </c>
      <c r="B173" s="8" t="s">
        <v>21</v>
      </c>
      <c r="C173" s="5" t="s">
        <v>15</v>
      </c>
      <c r="D173" s="7">
        <v>9.26</v>
      </c>
      <c r="E173" s="12">
        <v>56</v>
      </c>
      <c r="F173" s="13">
        <f t="shared" si="2"/>
        <v>518.55999999999995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</row>
    <row r="174" spans="1:245" ht="15.75" x14ac:dyDescent="0.25">
      <c r="A174" s="5">
        <v>155</v>
      </c>
      <c r="B174" s="8" t="s">
        <v>22</v>
      </c>
      <c r="C174" s="5" t="s">
        <v>13</v>
      </c>
      <c r="D174" s="7">
        <v>11.08</v>
      </c>
      <c r="E174" s="12">
        <v>14</v>
      </c>
      <c r="F174" s="13">
        <f t="shared" si="2"/>
        <v>155.12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</row>
    <row r="175" spans="1:245" ht="31.5" x14ac:dyDescent="0.25">
      <c r="A175" s="5">
        <v>156</v>
      </c>
      <c r="B175" s="8" t="s">
        <v>100</v>
      </c>
      <c r="C175" s="5" t="s">
        <v>13</v>
      </c>
      <c r="D175" s="7">
        <v>1</v>
      </c>
      <c r="E175" s="12">
        <v>22</v>
      </c>
      <c r="F175" s="13">
        <f t="shared" si="2"/>
        <v>22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</row>
    <row r="176" spans="1:245" ht="15.75" x14ac:dyDescent="0.25">
      <c r="A176" s="5"/>
      <c r="B176" s="6" t="s">
        <v>108</v>
      </c>
      <c r="C176" s="5"/>
      <c r="D176" s="7"/>
      <c r="E176" s="12"/>
      <c r="F176" s="13">
        <f t="shared" si="2"/>
        <v>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</row>
    <row r="177" spans="1:245" ht="31.5" x14ac:dyDescent="0.25">
      <c r="A177" s="5">
        <v>157</v>
      </c>
      <c r="B177" s="8" t="s">
        <v>109</v>
      </c>
      <c r="C177" s="5" t="s">
        <v>10</v>
      </c>
      <c r="D177" s="7">
        <v>211</v>
      </c>
      <c r="E177" s="12">
        <v>9</v>
      </c>
      <c r="F177" s="13">
        <f t="shared" si="2"/>
        <v>1899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</row>
    <row r="178" spans="1:245" ht="31.5" x14ac:dyDescent="0.25">
      <c r="A178" s="5">
        <v>158</v>
      </c>
      <c r="B178" s="8" t="s">
        <v>110</v>
      </c>
      <c r="C178" s="5" t="s">
        <v>15</v>
      </c>
      <c r="D178" s="7">
        <v>117.68</v>
      </c>
      <c r="E178" s="12">
        <v>23</v>
      </c>
      <c r="F178" s="13">
        <f t="shared" si="2"/>
        <v>2706.64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</row>
    <row r="179" spans="1:245" ht="63" x14ac:dyDescent="0.25">
      <c r="A179" s="5">
        <v>159</v>
      </c>
      <c r="B179" s="8" t="s">
        <v>111</v>
      </c>
      <c r="C179" s="5" t="s">
        <v>10</v>
      </c>
      <c r="D179" s="7">
        <v>1</v>
      </c>
      <c r="E179" s="12">
        <v>690</v>
      </c>
      <c r="F179" s="13">
        <f t="shared" si="2"/>
        <v>690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</row>
    <row r="180" spans="1:245" ht="31.5" x14ac:dyDescent="0.25">
      <c r="A180" s="5">
        <v>160</v>
      </c>
      <c r="B180" s="8" t="s">
        <v>112</v>
      </c>
      <c r="C180" s="5" t="s">
        <v>15</v>
      </c>
      <c r="D180" s="7">
        <v>5.05</v>
      </c>
      <c r="E180" s="12">
        <v>77</v>
      </c>
      <c r="F180" s="13">
        <f t="shared" si="2"/>
        <v>388.85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</row>
    <row r="181" spans="1:245" ht="31.5" x14ac:dyDescent="0.25">
      <c r="A181" s="5">
        <v>161</v>
      </c>
      <c r="B181" s="8" t="s">
        <v>113</v>
      </c>
      <c r="C181" s="5" t="s">
        <v>15</v>
      </c>
      <c r="D181" s="7">
        <v>6.85</v>
      </c>
      <c r="E181" s="12">
        <v>49</v>
      </c>
      <c r="F181" s="13">
        <f t="shared" si="2"/>
        <v>335.65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</row>
    <row r="182" spans="1:245" ht="15.75" x14ac:dyDescent="0.25">
      <c r="A182" s="5">
        <v>162</v>
      </c>
      <c r="B182" s="8" t="s">
        <v>90</v>
      </c>
      <c r="C182" s="5" t="s">
        <v>13</v>
      </c>
      <c r="D182" s="7">
        <v>22.21</v>
      </c>
      <c r="E182" s="12">
        <v>1</v>
      </c>
      <c r="F182" s="13">
        <f t="shared" si="2"/>
        <v>22.21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</row>
    <row r="183" spans="1:245" ht="15.75" x14ac:dyDescent="0.25">
      <c r="A183" s="5">
        <v>163</v>
      </c>
      <c r="B183" s="8" t="s">
        <v>89</v>
      </c>
      <c r="C183" s="5" t="s">
        <v>15</v>
      </c>
      <c r="D183" s="7">
        <v>54.77</v>
      </c>
      <c r="E183" s="12">
        <v>1</v>
      </c>
      <c r="F183" s="13">
        <f t="shared" si="2"/>
        <v>54.77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</row>
    <row r="184" spans="1:245" ht="15.75" x14ac:dyDescent="0.25">
      <c r="A184" s="5">
        <v>164</v>
      </c>
      <c r="B184" s="8" t="s">
        <v>114</v>
      </c>
      <c r="C184" s="5" t="s">
        <v>15</v>
      </c>
      <c r="D184" s="7">
        <v>54.77</v>
      </c>
      <c r="E184" s="12">
        <v>33</v>
      </c>
      <c r="F184" s="13">
        <f t="shared" si="2"/>
        <v>1807.41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</row>
    <row r="185" spans="1:245" ht="31.5" x14ac:dyDescent="0.25">
      <c r="A185" s="5">
        <v>165</v>
      </c>
      <c r="B185" s="8" t="s">
        <v>92</v>
      </c>
      <c r="C185" s="5" t="s">
        <v>13</v>
      </c>
      <c r="D185" s="7">
        <v>22.21</v>
      </c>
      <c r="E185" s="12">
        <v>14</v>
      </c>
      <c r="F185" s="13">
        <f t="shared" si="2"/>
        <v>310.94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</row>
    <row r="186" spans="1:245" ht="31.5" x14ac:dyDescent="0.25">
      <c r="A186" s="5">
        <v>166</v>
      </c>
      <c r="B186" s="8" t="s">
        <v>115</v>
      </c>
      <c r="C186" s="5" t="s">
        <v>13</v>
      </c>
      <c r="D186" s="7">
        <v>7.95</v>
      </c>
      <c r="E186" s="12">
        <v>6</v>
      </c>
      <c r="F186" s="13">
        <f t="shared" si="2"/>
        <v>47.7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</row>
    <row r="187" spans="1:245" ht="15.75" x14ac:dyDescent="0.25">
      <c r="A187" s="5"/>
      <c r="B187" s="6" t="s">
        <v>116</v>
      </c>
      <c r="C187" s="5"/>
      <c r="D187" s="7"/>
      <c r="E187" s="12"/>
      <c r="F187" s="13">
        <f t="shared" si="2"/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</row>
    <row r="188" spans="1:245" ht="15.75" x14ac:dyDescent="0.25">
      <c r="A188" s="5">
        <v>167</v>
      </c>
      <c r="B188" s="8" t="s">
        <v>87</v>
      </c>
      <c r="C188" s="5" t="s">
        <v>15</v>
      </c>
      <c r="D188" s="7">
        <v>5.9</v>
      </c>
      <c r="E188" s="12">
        <v>6</v>
      </c>
      <c r="F188" s="13">
        <f t="shared" si="2"/>
        <v>35.4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</row>
    <row r="189" spans="1:245" ht="15.75" x14ac:dyDescent="0.25">
      <c r="A189" s="5">
        <v>168</v>
      </c>
      <c r="B189" s="8" t="s">
        <v>90</v>
      </c>
      <c r="C189" s="5" t="s">
        <v>13</v>
      </c>
      <c r="D189" s="7">
        <v>13.8</v>
      </c>
      <c r="E189" s="12">
        <v>1</v>
      </c>
      <c r="F189" s="13">
        <f t="shared" si="2"/>
        <v>13.8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</row>
    <row r="190" spans="1:245" ht="31.5" x14ac:dyDescent="0.25">
      <c r="A190" s="5">
        <v>169</v>
      </c>
      <c r="B190" s="8" t="s">
        <v>99</v>
      </c>
      <c r="C190" s="5" t="s">
        <v>15</v>
      </c>
      <c r="D190" s="7">
        <v>10.220000000000001</v>
      </c>
      <c r="E190" s="12">
        <v>31</v>
      </c>
      <c r="F190" s="13">
        <f t="shared" si="2"/>
        <v>316.82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</row>
    <row r="191" spans="1:245" ht="31.5" x14ac:dyDescent="0.25">
      <c r="A191" s="5">
        <v>170</v>
      </c>
      <c r="B191" s="8" t="s">
        <v>92</v>
      </c>
      <c r="C191" s="5" t="s">
        <v>13</v>
      </c>
      <c r="D191" s="7">
        <v>13.8</v>
      </c>
      <c r="E191" s="12">
        <v>14</v>
      </c>
      <c r="F191" s="13">
        <f t="shared" si="2"/>
        <v>193.2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</row>
    <row r="192" spans="1:245" ht="15.75" x14ac:dyDescent="0.25">
      <c r="A192" s="5">
        <v>171</v>
      </c>
      <c r="B192" s="8" t="s">
        <v>24</v>
      </c>
      <c r="C192" s="5" t="s">
        <v>10</v>
      </c>
      <c r="D192" s="7">
        <v>1</v>
      </c>
      <c r="E192" s="12">
        <v>1</v>
      </c>
      <c r="F192" s="13">
        <f t="shared" si="2"/>
        <v>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</row>
    <row r="193" spans="1:245" ht="15.75" x14ac:dyDescent="0.25">
      <c r="A193" s="5">
        <v>172</v>
      </c>
      <c r="B193" s="8" t="s">
        <v>43</v>
      </c>
      <c r="C193" s="5" t="s">
        <v>10</v>
      </c>
      <c r="D193" s="7">
        <v>1</v>
      </c>
      <c r="E193" s="12">
        <v>14</v>
      </c>
      <c r="F193" s="13">
        <f t="shared" si="2"/>
        <v>14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</row>
    <row r="194" spans="1:245" ht="31.5" x14ac:dyDescent="0.25">
      <c r="A194" s="5">
        <v>173</v>
      </c>
      <c r="B194" s="8" t="s">
        <v>112</v>
      </c>
      <c r="C194" s="5" t="s">
        <v>15</v>
      </c>
      <c r="D194" s="7">
        <v>2.95</v>
      </c>
      <c r="E194" s="12">
        <v>77</v>
      </c>
      <c r="F194" s="13">
        <f t="shared" si="2"/>
        <v>227.15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</row>
    <row r="195" spans="1:245" ht="31.5" x14ac:dyDescent="0.25">
      <c r="A195" s="5">
        <v>174</v>
      </c>
      <c r="B195" s="8" t="s">
        <v>27</v>
      </c>
      <c r="C195" s="5" t="s">
        <v>15</v>
      </c>
      <c r="D195" s="7">
        <v>2.67</v>
      </c>
      <c r="E195" s="12">
        <v>23</v>
      </c>
      <c r="F195" s="13">
        <f t="shared" si="2"/>
        <v>61.41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</row>
    <row r="196" spans="1:245" ht="15.75" x14ac:dyDescent="0.25">
      <c r="A196" s="5"/>
      <c r="B196" s="6" t="s">
        <v>117</v>
      </c>
      <c r="C196" s="5"/>
      <c r="D196" s="7"/>
      <c r="E196" s="12"/>
      <c r="F196" s="13">
        <f t="shared" si="2"/>
        <v>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</row>
    <row r="197" spans="1:245" ht="15.75" x14ac:dyDescent="0.25">
      <c r="A197" s="5">
        <v>175</v>
      </c>
      <c r="B197" s="8" t="s">
        <v>87</v>
      </c>
      <c r="C197" s="5" t="s">
        <v>15</v>
      </c>
      <c r="D197" s="7">
        <v>5.95</v>
      </c>
      <c r="E197" s="12">
        <v>6</v>
      </c>
      <c r="F197" s="13">
        <f t="shared" si="2"/>
        <v>35.700000000000003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</row>
    <row r="198" spans="1:245" ht="15.75" x14ac:dyDescent="0.25">
      <c r="A198" s="5">
        <v>176</v>
      </c>
      <c r="B198" s="8" t="s">
        <v>90</v>
      </c>
      <c r="C198" s="5" t="s">
        <v>13</v>
      </c>
      <c r="D198" s="7">
        <v>13.92</v>
      </c>
      <c r="E198" s="12">
        <v>1</v>
      </c>
      <c r="F198" s="13">
        <f t="shared" si="2"/>
        <v>13.92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</row>
    <row r="199" spans="1:245" ht="31.5" x14ac:dyDescent="0.25">
      <c r="A199" s="5">
        <v>177</v>
      </c>
      <c r="B199" s="8" t="s">
        <v>99</v>
      </c>
      <c r="C199" s="5" t="s">
        <v>15</v>
      </c>
      <c r="D199" s="7">
        <v>11.7</v>
      </c>
      <c r="E199" s="12">
        <v>31</v>
      </c>
      <c r="F199" s="13">
        <f t="shared" ref="F199:F236" si="3">ROUND(D199*E199,2)</f>
        <v>362.7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</row>
    <row r="200" spans="1:245" ht="31.5" x14ac:dyDescent="0.25">
      <c r="A200" s="5">
        <v>178</v>
      </c>
      <c r="B200" s="8" t="s">
        <v>92</v>
      </c>
      <c r="C200" s="5" t="s">
        <v>13</v>
      </c>
      <c r="D200" s="7">
        <v>13.92</v>
      </c>
      <c r="E200" s="12">
        <v>14</v>
      </c>
      <c r="F200" s="13">
        <f t="shared" si="3"/>
        <v>194.88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</row>
    <row r="201" spans="1:245" ht="15.75" x14ac:dyDescent="0.25">
      <c r="A201" s="5">
        <v>179</v>
      </c>
      <c r="B201" s="8" t="s">
        <v>24</v>
      </c>
      <c r="C201" s="5" t="s">
        <v>10</v>
      </c>
      <c r="D201" s="7">
        <v>1</v>
      </c>
      <c r="E201" s="12">
        <v>1</v>
      </c>
      <c r="F201" s="13">
        <f t="shared" si="3"/>
        <v>1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</row>
    <row r="202" spans="1:245" ht="15.75" x14ac:dyDescent="0.25">
      <c r="A202" s="5">
        <v>180</v>
      </c>
      <c r="B202" s="8" t="s">
        <v>43</v>
      </c>
      <c r="C202" s="5" t="s">
        <v>10</v>
      </c>
      <c r="D202" s="7">
        <v>1</v>
      </c>
      <c r="E202" s="12">
        <v>14</v>
      </c>
      <c r="F202" s="13">
        <f t="shared" si="3"/>
        <v>14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</row>
    <row r="203" spans="1:245" ht="31.5" x14ac:dyDescent="0.25">
      <c r="A203" s="5">
        <v>181</v>
      </c>
      <c r="B203" s="8" t="s">
        <v>112</v>
      </c>
      <c r="C203" s="5" t="s">
        <v>15</v>
      </c>
      <c r="D203" s="7">
        <v>2.9</v>
      </c>
      <c r="E203" s="12">
        <v>77</v>
      </c>
      <c r="F203" s="13">
        <f t="shared" si="3"/>
        <v>223.3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</row>
    <row r="204" spans="1:245" ht="31.5" x14ac:dyDescent="0.25">
      <c r="A204" s="5">
        <v>182</v>
      </c>
      <c r="B204" s="8" t="s">
        <v>27</v>
      </c>
      <c r="C204" s="5" t="s">
        <v>15</v>
      </c>
      <c r="D204" s="7">
        <v>2.34</v>
      </c>
      <c r="E204" s="12">
        <v>23</v>
      </c>
      <c r="F204" s="13">
        <f t="shared" si="3"/>
        <v>53.82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</row>
    <row r="205" spans="1:245" ht="15.75" x14ac:dyDescent="0.25">
      <c r="A205" s="5"/>
      <c r="B205" s="6" t="s">
        <v>118</v>
      </c>
      <c r="C205" s="5"/>
      <c r="D205" s="7"/>
      <c r="E205" s="12"/>
      <c r="F205" s="13">
        <f t="shared" si="3"/>
        <v>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</row>
    <row r="206" spans="1:245" ht="31.5" x14ac:dyDescent="0.25">
      <c r="A206" s="5">
        <v>183</v>
      </c>
      <c r="B206" s="8" t="s">
        <v>119</v>
      </c>
      <c r="C206" s="5" t="s">
        <v>13</v>
      </c>
      <c r="D206" s="7">
        <v>31.22</v>
      </c>
      <c r="E206" s="12">
        <v>4</v>
      </c>
      <c r="F206" s="13">
        <f t="shared" si="3"/>
        <v>124.88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</row>
    <row r="207" spans="1:245" ht="15.75" x14ac:dyDescent="0.25">
      <c r="A207" s="5">
        <v>184</v>
      </c>
      <c r="B207" s="8" t="s">
        <v>120</v>
      </c>
      <c r="C207" s="5" t="s">
        <v>15</v>
      </c>
      <c r="D207" s="7">
        <v>0.91</v>
      </c>
      <c r="E207" s="12">
        <v>6</v>
      </c>
      <c r="F207" s="13">
        <f t="shared" si="3"/>
        <v>5.46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</row>
    <row r="208" spans="1:245" ht="31.5" x14ac:dyDescent="0.25">
      <c r="A208" s="5"/>
      <c r="B208" s="6" t="s">
        <v>121</v>
      </c>
      <c r="C208" s="5"/>
      <c r="D208" s="7"/>
      <c r="E208" s="12"/>
      <c r="F208" s="13">
        <f t="shared" si="3"/>
        <v>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</row>
    <row r="209" spans="1:245" ht="63" x14ac:dyDescent="0.25">
      <c r="A209" s="5">
        <v>185</v>
      </c>
      <c r="B209" s="8" t="s">
        <v>122</v>
      </c>
      <c r="C209" s="5" t="s">
        <v>15</v>
      </c>
      <c r="D209" s="7">
        <v>18.899999999999999</v>
      </c>
      <c r="E209" s="12">
        <v>60</v>
      </c>
      <c r="F209" s="13">
        <f t="shared" si="3"/>
        <v>1134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</row>
    <row r="210" spans="1:245" ht="15.75" x14ac:dyDescent="0.25">
      <c r="A210" s="5">
        <v>186</v>
      </c>
      <c r="B210" s="8" t="s">
        <v>123</v>
      </c>
      <c r="C210" s="5" t="s">
        <v>13</v>
      </c>
      <c r="D210" s="7">
        <v>13.45</v>
      </c>
      <c r="E210" s="12">
        <v>2</v>
      </c>
      <c r="F210" s="13">
        <f t="shared" si="3"/>
        <v>26.9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</row>
    <row r="211" spans="1:245" ht="15.75" x14ac:dyDescent="0.25">
      <c r="A211" s="5">
        <v>187</v>
      </c>
      <c r="B211" s="8" t="s">
        <v>22</v>
      </c>
      <c r="C211" s="5" t="s">
        <v>13</v>
      </c>
      <c r="D211" s="7">
        <v>15.11</v>
      </c>
      <c r="E211" s="12">
        <v>14</v>
      </c>
      <c r="F211" s="13">
        <f t="shared" si="3"/>
        <v>211.54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</row>
    <row r="212" spans="1:245" ht="31.5" x14ac:dyDescent="0.25">
      <c r="A212" s="5">
        <v>188</v>
      </c>
      <c r="B212" s="8" t="s">
        <v>124</v>
      </c>
      <c r="C212" s="5" t="s">
        <v>13</v>
      </c>
      <c r="D212" s="7">
        <v>32.299999999999997</v>
      </c>
      <c r="E212" s="12">
        <v>6</v>
      </c>
      <c r="F212" s="13">
        <f t="shared" si="3"/>
        <v>193.8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</row>
    <row r="213" spans="1:245" ht="15.75" x14ac:dyDescent="0.25">
      <c r="A213" s="5">
        <v>189</v>
      </c>
      <c r="B213" s="8" t="s">
        <v>125</v>
      </c>
      <c r="C213" s="5" t="s">
        <v>15</v>
      </c>
      <c r="D213" s="7">
        <v>4</v>
      </c>
      <c r="E213" s="12">
        <v>24</v>
      </c>
      <c r="F213" s="13">
        <f t="shared" si="3"/>
        <v>96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</row>
    <row r="214" spans="1:245" ht="15.75" customHeight="1" x14ac:dyDescent="0.25">
      <c r="A214" s="5"/>
      <c r="B214" s="6" t="s">
        <v>126</v>
      </c>
      <c r="C214" s="5"/>
      <c r="D214" s="7"/>
      <c r="E214" s="12"/>
      <c r="F214" s="13">
        <f t="shared" si="3"/>
        <v>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</row>
    <row r="215" spans="1:245" ht="47.25" x14ac:dyDescent="0.25">
      <c r="A215" s="5">
        <v>190</v>
      </c>
      <c r="B215" s="8" t="s">
        <v>127</v>
      </c>
      <c r="C215" s="5" t="s">
        <v>15</v>
      </c>
      <c r="D215" s="7">
        <v>26.86</v>
      </c>
      <c r="E215" s="12">
        <v>62</v>
      </c>
      <c r="F215" s="13">
        <f t="shared" si="3"/>
        <v>1665.32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</row>
    <row r="216" spans="1:245" ht="31.5" x14ac:dyDescent="0.25">
      <c r="A216" s="5">
        <v>191</v>
      </c>
      <c r="B216" s="8" t="s">
        <v>59</v>
      </c>
      <c r="C216" s="5" t="s">
        <v>15</v>
      </c>
      <c r="D216" s="7">
        <v>6.5</v>
      </c>
      <c r="E216" s="12">
        <v>44</v>
      </c>
      <c r="F216" s="13">
        <f t="shared" si="3"/>
        <v>286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</row>
    <row r="217" spans="1:245" ht="31.5" x14ac:dyDescent="0.25">
      <c r="A217" s="5">
        <v>192</v>
      </c>
      <c r="B217" s="8" t="s">
        <v>49</v>
      </c>
      <c r="C217" s="5" t="s">
        <v>15</v>
      </c>
      <c r="D217" s="7">
        <v>15.04</v>
      </c>
      <c r="E217" s="12">
        <v>58</v>
      </c>
      <c r="F217" s="13">
        <f t="shared" si="3"/>
        <v>872.32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</row>
    <row r="218" spans="1:245" ht="47.25" x14ac:dyDescent="0.25">
      <c r="A218" s="5">
        <v>193</v>
      </c>
      <c r="B218" s="8" t="s">
        <v>128</v>
      </c>
      <c r="C218" s="5" t="s">
        <v>10</v>
      </c>
      <c r="D218" s="7">
        <v>1</v>
      </c>
      <c r="E218" s="12">
        <v>23</v>
      </c>
      <c r="F218" s="13">
        <f t="shared" si="3"/>
        <v>23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</row>
    <row r="219" spans="1:245" ht="47.25" x14ac:dyDescent="0.25">
      <c r="A219" s="5">
        <v>194</v>
      </c>
      <c r="B219" s="8" t="s">
        <v>129</v>
      </c>
      <c r="C219" s="5" t="s">
        <v>10</v>
      </c>
      <c r="D219" s="7">
        <v>2</v>
      </c>
      <c r="E219" s="12">
        <v>28</v>
      </c>
      <c r="F219" s="13">
        <f t="shared" si="3"/>
        <v>56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</row>
    <row r="220" spans="1:245" ht="15.75" x14ac:dyDescent="0.25">
      <c r="A220" s="5">
        <v>195</v>
      </c>
      <c r="B220" s="8" t="s">
        <v>32</v>
      </c>
      <c r="C220" s="5" t="s">
        <v>10</v>
      </c>
      <c r="D220" s="7">
        <v>1</v>
      </c>
      <c r="E220" s="12">
        <v>60</v>
      </c>
      <c r="F220" s="13">
        <f t="shared" si="3"/>
        <v>60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</row>
    <row r="221" spans="1:245" ht="15.75" x14ac:dyDescent="0.25">
      <c r="A221" s="5">
        <v>196</v>
      </c>
      <c r="B221" s="8" t="s">
        <v>58</v>
      </c>
      <c r="C221" s="5" t="s">
        <v>10</v>
      </c>
      <c r="D221" s="7">
        <v>1</v>
      </c>
      <c r="E221" s="12">
        <v>66</v>
      </c>
      <c r="F221" s="13">
        <f t="shared" si="3"/>
        <v>66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</row>
    <row r="222" spans="1:245" ht="47.25" x14ac:dyDescent="0.25">
      <c r="A222" s="5">
        <v>197</v>
      </c>
      <c r="B222" s="8" t="s">
        <v>130</v>
      </c>
      <c r="C222" s="5" t="s">
        <v>10</v>
      </c>
      <c r="D222" s="7">
        <v>1</v>
      </c>
      <c r="E222" s="12">
        <v>90</v>
      </c>
      <c r="F222" s="13">
        <f t="shared" si="3"/>
        <v>90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</row>
    <row r="223" spans="1:245" ht="15.75" x14ac:dyDescent="0.25">
      <c r="A223" s="5">
        <v>198</v>
      </c>
      <c r="B223" s="8" t="s">
        <v>131</v>
      </c>
      <c r="C223" s="5" t="s">
        <v>15</v>
      </c>
      <c r="D223" s="7">
        <v>6.4</v>
      </c>
      <c r="E223" s="12">
        <v>19</v>
      </c>
      <c r="F223" s="13">
        <f t="shared" si="3"/>
        <v>121.6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</row>
    <row r="224" spans="1:245" ht="15.75" x14ac:dyDescent="0.25">
      <c r="A224" s="5">
        <v>199</v>
      </c>
      <c r="B224" s="8" t="s">
        <v>33</v>
      </c>
      <c r="C224" s="5" t="s">
        <v>15</v>
      </c>
      <c r="D224" s="7">
        <v>8.42</v>
      </c>
      <c r="E224" s="12">
        <v>4</v>
      </c>
      <c r="F224" s="13">
        <f t="shared" si="3"/>
        <v>33.68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</row>
    <row r="225" spans="1:245" ht="15.75" customHeight="1" x14ac:dyDescent="0.25">
      <c r="A225" s="5">
        <v>200</v>
      </c>
      <c r="B225" s="8" t="s">
        <v>20</v>
      </c>
      <c r="C225" s="5" t="s">
        <v>15</v>
      </c>
      <c r="D225" s="7">
        <v>8.42</v>
      </c>
      <c r="E225" s="12">
        <v>19</v>
      </c>
      <c r="F225" s="13">
        <f t="shared" si="3"/>
        <v>159.97999999999999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</row>
    <row r="226" spans="1:245" ht="15.75" customHeight="1" x14ac:dyDescent="0.25">
      <c r="A226" s="5">
        <v>201</v>
      </c>
      <c r="B226" s="8" t="s">
        <v>21</v>
      </c>
      <c r="C226" s="5" t="s">
        <v>15</v>
      </c>
      <c r="D226" s="7">
        <v>9.4499999999999993</v>
      </c>
      <c r="E226" s="12">
        <v>56</v>
      </c>
      <c r="F226" s="13">
        <f t="shared" si="3"/>
        <v>529.20000000000005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</row>
    <row r="227" spans="1:245" ht="15.75" customHeight="1" x14ac:dyDescent="0.25">
      <c r="A227" s="5">
        <v>202</v>
      </c>
      <c r="B227" s="8" t="s">
        <v>22</v>
      </c>
      <c r="C227" s="5" t="s">
        <v>13</v>
      </c>
      <c r="D227" s="7">
        <v>11.4</v>
      </c>
      <c r="E227" s="12">
        <v>14</v>
      </c>
      <c r="F227" s="13">
        <f t="shared" si="3"/>
        <v>159.6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</row>
    <row r="228" spans="1:245" ht="48" customHeight="1" x14ac:dyDescent="0.25">
      <c r="A228" s="5">
        <v>203</v>
      </c>
      <c r="B228" s="8" t="s">
        <v>132</v>
      </c>
      <c r="C228" s="5" t="s">
        <v>10</v>
      </c>
      <c r="D228" s="7">
        <v>1</v>
      </c>
      <c r="E228" s="12">
        <v>45</v>
      </c>
      <c r="F228" s="13">
        <f t="shared" si="3"/>
        <v>45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</row>
    <row r="229" spans="1:245" ht="31.5" x14ac:dyDescent="0.25">
      <c r="A229" s="5">
        <v>204</v>
      </c>
      <c r="B229" s="8" t="s">
        <v>100</v>
      </c>
      <c r="C229" s="5" t="s">
        <v>13</v>
      </c>
      <c r="D229" s="7">
        <v>1</v>
      </c>
      <c r="E229" s="12">
        <v>22</v>
      </c>
      <c r="F229" s="13">
        <f t="shared" si="3"/>
        <v>22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</row>
    <row r="230" spans="1:245" ht="31.5" x14ac:dyDescent="0.25">
      <c r="A230" s="5">
        <v>205</v>
      </c>
      <c r="B230" s="8" t="s">
        <v>133</v>
      </c>
      <c r="C230" s="5" t="s">
        <v>10</v>
      </c>
      <c r="D230" s="7">
        <v>1</v>
      </c>
      <c r="E230" s="12">
        <v>290</v>
      </c>
      <c r="F230" s="13">
        <f t="shared" si="3"/>
        <v>290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</row>
    <row r="231" spans="1:245" ht="15.75" customHeight="1" x14ac:dyDescent="0.25">
      <c r="A231" s="5">
        <v>206</v>
      </c>
      <c r="B231" s="8" t="s">
        <v>134</v>
      </c>
      <c r="C231" s="5" t="s">
        <v>10</v>
      </c>
      <c r="D231" s="7">
        <v>1</v>
      </c>
      <c r="E231" s="12">
        <v>180</v>
      </c>
      <c r="F231" s="13">
        <f t="shared" si="3"/>
        <v>180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</row>
    <row r="232" spans="1:245" ht="47.25" x14ac:dyDescent="0.25">
      <c r="A232" s="5">
        <v>207</v>
      </c>
      <c r="B232" s="8" t="s">
        <v>135</v>
      </c>
      <c r="C232" s="5" t="s">
        <v>10</v>
      </c>
      <c r="D232" s="7">
        <v>2</v>
      </c>
      <c r="E232" s="12">
        <v>150</v>
      </c>
      <c r="F232" s="13">
        <f t="shared" si="3"/>
        <v>300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</row>
    <row r="233" spans="1:245" ht="31.5" x14ac:dyDescent="0.25">
      <c r="A233" s="5">
        <v>208</v>
      </c>
      <c r="B233" s="8" t="s">
        <v>136</v>
      </c>
      <c r="C233" s="5" t="s">
        <v>10</v>
      </c>
      <c r="D233" s="7">
        <v>1</v>
      </c>
      <c r="E233" s="12">
        <v>190</v>
      </c>
      <c r="F233" s="13">
        <f t="shared" si="3"/>
        <v>190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</row>
    <row r="234" spans="1:245" ht="15.75" x14ac:dyDescent="0.25">
      <c r="A234" s="5">
        <v>209</v>
      </c>
      <c r="B234" s="8" t="s">
        <v>43</v>
      </c>
      <c r="C234" s="5" t="s">
        <v>10</v>
      </c>
      <c r="D234" s="7">
        <v>1</v>
      </c>
      <c r="E234" s="12">
        <v>14</v>
      </c>
      <c r="F234" s="13">
        <f t="shared" si="3"/>
        <v>14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</row>
    <row r="235" spans="1:245" ht="15.75" x14ac:dyDescent="0.25">
      <c r="A235" s="5">
        <v>210</v>
      </c>
      <c r="B235" s="8" t="s">
        <v>25</v>
      </c>
      <c r="C235" s="5" t="s">
        <v>10</v>
      </c>
      <c r="D235" s="7">
        <v>2</v>
      </c>
      <c r="E235" s="12">
        <v>26</v>
      </c>
      <c r="F235" s="13">
        <f t="shared" si="3"/>
        <v>52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</row>
    <row r="236" spans="1:245" ht="31.5" x14ac:dyDescent="0.25">
      <c r="A236" s="5">
        <v>211</v>
      </c>
      <c r="B236" s="8" t="s">
        <v>64</v>
      </c>
      <c r="C236" s="5" t="s">
        <v>15</v>
      </c>
      <c r="D236" s="7">
        <v>2</v>
      </c>
      <c r="E236" s="12">
        <v>54</v>
      </c>
      <c r="F236" s="13">
        <f t="shared" si="3"/>
        <v>108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</row>
    <row r="237" spans="1:245" ht="15.75" x14ac:dyDescent="0.25">
      <c r="A237" s="5"/>
      <c r="B237" s="8"/>
      <c r="C237" s="16" t="s">
        <v>137</v>
      </c>
      <c r="D237" s="16"/>
      <c r="E237" s="17"/>
      <c r="F237" s="12">
        <f>ROUND(SUM(F7:F236),2)</f>
        <v>41176.949999999997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</row>
    <row r="238" spans="1:245" ht="15.75" x14ac:dyDescent="0.25">
      <c r="A238" s="5"/>
      <c r="B238" s="8"/>
      <c r="C238" s="16" t="s">
        <v>138</v>
      </c>
      <c r="D238" s="16"/>
      <c r="E238" s="17"/>
      <c r="F238" s="12">
        <f>ROUND(F237*5%,2)</f>
        <v>2058.85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</row>
    <row r="239" spans="1:245" ht="15.75" x14ac:dyDescent="0.25">
      <c r="A239" s="9"/>
      <c r="B239" s="10"/>
      <c r="C239" s="16" t="s">
        <v>139</v>
      </c>
      <c r="D239" s="16"/>
      <c r="E239" s="17"/>
      <c r="F239" s="14">
        <f>ROUND(F237+F238,2)</f>
        <v>43235.8</v>
      </c>
      <c r="I239" s="11"/>
      <c r="J239"/>
      <c r="K239"/>
      <c r="L239"/>
      <c r="M239"/>
      <c r="N239"/>
      <c r="O239"/>
    </row>
    <row r="240" spans="1:245" ht="15.75" x14ac:dyDescent="0.25">
      <c r="A240" s="9"/>
      <c r="B240" s="10"/>
      <c r="C240" s="16" t="s">
        <v>140</v>
      </c>
      <c r="D240" s="16"/>
      <c r="E240" s="17"/>
      <c r="F240" s="15">
        <f>ROUND(F239*20%,2)</f>
        <v>8647.16</v>
      </c>
      <c r="H240"/>
      <c r="I240"/>
      <c r="J240"/>
      <c r="K240"/>
      <c r="L240"/>
      <c r="M240"/>
      <c r="N240"/>
      <c r="O240"/>
    </row>
    <row r="241" spans="1:15" ht="15.75" x14ac:dyDescent="0.25">
      <c r="A241" s="9"/>
      <c r="B241" s="10"/>
      <c r="C241" s="21" t="s">
        <v>141</v>
      </c>
      <c r="D241" s="21"/>
      <c r="E241" s="22"/>
      <c r="F241" s="15">
        <f>ROUND(F239+F240,2)</f>
        <v>51882.96</v>
      </c>
      <c r="H241"/>
      <c r="I241"/>
      <c r="J241"/>
      <c r="K241"/>
      <c r="L241"/>
      <c r="M241"/>
      <c r="N241"/>
      <c r="O241"/>
    </row>
    <row r="244" spans="1:15" ht="15.75" x14ac:dyDescent="0.25">
      <c r="D244" s="20"/>
      <c r="E244" s="20"/>
      <c r="F244" s="20"/>
    </row>
    <row r="245" spans="1:15" ht="15.75" x14ac:dyDescent="0.25">
      <c r="D245" s="20"/>
      <c r="E245" s="20"/>
      <c r="F245" s="20"/>
    </row>
  </sheetData>
  <mergeCells count="10">
    <mergeCell ref="C239:E239"/>
    <mergeCell ref="C240:E240"/>
    <mergeCell ref="C241:E241"/>
    <mergeCell ref="D244:F244"/>
    <mergeCell ref="D245:F245"/>
    <mergeCell ref="C237:E237"/>
    <mergeCell ref="C238:E238"/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2026-07-14T08:38:22Z</dcterms:created>
  <dcterms:modified xsi:type="dcterms:W3CDTF">2026-07-14T08:38:22Z</dcterms:modified>
</cp:coreProperties>
</file>