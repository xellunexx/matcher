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ystoev/Desktop/"/>
    </mc:Choice>
  </mc:AlternateContent>
  <xr:revisionPtr revIDLastSave="0" documentId="8_{6E68BEE8-5B60-D04E-A0C8-2F4C36F4077D}" xr6:coauthVersionLast="47" xr6:coauthVersionMax="47" xr10:uidLastSave="{00000000-0000-0000-0000-000000000000}"/>
  <bookViews>
    <workbookView xWindow="0" yWindow="600" windowWidth="38400" windowHeight="19780" xr2:uid="{9F81FC31-FABD-2546-836C-EC9F581887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F101" i="1"/>
  <c r="F100" i="1"/>
  <c r="F99" i="1"/>
  <c r="F98" i="1"/>
  <c r="F97" i="1"/>
  <c r="F103" i="1" s="1"/>
  <c r="F93" i="1"/>
  <c r="F92" i="1"/>
  <c r="F91" i="1"/>
  <c r="F90" i="1"/>
  <c r="F89" i="1"/>
  <c r="F88" i="1"/>
  <c r="F87" i="1"/>
  <c r="F86" i="1"/>
  <c r="F85" i="1"/>
  <c r="F84" i="1"/>
  <c r="F83" i="1"/>
  <c r="F82" i="1"/>
  <c r="F80" i="1"/>
  <c r="F79" i="1"/>
  <c r="F78" i="1"/>
  <c r="F77" i="1"/>
  <c r="F94" i="1" s="1"/>
  <c r="F76" i="1"/>
  <c r="F74" i="1"/>
  <c r="F73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70" i="1" l="1"/>
  <c r="F105" i="1" s="1"/>
  <c r="F106" i="1" s="1"/>
  <c r="F107" i="1" s="1"/>
</calcChain>
</file>

<file path=xl/sharedStrings.xml><?xml version="1.0" encoding="utf-8"?>
<sst xmlns="http://schemas.openxmlformats.org/spreadsheetml/2006/main" count="309" uniqueCount="134">
  <si>
    <t>ном.</t>
  </si>
  <si>
    <t>наименование</t>
  </si>
  <si>
    <t>мярка</t>
  </si>
  <si>
    <t>кол.</t>
  </si>
  <si>
    <t>цена €</t>
  </si>
  <si>
    <t>ст-ст €</t>
  </si>
  <si>
    <t/>
  </si>
  <si>
    <t>Изпълнение на мерки за енергийна ефективност в многофамилна жилищна сграда на ул. "Любен Каравелов" №24, ВХ. 0, А, Б, В, Г, Д, гр. Стара Загора</t>
  </si>
  <si>
    <t>1</t>
  </si>
  <si>
    <t>Част Архитектура</t>
  </si>
  <si>
    <t>Подмяна на външни прозорци и врати</t>
  </si>
  <si>
    <t>ДЕМОНТАЖ НА СЪЩЕСТВУВАЩИ СТАРИ ФАСАДНИ ПРОЗОРЦИ, ВИТРИНИ, ВРАТИ, ВКЛ. ПОДПРОЗОРЕЧНИ ПЕРВАЗИ</t>
  </si>
  <si>
    <t>м2</t>
  </si>
  <si>
    <t>2</t>
  </si>
  <si>
    <t>ДОСТАВКА И МОНТАЖ НА PVC ДОГРАМА ПЕТКАМЕРЕН ПРОФИЛ ( МИН. 70ММ ) С ТРОЕН СТЪКЛОПАКЕТ И ОБОБЩЕН КОЕФИЦИЕНТ НА ТОПЛОПРЕМИНАВАНЕ Uw=1.00W/m2K</t>
  </si>
  <si>
    <t>3</t>
  </si>
  <si>
    <t>ДОСТАВКА И МОНТАЖ НА ДОГРАМА ОТ АЛУМИНИЕВИ ПРОФИЛИ С ПРЕКЪСНАТ ТЕРМОМОСТ ЗА ВЪНШНИ ВРАТИ С ДВОЕН СТЪКЛОПАКЕТ ОТ НИСКОЕМИСИОННО СТЪКЛО, С КОЕФИЦИЕНТ НА ТОПЛОПРЕМИНАВАНЕ Uw= 1,70W/m2K</t>
  </si>
  <si>
    <t>4</t>
  </si>
  <si>
    <t>ДОСТАВКА И МОНТАЖ НА ВЪНШНИ АЛУМИНИЕВИ ПОДПРОЗОРЕЧНИ ПЕРВАЗИ С  ШИРИНА ДО 30СМ</t>
  </si>
  <si>
    <t>м</t>
  </si>
  <si>
    <t>5</t>
  </si>
  <si>
    <t>ДОСТАВКА И МОНТАЖ НА ВЪТРЕШНИ  PVC ПОДПРОЗОРЕЧНИ ПЕРВАЗИ С ШИРИНА ДО 20СМ</t>
  </si>
  <si>
    <t>6</t>
  </si>
  <si>
    <t>ВЪТРЕШНО ОБРЪЩАНЕ НА СТРАНИЦИ ДОГРАМА, ВКЛ. ЪГЛОВ ПРОФИЛ, ГИПСОВА ШПАКЛОВКА С МРЕЖА, ДВА СЛОЯ БЯЛ ЛАТЕКС</t>
  </si>
  <si>
    <t>Монтаж на топлоизолация по фасадни стени</t>
  </si>
  <si>
    <t>ДЕМОНТАЖ НА СТАРА НЕОТГОВАРЯЩА НА СЪВРЕМЕННИТЕ  ИЗИСКВАНИЯ ТОПЛОИЗОЛАЦИЯ</t>
  </si>
  <si>
    <t>ОЧУКВАНЕ НА МАЗИЛКА</t>
  </si>
  <si>
    <t>ИЗКЪРПВАНЕ НА МАЗИЛКА, ВКЛ. ГРУНД</t>
  </si>
  <si>
    <t>ПОЛАГАНЕ НА ТОПЛОИЗОЛАЦИОННА СИСТЕМА ОТ EPS 15СМ С КОЕФ. НА ТОПЛОПРОВОДНОСТ НА ТОПЛОИЗОЛАЦИЯТА 0,032W/mK, ВКЛ. ЛЕПИЛО,ШПАКЛОВКА С АРМ. МРЕЖА, КРЕПЕЖНИ ЕЛЕМЕНТИ И ГРУНД ПО ВЪНШНИ СТЕНИ - ФАСАДИ И БАЛКОНСКИ ПАРАПЕТИ</t>
  </si>
  <si>
    <t>ДОСТ. И МОНТАЖ НА ХОРИЗОНТАЛНИ И ВЕРТИКАЛНИ ИВИЦИ ОТ ФАСАДНИ ПЛОЧИ МИНЕРАЛНА  ВАТА С ДЕБ.15СМ ,КОЕФИЦИЕНТ НА ТОПЛОПРОВОДНОСТ  0,036W/mK, С КЛАС НА РЕАКЦИЯ НА ОГЪН "А" , ВКЛ. ГРУНД, ЛЕПИЛО,ШПАКЛОВКА С АРМ. МРЕЖА,  КРЕПЕЖНИ ЕЛЕМЕНТИ</t>
  </si>
  <si>
    <t>ДОСТАВКА И МОНТАЖ НА ТОПЛОИЗОЛАЦИОННА СИСТЕМА ТИП EPS С ДЕБ.30ММ И ШИРИНА ПРИБЛИЗИТЕЛНО 20СМ, ВКЛ. ГРУНД, ЛЕПИЛО, ШПАКЛОВКА С АРМ.МРЕЖА, ЪГЛОВИ ПРОФИЛИ И КРЕПЕЖНИ ЕЛЕМЕНТИ ВЪРХУ ОТВОРИ - ОБРЪЩАНЕ НА ВРАТИ И ПРОЗОРЦИ</t>
  </si>
  <si>
    <t>7</t>
  </si>
  <si>
    <t>ДОСТАВКА И НАПРАВА НА ДОПЪЛНИТЕЛЕН ЩУРЦ С H=15СМ ОТ ГАЗОБЕТОН ПО ОСТЪКЛЕНИ ТЕРАСИ НАД ОСТЪКЛЯВАНЕ</t>
  </si>
  <si>
    <t>бр.</t>
  </si>
  <si>
    <t>8</t>
  </si>
  <si>
    <t>ДОСТАВКА И НАПРАВА НА НОВИ ЗИДОВЕ ОТ ГАЗОБЕТОН ПРИ ОСТЪКЛЕНИ БАЛКОНИ, С ДЕБ. 15СМ, ВКЛ. ИЗМАЗВАНЕ И ШПАКЛОВКА С МРЕЖА</t>
  </si>
  <si>
    <t>9</t>
  </si>
  <si>
    <t>ДОСТАВКА И НАПРАВА НА НОВ ЗИД ОТ ГАЗОБЕТОН С ДЕБ. 10СМ ПРИ СТРАНИЦИ НА БАЛКОНИ В НЕПОСРЕДСТВЕНА БЛИЗОСТ ДО ДИЛАТАЦИОННИ ФУГИ, ВКЛ. ИЗМАЗВАНЕ И ШПАКЛОВКА С МРЕЖА</t>
  </si>
  <si>
    <t>10</t>
  </si>
  <si>
    <t>ДОСТАВКА И МОНТАЖ ВОДООТКАПВАЩИ  ПРОФИЛИ ПО ГОРЕН РЪБ ПРОЗОРЦИ, ПО ДОЛЕН РЪБ БАЛКОНИ И ПО ХОРИЗОНТАЛНИ ФАСАДНИ РЪБОВЕ</t>
  </si>
  <si>
    <t>11</t>
  </si>
  <si>
    <t>ДОСТАВКА И ПОЛАГАНЕ НА ЕКСТЕРИОРНА  МАЗИЛКА, ЦВЯТ ПО СПЕЦИФИКАЦИЯ</t>
  </si>
  <si>
    <t>12</t>
  </si>
  <si>
    <t>ДЕМОНТАЖ, УДЪЛЖАВАНЕ НА КОНЗОЛИ И МОНТАЖ НА ВЪНШНИ КЛИМАТИЧНИ ТЕЛА</t>
  </si>
  <si>
    <t>13</t>
  </si>
  <si>
    <t>ДОСТАВКА И ПОЛАГАНЕ НА ШПАКЛОВКА С МРЕЖА ПО ПАРАПЕТИ, КЪДЕТО НЕ Е ПРЕДВИДЕНА ТОПЛОИЗОЛАЦИЯ</t>
  </si>
  <si>
    <t>14</t>
  </si>
  <si>
    <t>ДОСТАВКА И МОНТАЖ НА РЕШЕТКА ЗА ИЗВОД НА ВЕНТИЛАЦИЯ, РАЗМЕР 75/25СМ - НА ОТВОРИ ЗА ВЕНТИЛАЦИЯ В ПОДПОКРИВНОТО ПРОСТРАНСТВО</t>
  </si>
  <si>
    <t>Топлоизолиране на покриви на сградата</t>
  </si>
  <si>
    <t>ДЕМОНТАЖ  НА  СТАРА ХИДРОИЗОЛАЦИЯ</t>
  </si>
  <si>
    <t>НАПРАВА НА НОВА АРМИРАНА ЦИМЕНТОВА ЗАМАЗКА ПО ПОКРИВ И КОЗИРКИ НАД ВХОДОВЕ ЗА НАКЛОН</t>
  </si>
  <si>
    <t>ДОСТАВКА И ИЗРАБОТВАНЕ НА ХОЛКЕРИ ПРИ БОРДОВЕ</t>
  </si>
  <si>
    <t>ДОСТАВКА И МОНТАЖ НА ХИДРОИЗОЛАЦИЯ ПО ПОКРИВ ОТ ДВА ПЛАСТА БИТУМНА МУШАМА, ЕДИНИЯТ С ПОСИПКА НА ГАЗОПЛАМЪЧНО ЗАЛЕПВАНЕ, ВКЛ. БИТУМЕН ГРУНД</t>
  </si>
  <si>
    <t>ДОСТАВКА И МОНТАЖ НА ХИДРОИЗОЛАЦИЯ ПО КОЗИРКИ ОТ ДВА ПЛАСТА БИТУМНА МУШАМА, ЕДИНИЯТ С ПОСИПКА НА ГАЗОПЛАМЪЧНО ЗАЛЕПВАНЕ, ВКЛ. БИТУМЕН ГРУНД</t>
  </si>
  <si>
    <t>ДОСТАВКА И МОНТАЖ НА ТОПЛОИЗОЛАЦИОННА СИСТЕМА ТИП МИНЕРАЛНА ВАТА С ДЕБ. 10СМ , С КОЕФИЦИЕНТ НА ТОПЛОПРОВОДНОСТ 0,036W/mK ПО ПОКРИВ ТЕРАСА, ВКЛ. ЛЕПИЛО ЗА МИНЕРАЛНА ВАТА</t>
  </si>
  <si>
    <t>ДОСТАВКА И МОНТАЖ ТОПЛОИЗОЛАЦИОННА СИСТЕМА НАД ВХОДНА КЛЕТКА И ПОКРИВ ТЕРАСА ПОСЛЕДЕН ЕТАЖ С XPS С ДЕБ. 0.20M С КОЕФ. НА ТОПЛОПРОВОДИМОСТ 0,030W/mK,ВКЛ. ЛЕПИЛО ЗА ТОПЛОИЗОЛАЦИЯ, ЦИМЕНТОВА ЗАМАЗКА ЗА НАКЛОН И БИТУМНА ХИДРОИЗОЛАЦИЯ</t>
  </si>
  <si>
    <t>ДОСТАВКА И ПОЛАГАНЕ НА ТОПЛОИЗОЛАЦИЯ НА XPS С ДЕБ. 20СМ С  КОЕФИЦИЕНТ  НА ТОПЛОПРОВОДИМОСТ 0,030W/mK, ВКЛ. ЛЕПИЛО И ГРУНД ПО ПОКРИВ НА СТЪЛБИЩНИ КЛЕТКИ</t>
  </si>
  <si>
    <t>ДОСТАВКА И ПОЛАГАНЕ НА ВЪТРЕШНА ТОПЛОИЗОЛАЦИОННА СИСТЕМА ОТ МИНЕРАЛНА ВАТА С ДЕБ. 20СМ, С КОЕФИЦИЕНТ НА ТОПЛОПРОВОДНОСТ 0,036W/m2K, ПО ПОДА НА ПОДПОКРИВНОТО ПРОСТРАНСТВО</t>
  </si>
  <si>
    <t>ДЕМОНТАЖ НА СТАРИ ЛАМАРИНИ ПО БОРДОВЕ</t>
  </si>
  <si>
    <t>ДОСТАВКА И МОНТАЖ НА ПОЦИНКОВАНА ЛАМАРИНА ПО БОРДОВЕ НА ПЛОСЪК ПОКРИВ И ОБШИВКИ КОМИНИ</t>
  </si>
  <si>
    <t>ДЕМОНТАЖ НА СЪЩЕСТВУВАЩА МЪЛНИЕЗАЩИТНА ИНСТАЛАЦИЯ, СТАРИ АНТЕНИ И ДР.</t>
  </si>
  <si>
    <t>ПОЧИСТВАНЕ НА ПОДПОКРИВНО ПРОСТРАНСТВО</t>
  </si>
  <si>
    <t>ДЕМОНТАЖ НА СТАРИ ОТВОДНИТЕЛНИ ПОКРИВНИ СИФОНИ ПО ПОКРИВИ</t>
  </si>
  <si>
    <t>15</t>
  </si>
  <si>
    <t>ДОСТАВКА И МОНТАЖ НА ОТВОДНИТЕЛНИ ПОКРИВНИ СИФОНИ  ПО ПОКРИВИ</t>
  </si>
  <si>
    <t>16</t>
  </si>
  <si>
    <t>ТОПЛОИЗОЛИРАНЕ ВЪНШНО НА КОМИНИ В ПОДПОКРИВНОТО ПРОСТРАНСТВО С 5СМ КАМЕННА ВАТА</t>
  </si>
  <si>
    <t>17</t>
  </si>
  <si>
    <t>ИЗМАЗВАНЕ НА КОМИНИ, ВКЛ. ОЧУКВАНЕ МАЗИЛКА, ПОЛАГАНЕ НА БЕТОНКОНТАКТ, НАПРАВА НА БЕТОНОВ ПОЯС, МАЗИЛКА, ШПАКЛОВКА С МРЕЖА, ФАСАДНА МАЗИЛКА</t>
  </si>
  <si>
    <t>18</t>
  </si>
  <si>
    <t>ДЕМОНТАЖ ШАПКИ НА КОМИНИ</t>
  </si>
  <si>
    <t>19</t>
  </si>
  <si>
    <t>ДОСТАВКА И МОНТАЖ НА ШАПКИ ОТ ПОЦИНКОВАНА ЛАМАРИНА ЗА КОМИНИ И ВЕНТИЛАЦИОННИ ОТВОРИ</t>
  </si>
  <si>
    <t>20</t>
  </si>
  <si>
    <t>ПОЧИСТВАНЕ И ИЗВОЗВАНЕ НА СТАРА ДРЕБНОЗЪРНЕСТА ПОСИПКА ПО ПОКРИВИ</t>
  </si>
  <si>
    <t>21</t>
  </si>
  <si>
    <t>ДЕМОНТАЖ И ОБРАТЕН МОНТАЖ НА ОСВЕТИТЕЛНО ТЯЛО ПО ТЕРАСИ</t>
  </si>
  <si>
    <t>Топлоизолация на подове и подмяна на дограми в сутерени</t>
  </si>
  <si>
    <t>ДОСТАВКА И МОНТАЖ НА ПЕТКАМЕРНА ДОГРАМА PVC ПРОФИЛ С ДВОЕН СТЪКЛОПАКЕТ  С ОБОБЩЕН КОЕФИЦИЕНТ НА ТОПЛОПРЕМИНАВАНЕ НА СГЛОБЕНИЯ ЕЛЕМЕНТ Uw=1,40W/m2K ЗА ПРОЗОРЦИ В СУТЕРЕН</t>
  </si>
  <si>
    <t>ДОСТАВКА И МОНТАЖ НА ТОПЛОИЗОЛАЦИОННА СИСТЕМА С XPS С ДЕБ.15СМ, С КОЕФИЦИЕНТ НА ТОПЛОПРОВОДНОСТ НА ТОПЛОИЗОЛАЦИЯТА 0,030W/mK, ВКЛ. ГРУНД,ЛЕПИЛО,  ШПАКЛОВКА С АРМ. МРЕЖА И КРЕПЕЖНИ ЕЛЕМЕНТИ И ЪГЛОВИ ПРОФИЛИ ПО ЦОКЪЛ</t>
  </si>
  <si>
    <t>ДОСТАВКА И МОНТАЖ НА ТОПЛОИЗОЛАЦИОННА СИСТЕМА ТИП КАШИРАНА МИНЕРАЛНА ВАТА, С ДЕБ. 15СМ, С КОЕФИЦИЕНТ НА ТОПЛОПРОВОДНОСТ = 0,036W/mK, , ВКЛ. ГРУНД, ЛЕПИЛО, ШПАКЛОВКА С АРМ. МРЕЖА, ЪГЛОВИ ПРОФИЛИ И КРЕПЕЖНИ ЕЛЕМЕНТИ ПО ТАВАН НА НЕОТОПЛЯЕМ СУТЕРЕН</t>
  </si>
  <si>
    <t>ДОСТАВКА И МОНТАЖ НА ТОПЛОИЗОЛАЦИОННА СИСТЕМА С XPS С ДЕБ.15СМ, С КОЕФИЦИЕНТ НА ТОПЛОПРОВОДНОСТ НА ТОПЛОИЗОЛАЦИЯТА 0,030W/mK, ВКЛ. ГРУНД, ЛЕПИЛО,  ШПАКЛОВКА С АРМ. МРЕЖА И КРЕПЕЖНИ ЕЛЕМЕНТИ И ЪГЛОВИ ПРОФИЛИ ПО ТАВАН НА НЕОТОПЛЯЕМ БАЛКОН ( ЕРКЕР )</t>
  </si>
  <si>
    <t>БОЯДИСВАНЕ НА КАПАЦИ НА БОМБОУБЕЖИЩА, ДВУСТРАННО С ТРИКОМПОНЕНТНА БОЯ ( ПРЕОБРАЗОВАТЕЛ НА РЪЖДА, ГРУНД И БОЯ), СИВ ЦВЯТ</t>
  </si>
  <si>
    <t>ДОСТАВКА И ПОЛАГАНЕ НА МОЗАЕЧНА МАЗИЛКА ПО ЦОКЛИ</t>
  </si>
  <si>
    <t>ДОСТАВКА И МОНТАЖ НА ТОПЛОИЗОЛАЦИОННА СИСТЕМА ТИП XPS С ДЕБ.30ММ, С ШИР. 20СМ И КОЕФИЦИЕНТ НА ТОПЛОПРОВОДНОСТ 0,030W/mK, ВКЛ. ЛЕПИЛО, ШПАКЛОВКА С АРМ.МРЕЖА, ЪГЛОВИ ПРОФИЛИ И КРЕПЕЖНИ ЕЛЕМЕНТИ ВЪРХУ ОТВОРИ - ОБРЪЩАНЕ НА ДОГРАМА ПО ЦОКЪЛ</t>
  </si>
  <si>
    <t>Други</t>
  </si>
  <si>
    <t>ДОСТАВКА И МОНТАЖ НА ПОМОЩНО СЪОРЪЖЕНИЕ ЗА ИЗКАЧВАНЕ НА СТЪЛБИ ЗА ИНВАЛИДЕН СТОЛ С ВЪЗМОЖНОСТ ЗА ПОЛЗВАНЕ САМОСТОЯТЕЛНО БЕЗ ЧУЖДА ПОМОЩ, ТИП ПО СПЕСИФИКАЦИЯ СЪГЛАСНО ПРОЕКТ</t>
  </si>
  <si>
    <t>РЕПАРИРАНЕ НА СТОМАНОБЕТОНОВИ ЕЛЕМЕНТИ, ПОЧИСТВАНЕ НА КОРОЗИРАЛИТЕ УЧАСТЪЦИ ОТ НАПУКАН БЕТОН, НАНАСЯНЕ НА РЪЖДОПРЕОБРАЗУВАТЕЛ ПО ОГОЛЕНА АРМИРОВКА,ГРУНД ПО ОБМАЗАНАТА АРМАТУРА И БЕТОН, НАНАСЯНЕ НА ОСНОВЕН ПЛАСТ РАЗТВОР ЗА ДЕБЕЛОСЛОЙНО ВЪЗСТАНОВЯВАНЕ</t>
  </si>
  <si>
    <t>ДОСТАВКА, МОНТАЖ И ДЕМОНТАЖ НА ФАСАДНО ТРЪБНО СКЕЛЕ</t>
  </si>
  <si>
    <t>ИЗКЪРПВАНЕ НА КОМПРОМЕТИРАНИ МАЗИЛКИ В СТЪЛБИЩА, ВКЛ. ОЧУКВАНЕ, ГРУНДИРАНЕ, ФИНА ШПАКЛОВКА, ШКУРЕНЕ</t>
  </si>
  <si>
    <t>ПОДМЯНА НА ВОДОСТОЧНИ ТРЪБИ ПО ТЕРАСИ</t>
  </si>
  <si>
    <t>ДВУКРАТНО БОЯДИСВАНЕ НА СТЕНИ С ЛАТЕКСОВА БОЯ В ОБЩИТЕ ПРОСТРАНСТВА, ВКЛ. ГРУНД</t>
  </si>
  <si>
    <t>БОЯДИСВАНЕ С БЛАЖНА БОЯ ПО ЦОКЛИ В ОБЩИТЕ ПРОСТРАНСТВА, ВКЛ. ГРУНД</t>
  </si>
  <si>
    <t>ДОСТАВКА И МОНТАЖ НА МЕТАЛНА ПОЖАРОУСТОЙЧИВА ВРАТА EI30</t>
  </si>
  <si>
    <t>ДОСТАВКА И ПОЛАГАНЕ НА ПРОФИЛ ЗА ДИЛАТАЦИОННА ФУГА</t>
  </si>
  <si>
    <t>НАТОВАРВАНЕ И ИЗВОЗВАНЕ НА СТРОИТЕЛНИ ОТПАДЪЦИ С КАМИОН НАД 20КМ</t>
  </si>
  <si>
    <t>м3</t>
  </si>
  <si>
    <t>БЛАЖНА БОЯ ПО МЕТАЛНИ КАПАЦИ НА ПРОЗОРЦИ КЪМ СУТЕРЕН</t>
  </si>
  <si>
    <t>Част Електро</t>
  </si>
  <si>
    <t>Инсталационни материали</t>
  </si>
  <si>
    <t>ДЕМОНТАЖ НА КЛЮЧ ОБИКНОВЕН 10А, IP21</t>
  </si>
  <si>
    <t>ДЕМОНТАЖ НА БУТОН 10А, IP21</t>
  </si>
  <si>
    <t>Осветителни тела</t>
  </si>
  <si>
    <t>ДЕМОНТАЖ  НА СЪЩЕСТВУВАЩИ ОСВЕТИТЕЛНИ ТЕЛА</t>
  </si>
  <si>
    <t>РАЗКАЧАНЕ НА СТЪЛБИЩЕН АВТОМАТ ОТ СЪЩЕСТВУВАЩ ИЗВОД В ГРТ</t>
  </si>
  <si>
    <t>ДОСТАВКА И МОНТАЖ НА ОСВЕТИТЕЛНО ТЯЛО ТИП ПЛАФОН С LED ЛАМПА И ВГРАДЕНИ ДАТЧИЦИ ЗА ДВИЖЕНИЕ 10W, IP21</t>
  </si>
  <si>
    <t>ДОСТАВКА И МОНТАЖ НА ОСВЕТИТЕЛНО ТЯЛО ТИП ПЛАФОН С LED ЛАМПА И  ВГРАДЕНИ ДАТЧИЦИ ЗА ДВИЖЕНИЕ 10W, IP44</t>
  </si>
  <si>
    <t>ДОСТАВКА И МОНТАЖ НА ОСВЕТИТЕЛНО ТЯЛО ТИП СТЕНЕН АПЛИК 10W С LED ЛАМПА И ВГРАДЕН ДАТЧИК ЗА ДВИЖЕНИЕ 10М/360ГР</t>
  </si>
  <si>
    <t>Мълниезащитна и заземителна инсталации</t>
  </si>
  <si>
    <t>ДОСТАВКА И МОНТАЖ НА АКТИВЕН МЪЛНИЕПРИЕМНИК</t>
  </si>
  <si>
    <t>ДОСТАВКА И МОНТАЖ НА МЪЛНИЕПРИЕМНА МАЧТА ОТ ПОЦИНКОВАНА СТОМАНА С ЕФЕКТИВНА ВИСОЧИНА 2М, ЗА ВЕРТИКАЛЕН МОНТАЖ</t>
  </si>
  <si>
    <t>ДОСТАВКА И МОНТАЖ НА КОНТРОЛНА КЛЕМА</t>
  </si>
  <si>
    <t>ДОСТАВКА И МОНТАЖ НА ИЗОЛИРАН АЛУМИНИЕВ ПРОВОДНИК AlMgSi 0.5, Ф10 ЗА МЪЛНИЕЗАЩИТА</t>
  </si>
  <si>
    <t>ДОСТАВКА И МОНТАЖ НА ПОЦИНКОВАНА ШИНА 40Х4ММ</t>
  </si>
  <si>
    <t>ДОСТАВКА И МОНТАЖ ЗАЗЕМИТЕЛЕН КОЛ ОТ ПОЦИНКОВАНА СТОМАНА</t>
  </si>
  <si>
    <t>ДОСТАВКА И МОНТАЖ НА КУТИЯ ОТ ПОЦИНКОВАНА ЛАМАРИНА С КАПАК НА ВИНТОВЕ ЗА ПРАВ СЪЕДИНИТЕЛ ЗА КОНТРОЛНИ ИЗМЕРВАНИЯ</t>
  </si>
  <si>
    <t>ДОСТАВКА И МОНТАЖ НА УКРЕПВАЩА ПЛАНКА (КЛЕМА) ЗА ПРОВОДНИК</t>
  </si>
  <si>
    <t>ДОСТАВКА И МОНТАЖ НА ДИСТАНЦИОНЕН НОСАЧ</t>
  </si>
  <si>
    <t>ИЗМЕРВАНЕ НА СЪПРОТИВЛЕНИЕТО НА ТОЧКА ОТ ЗАЩИТНО ЗАЗЕМЛЕНИЕ</t>
  </si>
  <si>
    <t>ИЗГОТВЯНЕ НА ПРОТОКОЛИ</t>
  </si>
  <si>
    <t>ИЗМЕРВАНЕ ПРЕХОДНОТО СЪПРОТИВЛЕНИЕ НА ГЛАВНОТО ЕЛЕКТРОМЕРНО РАЗПРЕДЕЛИТЕЛНО ТАБЛО</t>
  </si>
  <si>
    <t>Част ВиК</t>
  </si>
  <si>
    <t>Сграден водопровод</t>
  </si>
  <si>
    <t>ДОСТАВКА И МОНТАЖ НА ПОЦИНКОВАНИ ТРЪБИ 2", ВКЛ. ФАСОННИ ЧАСТИ И СКОБИ ЗА УКРЕПВАНЕ НА ТРЪБИТЕ</t>
  </si>
  <si>
    <t>ДОСТАВКА И МОНТАЖ НА СПИРАТЕЛЕН КРАН DN 2" СЪС СЪЕДИНИТЕЛ ТИП ЩОРЦ</t>
  </si>
  <si>
    <t>ДЕМОНТАЖ НА PVC ТРЪБИ В ПОДПОКРИВНОТО ПРОСТРАНСТВО</t>
  </si>
  <si>
    <t>ДОСТАВКА И МОНТАЖ НА PVC ВОДОСТОЧНИ ТРЪБИ Ф110ММ В ПОДПОКРИВНОТО ПРОСТРАНСТВО, ВКЛ. УКРЕПИТЕЛИ ЗА ТРЪБИТЕ</t>
  </si>
  <si>
    <t>ДОСТАВКА И МОНТАЖ НА РЕВИЗИОНЕН ОТВОР PVC Ф110</t>
  </si>
  <si>
    <t>ПРОБИВАНЕ НА ОТВОРИ В ГРЕДИ</t>
  </si>
  <si>
    <t>Начисления по схема</t>
  </si>
  <si>
    <t>ВСИЧКО</t>
  </si>
  <si>
    <t>ДДС 20 %</t>
  </si>
  <si>
    <t>ВСИЧКО С ДДС</t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</si>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</sst>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;0"/>
  </numFmts>
  <fonts count="2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CCCCCC"/>
        <bgColor indexed="8"/>
      </patternFill>
    </fill>
    <fill>
      <patternFill patternType="solid">
        <fgColor rgb="FFE8E8E8"/>
        <bgColor indexed="8"/>
      </patternFill>
    </fill>
    <fill>
      <patternFill patternType="solid">
        <fgColor rgb="FF80FF80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theme="9" tint="0.59999389629810485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FFF80"/>
        <bgColor indexed="8"/>
      </patternFill>
    </fill>
    <fill>
      <patternFill patternType="solid">
        <fgColor rgb="FFF7F3FF"/>
        <bgColor indexed="8"/>
      </patternFill>
    </fill>
    <fill>
      <patternFill patternType="solid">
        <fgColor rgb="FFEDF3FE"/>
        <bgColor indexed="8"/>
      </patternFill>
    </fill>
  </fills>
  <borders count="3">
    <border>
      <left/>
      <right/>
      <top/>
      <bottom/>
      <diagonal/>
    </border>
    <border>
      <left style="thin">
        <color rgb="FF707070"/>
      </left>
      <right style="thin">
        <color rgb="FF707070"/>
      </right>
      <top style="thin">
        <color rgb="FF707070"/>
      </top>
      <bottom style="thin">
        <color rgb="FF70707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164" fontId="1" fillId="4" borderId="1" xfId="0" applyNumberFormat="1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4" fontId="0" fillId="5" borderId="1" xfId="0" applyNumberFormat="1" applyFill="1" applyBorder="1" applyAlignment="1">
      <alignment horizontal="right" vertical="top" wrapText="1"/>
    </xf>
    <xf numFmtId="164" fontId="0" fillId="5" borderId="1" xfId="0" applyNumberFormat="1" applyFill="1" applyBorder="1" applyAlignment="1">
      <alignment horizontal="right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4" fontId="0" fillId="6" borderId="1" xfId="0" applyNumberFormat="1" applyFill="1" applyBorder="1" applyAlignment="1">
      <alignment horizontal="right" vertical="top" wrapText="1"/>
    </xf>
    <xf numFmtId="164" fontId="0" fillId="6" borderId="1" xfId="0" applyNumberFormat="1" applyFill="1" applyBorder="1" applyAlignment="1">
      <alignment horizontal="right"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 wrapText="1"/>
    </xf>
    <xf numFmtId="4" fontId="0" fillId="7" borderId="1" xfId="0" applyNumberFormat="1" applyFill="1" applyBorder="1" applyAlignment="1">
      <alignment horizontal="right" vertical="top" wrapText="1"/>
    </xf>
    <xf numFmtId="164" fontId="0" fillId="7" borderId="1" xfId="0" applyNumberFormat="1" applyFill="1" applyBorder="1" applyAlignment="1">
      <alignment horizontal="right"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left" vertical="top" wrapText="1"/>
    </xf>
    <xf numFmtId="4" fontId="0" fillId="8" borderId="1" xfId="0" applyNumberFormat="1" applyFill="1" applyBorder="1" applyAlignment="1">
      <alignment horizontal="right" vertical="top" wrapText="1"/>
    </xf>
    <xf numFmtId="164" fontId="0" fillId="8" borderId="1" xfId="0" applyNumberFormat="1" applyFill="1" applyBorder="1" applyAlignment="1">
      <alignment horizontal="right" vertical="top" wrapText="1"/>
    </xf>
    <xf numFmtId="0" fontId="0" fillId="8" borderId="1" xfId="0" applyFill="1" applyBorder="1" applyAlignment="1">
      <alignment horizontal="right" vertical="top" wrapText="1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right" vertical="top" wrapText="1"/>
    </xf>
    <xf numFmtId="164" fontId="0" fillId="9" borderId="1" xfId="0" applyNumberFormat="1" applyFill="1" applyBorder="1" applyAlignment="1">
      <alignment horizontal="right" vertical="top" wrapText="1"/>
    </xf>
    <xf numFmtId="0" fontId="0" fillId="10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right" vertical="top" wrapText="1"/>
    </xf>
    <xf numFmtId="164" fontId="0" fillId="10" borderId="1" xfId="0" applyNumberFormat="1" applyFill="1" applyBorder="1" applyAlignment="1">
      <alignment horizontal="right" vertical="top" wrapText="1"/>
    </xf>
    <xf numFmtId="0" fontId="0" fillId="7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left" vertical="top" wrapText="1"/>
    </xf>
    <xf numFmtId="0" fontId="0" fillId="3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09AB09-CA8D-844F-8C27-422364CCAB3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e54185-580f-4724-b2d9-2a8e934839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33C3-1FBA-ED44-94C5-F36AA89FEE42}">
  <dimension ref="A1:F109"/>
  <sheetViews>
    <sheetView tabSelected="1" topLeftCell="A97" workbookViewId="0">
      <selection activeCell="M93" sqref="M93"/>
    </sheetView>
  </sheetViews>
  <sheetFormatPr baseColWidth="10" defaultColWidth="9.5" defaultRowHeight="16" x14ac:dyDescent="0.2"/>
  <cols>
    <col min="1" max="1" width="3.1640625" style="35" customWidth="1"/>
    <col min="2" max="2" width="36.5" style="2" customWidth="1"/>
    <col min="3" max="3" width="6.6640625" style="2" customWidth="1"/>
    <col min="4" max="4" width="7.83203125" style="2" customWidth="1"/>
    <col min="5" max="5" width="9.33203125" style="2" customWidth="1"/>
    <col min="6" max="6" width="11.6640625" style="2" bestFit="1" customWidth="1"/>
    <col min="7" max="256" width="9.5" style="2"/>
    <col min="257" max="257" width="3.1640625" style="2" customWidth="1"/>
    <col min="258" max="258" width="36.5" style="2" customWidth="1"/>
    <col min="259" max="259" width="6.6640625" style="2" customWidth="1"/>
    <col min="260" max="260" width="7.83203125" style="2" customWidth="1"/>
    <col min="261" max="261" width="9.33203125" style="2" customWidth="1"/>
    <col min="262" max="262" width="7.83203125" style="2" customWidth="1"/>
    <col min="263" max="512" width="9.5" style="2"/>
    <col min="513" max="513" width="3.1640625" style="2" customWidth="1"/>
    <col min="514" max="514" width="36.5" style="2" customWidth="1"/>
    <col min="515" max="515" width="6.6640625" style="2" customWidth="1"/>
    <col min="516" max="516" width="7.83203125" style="2" customWidth="1"/>
    <col min="517" max="517" width="9.33203125" style="2" customWidth="1"/>
    <col min="518" max="518" width="7.83203125" style="2" customWidth="1"/>
    <col min="519" max="768" width="9.5" style="2"/>
    <col min="769" max="769" width="3.1640625" style="2" customWidth="1"/>
    <col min="770" max="770" width="36.5" style="2" customWidth="1"/>
    <col min="771" max="771" width="6.6640625" style="2" customWidth="1"/>
    <col min="772" max="772" width="7.83203125" style="2" customWidth="1"/>
    <col min="773" max="773" width="9.33203125" style="2" customWidth="1"/>
    <col min="774" max="774" width="7.83203125" style="2" customWidth="1"/>
    <col min="775" max="1024" width="9.5" style="2"/>
    <col min="1025" max="1025" width="3.1640625" style="2" customWidth="1"/>
    <col min="1026" max="1026" width="36.5" style="2" customWidth="1"/>
    <col min="1027" max="1027" width="6.6640625" style="2" customWidth="1"/>
    <col min="1028" max="1028" width="7.83203125" style="2" customWidth="1"/>
    <col min="1029" max="1029" width="9.33203125" style="2" customWidth="1"/>
    <col min="1030" max="1030" width="7.83203125" style="2" customWidth="1"/>
    <col min="1031" max="1280" width="9.5" style="2"/>
    <col min="1281" max="1281" width="3.1640625" style="2" customWidth="1"/>
    <col min="1282" max="1282" width="36.5" style="2" customWidth="1"/>
    <col min="1283" max="1283" width="6.6640625" style="2" customWidth="1"/>
    <col min="1284" max="1284" width="7.83203125" style="2" customWidth="1"/>
    <col min="1285" max="1285" width="9.33203125" style="2" customWidth="1"/>
    <col min="1286" max="1286" width="7.83203125" style="2" customWidth="1"/>
    <col min="1287" max="1536" width="9.5" style="2"/>
    <col min="1537" max="1537" width="3.1640625" style="2" customWidth="1"/>
    <col min="1538" max="1538" width="36.5" style="2" customWidth="1"/>
    <col min="1539" max="1539" width="6.6640625" style="2" customWidth="1"/>
    <col min="1540" max="1540" width="7.83203125" style="2" customWidth="1"/>
    <col min="1541" max="1541" width="9.33203125" style="2" customWidth="1"/>
    <col min="1542" max="1542" width="7.83203125" style="2" customWidth="1"/>
    <col min="1543" max="1792" width="9.5" style="2"/>
    <col min="1793" max="1793" width="3.1640625" style="2" customWidth="1"/>
    <col min="1794" max="1794" width="36.5" style="2" customWidth="1"/>
    <col min="1795" max="1795" width="6.6640625" style="2" customWidth="1"/>
    <col min="1796" max="1796" width="7.83203125" style="2" customWidth="1"/>
    <col min="1797" max="1797" width="9.33203125" style="2" customWidth="1"/>
    <col min="1798" max="1798" width="7.83203125" style="2" customWidth="1"/>
    <col min="1799" max="2048" width="9.5" style="2"/>
    <col min="2049" max="2049" width="3.1640625" style="2" customWidth="1"/>
    <col min="2050" max="2050" width="36.5" style="2" customWidth="1"/>
    <col min="2051" max="2051" width="6.6640625" style="2" customWidth="1"/>
    <col min="2052" max="2052" width="7.83203125" style="2" customWidth="1"/>
    <col min="2053" max="2053" width="9.33203125" style="2" customWidth="1"/>
    <col min="2054" max="2054" width="7.83203125" style="2" customWidth="1"/>
    <col min="2055" max="2304" width="9.5" style="2"/>
    <col min="2305" max="2305" width="3.1640625" style="2" customWidth="1"/>
    <col min="2306" max="2306" width="36.5" style="2" customWidth="1"/>
    <col min="2307" max="2307" width="6.6640625" style="2" customWidth="1"/>
    <col min="2308" max="2308" width="7.83203125" style="2" customWidth="1"/>
    <col min="2309" max="2309" width="9.33203125" style="2" customWidth="1"/>
    <col min="2310" max="2310" width="7.83203125" style="2" customWidth="1"/>
    <col min="2311" max="2560" width="9.5" style="2"/>
    <col min="2561" max="2561" width="3.1640625" style="2" customWidth="1"/>
    <col min="2562" max="2562" width="36.5" style="2" customWidth="1"/>
    <col min="2563" max="2563" width="6.6640625" style="2" customWidth="1"/>
    <col min="2564" max="2564" width="7.83203125" style="2" customWidth="1"/>
    <col min="2565" max="2565" width="9.33203125" style="2" customWidth="1"/>
    <col min="2566" max="2566" width="7.83203125" style="2" customWidth="1"/>
    <col min="2567" max="2816" width="9.5" style="2"/>
    <col min="2817" max="2817" width="3.1640625" style="2" customWidth="1"/>
    <col min="2818" max="2818" width="36.5" style="2" customWidth="1"/>
    <col min="2819" max="2819" width="6.6640625" style="2" customWidth="1"/>
    <col min="2820" max="2820" width="7.83203125" style="2" customWidth="1"/>
    <col min="2821" max="2821" width="9.33203125" style="2" customWidth="1"/>
    <col min="2822" max="2822" width="7.83203125" style="2" customWidth="1"/>
    <col min="2823" max="3072" width="9.5" style="2"/>
    <col min="3073" max="3073" width="3.1640625" style="2" customWidth="1"/>
    <col min="3074" max="3074" width="36.5" style="2" customWidth="1"/>
    <col min="3075" max="3075" width="6.6640625" style="2" customWidth="1"/>
    <col min="3076" max="3076" width="7.83203125" style="2" customWidth="1"/>
    <col min="3077" max="3077" width="9.33203125" style="2" customWidth="1"/>
    <col min="3078" max="3078" width="7.83203125" style="2" customWidth="1"/>
    <col min="3079" max="3328" width="9.5" style="2"/>
    <col min="3329" max="3329" width="3.1640625" style="2" customWidth="1"/>
    <col min="3330" max="3330" width="36.5" style="2" customWidth="1"/>
    <col min="3331" max="3331" width="6.6640625" style="2" customWidth="1"/>
    <col min="3332" max="3332" width="7.83203125" style="2" customWidth="1"/>
    <col min="3333" max="3333" width="9.33203125" style="2" customWidth="1"/>
    <col min="3334" max="3334" width="7.83203125" style="2" customWidth="1"/>
    <col min="3335" max="3584" width="9.5" style="2"/>
    <col min="3585" max="3585" width="3.1640625" style="2" customWidth="1"/>
    <col min="3586" max="3586" width="36.5" style="2" customWidth="1"/>
    <col min="3587" max="3587" width="6.6640625" style="2" customWidth="1"/>
    <col min="3588" max="3588" width="7.83203125" style="2" customWidth="1"/>
    <col min="3589" max="3589" width="9.33203125" style="2" customWidth="1"/>
    <col min="3590" max="3590" width="7.83203125" style="2" customWidth="1"/>
    <col min="3591" max="3840" width="9.5" style="2"/>
    <col min="3841" max="3841" width="3.1640625" style="2" customWidth="1"/>
    <col min="3842" max="3842" width="36.5" style="2" customWidth="1"/>
    <col min="3843" max="3843" width="6.6640625" style="2" customWidth="1"/>
    <col min="3844" max="3844" width="7.83203125" style="2" customWidth="1"/>
    <col min="3845" max="3845" width="9.33203125" style="2" customWidth="1"/>
    <col min="3846" max="3846" width="7.83203125" style="2" customWidth="1"/>
    <col min="3847" max="4096" width="9.5" style="2"/>
    <col min="4097" max="4097" width="3.1640625" style="2" customWidth="1"/>
    <col min="4098" max="4098" width="36.5" style="2" customWidth="1"/>
    <col min="4099" max="4099" width="6.6640625" style="2" customWidth="1"/>
    <col min="4100" max="4100" width="7.83203125" style="2" customWidth="1"/>
    <col min="4101" max="4101" width="9.33203125" style="2" customWidth="1"/>
    <col min="4102" max="4102" width="7.83203125" style="2" customWidth="1"/>
    <col min="4103" max="4352" width="9.5" style="2"/>
    <col min="4353" max="4353" width="3.1640625" style="2" customWidth="1"/>
    <col min="4354" max="4354" width="36.5" style="2" customWidth="1"/>
    <col min="4355" max="4355" width="6.6640625" style="2" customWidth="1"/>
    <col min="4356" max="4356" width="7.83203125" style="2" customWidth="1"/>
    <col min="4357" max="4357" width="9.33203125" style="2" customWidth="1"/>
    <col min="4358" max="4358" width="7.83203125" style="2" customWidth="1"/>
    <col min="4359" max="4608" width="9.5" style="2"/>
    <col min="4609" max="4609" width="3.1640625" style="2" customWidth="1"/>
    <col min="4610" max="4610" width="36.5" style="2" customWidth="1"/>
    <col min="4611" max="4611" width="6.6640625" style="2" customWidth="1"/>
    <col min="4612" max="4612" width="7.83203125" style="2" customWidth="1"/>
    <col min="4613" max="4613" width="9.33203125" style="2" customWidth="1"/>
    <col min="4614" max="4614" width="7.83203125" style="2" customWidth="1"/>
    <col min="4615" max="4864" width="9.5" style="2"/>
    <col min="4865" max="4865" width="3.1640625" style="2" customWidth="1"/>
    <col min="4866" max="4866" width="36.5" style="2" customWidth="1"/>
    <col min="4867" max="4867" width="6.6640625" style="2" customWidth="1"/>
    <col min="4868" max="4868" width="7.83203125" style="2" customWidth="1"/>
    <col min="4869" max="4869" width="9.33203125" style="2" customWidth="1"/>
    <col min="4870" max="4870" width="7.83203125" style="2" customWidth="1"/>
    <col min="4871" max="5120" width="9.5" style="2"/>
    <col min="5121" max="5121" width="3.1640625" style="2" customWidth="1"/>
    <col min="5122" max="5122" width="36.5" style="2" customWidth="1"/>
    <col min="5123" max="5123" width="6.6640625" style="2" customWidth="1"/>
    <col min="5124" max="5124" width="7.83203125" style="2" customWidth="1"/>
    <col min="5125" max="5125" width="9.33203125" style="2" customWidth="1"/>
    <col min="5126" max="5126" width="7.83203125" style="2" customWidth="1"/>
    <col min="5127" max="5376" width="9.5" style="2"/>
    <col min="5377" max="5377" width="3.1640625" style="2" customWidth="1"/>
    <col min="5378" max="5378" width="36.5" style="2" customWidth="1"/>
    <col min="5379" max="5379" width="6.6640625" style="2" customWidth="1"/>
    <col min="5380" max="5380" width="7.83203125" style="2" customWidth="1"/>
    <col min="5381" max="5381" width="9.33203125" style="2" customWidth="1"/>
    <col min="5382" max="5382" width="7.83203125" style="2" customWidth="1"/>
    <col min="5383" max="5632" width="9.5" style="2"/>
    <col min="5633" max="5633" width="3.1640625" style="2" customWidth="1"/>
    <col min="5634" max="5634" width="36.5" style="2" customWidth="1"/>
    <col min="5635" max="5635" width="6.6640625" style="2" customWidth="1"/>
    <col min="5636" max="5636" width="7.83203125" style="2" customWidth="1"/>
    <col min="5637" max="5637" width="9.33203125" style="2" customWidth="1"/>
    <col min="5638" max="5638" width="7.83203125" style="2" customWidth="1"/>
    <col min="5639" max="5888" width="9.5" style="2"/>
    <col min="5889" max="5889" width="3.1640625" style="2" customWidth="1"/>
    <col min="5890" max="5890" width="36.5" style="2" customWidth="1"/>
    <col min="5891" max="5891" width="6.6640625" style="2" customWidth="1"/>
    <col min="5892" max="5892" width="7.83203125" style="2" customWidth="1"/>
    <col min="5893" max="5893" width="9.33203125" style="2" customWidth="1"/>
    <col min="5894" max="5894" width="7.83203125" style="2" customWidth="1"/>
    <col min="5895" max="6144" width="9.5" style="2"/>
    <col min="6145" max="6145" width="3.1640625" style="2" customWidth="1"/>
    <col min="6146" max="6146" width="36.5" style="2" customWidth="1"/>
    <col min="6147" max="6147" width="6.6640625" style="2" customWidth="1"/>
    <col min="6148" max="6148" width="7.83203125" style="2" customWidth="1"/>
    <col min="6149" max="6149" width="9.33203125" style="2" customWidth="1"/>
    <col min="6150" max="6150" width="7.83203125" style="2" customWidth="1"/>
    <col min="6151" max="6400" width="9.5" style="2"/>
    <col min="6401" max="6401" width="3.1640625" style="2" customWidth="1"/>
    <col min="6402" max="6402" width="36.5" style="2" customWidth="1"/>
    <col min="6403" max="6403" width="6.6640625" style="2" customWidth="1"/>
    <col min="6404" max="6404" width="7.83203125" style="2" customWidth="1"/>
    <col min="6405" max="6405" width="9.33203125" style="2" customWidth="1"/>
    <col min="6406" max="6406" width="7.83203125" style="2" customWidth="1"/>
    <col min="6407" max="6656" width="9.5" style="2"/>
    <col min="6657" max="6657" width="3.1640625" style="2" customWidth="1"/>
    <col min="6658" max="6658" width="36.5" style="2" customWidth="1"/>
    <col min="6659" max="6659" width="6.6640625" style="2" customWidth="1"/>
    <col min="6660" max="6660" width="7.83203125" style="2" customWidth="1"/>
    <col min="6661" max="6661" width="9.33203125" style="2" customWidth="1"/>
    <col min="6662" max="6662" width="7.83203125" style="2" customWidth="1"/>
    <col min="6663" max="6912" width="9.5" style="2"/>
    <col min="6913" max="6913" width="3.1640625" style="2" customWidth="1"/>
    <col min="6914" max="6914" width="36.5" style="2" customWidth="1"/>
    <col min="6915" max="6915" width="6.6640625" style="2" customWidth="1"/>
    <col min="6916" max="6916" width="7.83203125" style="2" customWidth="1"/>
    <col min="6917" max="6917" width="9.33203125" style="2" customWidth="1"/>
    <col min="6918" max="6918" width="7.83203125" style="2" customWidth="1"/>
    <col min="6919" max="7168" width="9.5" style="2"/>
    <col min="7169" max="7169" width="3.1640625" style="2" customWidth="1"/>
    <col min="7170" max="7170" width="36.5" style="2" customWidth="1"/>
    <col min="7171" max="7171" width="6.6640625" style="2" customWidth="1"/>
    <col min="7172" max="7172" width="7.83203125" style="2" customWidth="1"/>
    <col min="7173" max="7173" width="9.33203125" style="2" customWidth="1"/>
    <col min="7174" max="7174" width="7.83203125" style="2" customWidth="1"/>
    <col min="7175" max="7424" width="9.5" style="2"/>
    <col min="7425" max="7425" width="3.1640625" style="2" customWidth="1"/>
    <col min="7426" max="7426" width="36.5" style="2" customWidth="1"/>
    <col min="7427" max="7427" width="6.6640625" style="2" customWidth="1"/>
    <col min="7428" max="7428" width="7.83203125" style="2" customWidth="1"/>
    <col min="7429" max="7429" width="9.33203125" style="2" customWidth="1"/>
    <col min="7430" max="7430" width="7.83203125" style="2" customWidth="1"/>
    <col min="7431" max="7680" width="9.5" style="2"/>
    <col min="7681" max="7681" width="3.1640625" style="2" customWidth="1"/>
    <col min="7682" max="7682" width="36.5" style="2" customWidth="1"/>
    <col min="7683" max="7683" width="6.6640625" style="2" customWidth="1"/>
    <col min="7684" max="7684" width="7.83203125" style="2" customWidth="1"/>
    <col min="7685" max="7685" width="9.33203125" style="2" customWidth="1"/>
    <col min="7686" max="7686" width="7.83203125" style="2" customWidth="1"/>
    <col min="7687" max="7936" width="9.5" style="2"/>
    <col min="7937" max="7937" width="3.1640625" style="2" customWidth="1"/>
    <col min="7938" max="7938" width="36.5" style="2" customWidth="1"/>
    <col min="7939" max="7939" width="6.6640625" style="2" customWidth="1"/>
    <col min="7940" max="7940" width="7.83203125" style="2" customWidth="1"/>
    <col min="7941" max="7941" width="9.33203125" style="2" customWidth="1"/>
    <col min="7942" max="7942" width="7.83203125" style="2" customWidth="1"/>
    <col min="7943" max="8192" width="9.5" style="2"/>
    <col min="8193" max="8193" width="3.1640625" style="2" customWidth="1"/>
    <col min="8194" max="8194" width="36.5" style="2" customWidth="1"/>
    <col min="8195" max="8195" width="6.6640625" style="2" customWidth="1"/>
    <col min="8196" max="8196" width="7.83203125" style="2" customWidth="1"/>
    <col min="8197" max="8197" width="9.33203125" style="2" customWidth="1"/>
    <col min="8198" max="8198" width="7.83203125" style="2" customWidth="1"/>
    <col min="8199" max="8448" width="9.5" style="2"/>
    <col min="8449" max="8449" width="3.1640625" style="2" customWidth="1"/>
    <col min="8450" max="8450" width="36.5" style="2" customWidth="1"/>
    <col min="8451" max="8451" width="6.6640625" style="2" customWidth="1"/>
    <col min="8452" max="8452" width="7.83203125" style="2" customWidth="1"/>
    <col min="8453" max="8453" width="9.33203125" style="2" customWidth="1"/>
    <col min="8454" max="8454" width="7.83203125" style="2" customWidth="1"/>
    <col min="8455" max="8704" width="9.5" style="2"/>
    <col min="8705" max="8705" width="3.1640625" style="2" customWidth="1"/>
    <col min="8706" max="8706" width="36.5" style="2" customWidth="1"/>
    <col min="8707" max="8707" width="6.6640625" style="2" customWidth="1"/>
    <col min="8708" max="8708" width="7.83203125" style="2" customWidth="1"/>
    <col min="8709" max="8709" width="9.33203125" style="2" customWidth="1"/>
    <col min="8710" max="8710" width="7.83203125" style="2" customWidth="1"/>
    <col min="8711" max="8960" width="9.5" style="2"/>
    <col min="8961" max="8961" width="3.1640625" style="2" customWidth="1"/>
    <col min="8962" max="8962" width="36.5" style="2" customWidth="1"/>
    <col min="8963" max="8963" width="6.6640625" style="2" customWidth="1"/>
    <col min="8964" max="8964" width="7.83203125" style="2" customWidth="1"/>
    <col min="8965" max="8965" width="9.33203125" style="2" customWidth="1"/>
    <col min="8966" max="8966" width="7.83203125" style="2" customWidth="1"/>
    <col min="8967" max="9216" width="9.5" style="2"/>
    <col min="9217" max="9217" width="3.1640625" style="2" customWidth="1"/>
    <col min="9218" max="9218" width="36.5" style="2" customWidth="1"/>
    <col min="9219" max="9219" width="6.6640625" style="2" customWidth="1"/>
    <col min="9220" max="9220" width="7.83203125" style="2" customWidth="1"/>
    <col min="9221" max="9221" width="9.33203125" style="2" customWidth="1"/>
    <col min="9222" max="9222" width="7.83203125" style="2" customWidth="1"/>
    <col min="9223" max="9472" width="9.5" style="2"/>
    <col min="9473" max="9473" width="3.1640625" style="2" customWidth="1"/>
    <col min="9474" max="9474" width="36.5" style="2" customWidth="1"/>
    <col min="9475" max="9475" width="6.6640625" style="2" customWidth="1"/>
    <col min="9476" max="9476" width="7.83203125" style="2" customWidth="1"/>
    <col min="9477" max="9477" width="9.33203125" style="2" customWidth="1"/>
    <col min="9478" max="9478" width="7.83203125" style="2" customWidth="1"/>
    <col min="9479" max="9728" width="9.5" style="2"/>
    <col min="9729" max="9729" width="3.1640625" style="2" customWidth="1"/>
    <col min="9730" max="9730" width="36.5" style="2" customWidth="1"/>
    <col min="9731" max="9731" width="6.6640625" style="2" customWidth="1"/>
    <col min="9732" max="9732" width="7.83203125" style="2" customWidth="1"/>
    <col min="9733" max="9733" width="9.33203125" style="2" customWidth="1"/>
    <col min="9734" max="9734" width="7.83203125" style="2" customWidth="1"/>
    <col min="9735" max="9984" width="9.5" style="2"/>
    <col min="9985" max="9985" width="3.1640625" style="2" customWidth="1"/>
    <col min="9986" max="9986" width="36.5" style="2" customWidth="1"/>
    <col min="9987" max="9987" width="6.6640625" style="2" customWidth="1"/>
    <col min="9988" max="9988" width="7.83203125" style="2" customWidth="1"/>
    <col min="9989" max="9989" width="9.33203125" style="2" customWidth="1"/>
    <col min="9990" max="9990" width="7.83203125" style="2" customWidth="1"/>
    <col min="9991" max="10240" width="9.5" style="2"/>
    <col min="10241" max="10241" width="3.1640625" style="2" customWidth="1"/>
    <col min="10242" max="10242" width="36.5" style="2" customWidth="1"/>
    <col min="10243" max="10243" width="6.6640625" style="2" customWidth="1"/>
    <col min="10244" max="10244" width="7.83203125" style="2" customWidth="1"/>
    <col min="10245" max="10245" width="9.33203125" style="2" customWidth="1"/>
    <col min="10246" max="10246" width="7.83203125" style="2" customWidth="1"/>
    <col min="10247" max="10496" width="9.5" style="2"/>
    <col min="10497" max="10497" width="3.1640625" style="2" customWidth="1"/>
    <col min="10498" max="10498" width="36.5" style="2" customWidth="1"/>
    <col min="10499" max="10499" width="6.6640625" style="2" customWidth="1"/>
    <col min="10500" max="10500" width="7.83203125" style="2" customWidth="1"/>
    <col min="10501" max="10501" width="9.33203125" style="2" customWidth="1"/>
    <col min="10502" max="10502" width="7.83203125" style="2" customWidth="1"/>
    <col min="10503" max="10752" width="9.5" style="2"/>
    <col min="10753" max="10753" width="3.1640625" style="2" customWidth="1"/>
    <col min="10754" max="10754" width="36.5" style="2" customWidth="1"/>
    <col min="10755" max="10755" width="6.6640625" style="2" customWidth="1"/>
    <col min="10756" max="10756" width="7.83203125" style="2" customWidth="1"/>
    <col min="10757" max="10757" width="9.33203125" style="2" customWidth="1"/>
    <col min="10758" max="10758" width="7.83203125" style="2" customWidth="1"/>
    <col min="10759" max="11008" width="9.5" style="2"/>
    <col min="11009" max="11009" width="3.1640625" style="2" customWidth="1"/>
    <col min="11010" max="11010" width="36.5" style="2" customWidth="1"/>
    <col min="11011" max="11011" width="6.6640625" style="2" customWidth="1"/>
    <col min="11012" max="11012" width="7.83203125" style="2" customWidth="1"/>
    <col min="11013" max="11013" width="9.33203125" style="2" customWidth="1"/>
    <col min="11014" max="11014" width="7.83203125" style="2" customWidth="1"/>
    <col min="11015" max="11264" width="9.5" style="2"/>
    <col min="11265" max="11265" width="3.1640625" style="2" customWidth="1"/>
    <col min="11266" max="11266" width="36.5" style="2" customWidth="1"/>
    <col min="11267" max="11267" width="6.6640625" style="2" customWidth="1"/>
    <col min="11268" max="11268" width="7.83203125" style="2" customWidth="1"/>
    <col min="11269" max="11269" width="9.33203125" style="2" customWidth="1"/>
    <col min="11270" max="11270" width="7.83203125" style="2" customWidth="1"/>
    <col min="11271" max="11520" width="9.5" style="2"/>
    <col min="11521" max="11521" width="3.1640625" style="2" customWidth="1"/>
    <col min="11522" max="11522" width="36.5" style="2" customWidth="1"/>
    <col min="11523" max="11523" width="6.6640625" style="2" customWidth="1"/>
    <col min="11524" max="11524" width="7.83203125" style="2" customWidth="1"/>
    <col min="11525" max="11525" width="9.33203125" style="2" customWidth="1"/>
    <col min="11526" max="11526" width="7.83203125" style="2" customWidth="1"/>
    <col min="11527" max="11776" width="9.5" style="2"/>
    <col min="11777" max="11777" width="3.1640625" style="2" customWidth="1"/>
    <col min="11778" max="11778" width="36.5" style="2" customWidth="1"/>
    <col min="11779" max="11779" width="6.6640625" style="2" customWidth="1"/>
    <col min="11780" max="11780" width="7.83203125" style="2" customWidth="1"/>
    <col min="11781" max="11781" width="9.33203125" style="2" customWidth="1"/>
    <col min="11782" max="11782" width="7.83203125" style="2" customWidth="1"/>
    <col min="11783" max="12032" width="9.5" style="2"/>
    <col min="12033" max="12033" width="3.1640625" style="2" customWidth="1"/>
    <col min="12034" max="12034" width="36.5" style="2" customWidth="1"/>
    <col min="12035" max="12035" width="6.6640625" style="2" customWidth="1"/>
    <col min="12036" max="12036" width="7.83203125" style="2" customWidth="1"/>
    <col min="12037" max="12037" width="9.33203125" style="2" customWidth="1"/>
    <col min="12038" max="12038" width="7.83203125" style="2" customWidth="1"/>
    <col min="12039" max="12288" width="9.5" style="2"/>
    <col min="12289" max="12289" width="3.1640625" style="2" customWidth="1"/>
    <col min="12290" max="12290" width="36.5" style="2" customWidth="1"/>
    <col min="12291" max="12291" width="6.6640625" style="2" customWidth="1"/>
    <col min="12292" max="12292" width="7.83203125" style="2" customWidth="1"/>
    <col min="12293" max="12293" width="9.33203125" style="2" customWidth="1"/>
    <col min="12294" max="12294" width="7.83203125" style="2" customWidth="1"/>
    <col min="12295" max="12544" width="9.5" style="2"/>
    <col min="12545" max="12545" width="3.1640625" style="2" customWidth="1"/>
    <col min="12546" max="12546" width="36.5" style="2" customWidth="1"/>
    <col min="12547" max="12547" width="6.6640625" style="2" customWidth="1"/>
    <col min="12548" max="12548" width="7.83203125" style="2" customWidth="1"/>
    <col min="12549" max="12549" width="9.33203125" style="2" customWidth="1"/>
    <col min="12550" max="12550" width="7.83203125" style="2" customWidth="1"/>
    <col min="12551" max="12800" width="9.5" style="2"/>
    <col min="12801" max="12801" width="3.1640625" style="2" customWidth="1"/>
    <col min="12802" max="12802" width="36.5" style="2" customWidth="1"/>
    <col min="12803" max="12803" width="6.6640625" style="2" customWidth="1"/>
    <col min="12804" max="12804" width="7.83203125" style="2" customWidth="1"/>
    <col min="12805" max="12805" width="9.33203125" style="2" customWidth="1"/>
    <col min="12806" max="12806" width="7.83203125" style="2" customWidth="1"/>
    <col min="12807" max="13056" width="9.5" style="2"/>
    <col min="13057" max="13057" width="3.1640625" style="2" customWidth="1"/>
    <col min="13058" max="13058" width="36.5" style="2" customWidth="1"/>
    <col min="13059" max="13059" width="6.6640625" style="2" customWidth="1"/>
    <col min="13060" max="13060" width="7.83203125" style="2" customWidth="1"/>
    <col min="13061" max="13061" width="9.33203125" style="2" customWidth="1"/>
    <col min="13062" max="13062" width="7.83203125" style="2" customWidth="1"/>
    <col min="13063" max="13312" width="9.5" style="2"/>
    <col min="13313" max="13313" width="3.1640625" style="2" customWidth="1"/>
    <col min="13314" max="13314" width="36.5" style="2" customWidth="1"/>
    <col min="13315" max="13315" width="6.6640625" style="2" customWidth="1"/>
    <col min="13316" max="13316" width="7.83203125" style="2" customWidth="1"/>
    <col min="13317" max="13317" width="9.33203125" style="2" customWidth="1"/>
    <col min="13318" max="13318" width="7.83203125" style="2" customWidth="1"/>
    <col min="13319" max="13568" width="9.5" style="2"/>
    <col min="13569" max="13569" width="3.1640625" style="2" customWidth="1"/>
    <col min="13570" max="13570" width="36.5" style="2" customWidth="1"/>
    <col min="13571" max="13571" width="6.6640625" style="2" customWidth="1"/>
    <col min="13572" max="13572" width="7.83203125" style="2" customWidth="1"/>
    <col min="13573" max="13573" width="9.33203125" style="2" customWidth="1"/>
    <col min="13574" max="13574" width="7.83203125" style="2" customWidth="1"/>
    <col min="13575" max="13824" width="9.5" style="2"/>
    <col min="13825" max="13825" width="3.1640625" style="2" customWidth="1"/>
    <col min="13826" max="13826" width="36.5" style="2" customWidth="1"/>
    <col min="13827" max="13827" width="6.6640625" style="2" customWidth="1"/>
    <col min="13828" max="13828" width="7.83203125" style="2" customWidth="1"/>
    <col min="13829" max="13829" width="9.33203125" style="2" customWidth="1"/>
    <col min="13830" max="13830" width="7.83203125" style="2" customWidth="1"/>
    <col min="13831" max="14080" width="9.5" style="2"/>
    <col min="14081" max="14081" width="3.1640625" style="2" customWidth="1"/>
    <col min="14082" max="14082" width="36.5" style="2" customWidth="1"/>
    <col min="14083" max="14083" width="6.6640625" style="2" customWidth="1"/>
    <col min="14084" max="14084" width="7.83203125" style="2" customWidth="1"/>
    <col min="14085" max="14085" width="9.33203125" style="2" customWidth="1"/>
    <col min="14086" max="14086" width="7.83203125" style="2" customWidth="1"/>
    <col min="14087" max="14336" width="9.5" style="2"/>
    <col min="14337" max="14337" width="3.1640625" style="2" customWidth="1"/>
    <col min="14338" max="14338" width="36.5" style="2" customWidth="1"/>
    <col min="14339" max="14339" width="6.6640625" style="2" customWidth="1"/>
    <col min="14340" max="14340" width="7.83203125" style="2" customWidth="1"/>
    <col min="14341" max="14341" width="9.33203125" style="2" customWidth="1"/>
    <col min="14342" max="14342" width="7.83203125" style="2" customWidth="1"/>
    <col min="14343" max="14592" width="9.5" style="2"/>
    <col min="14593" max="14593" width="3.1640625" style="2" customWidth="1"/>
    <col min="14594" max="14594" width="36.5" style="2" customWidth="1"/>
    <col min="14595" max="14595" width="6.6640625" style="2" customWidth="1"/>
    <col min="14596" max="14596" width="7.83203125" style="2" customWidth="1"/>
    <col min="14597" max="14597" width="9.33203125" style="2" customWidth="1"/>
    <col min="14598" max="14598" width="7.83203125" style="2" customWidth="1"/>
    <col min="14599" max="14848" width="9.5" style="2"/>
    <col min="14849" max="14849" width="3.1640625" style="2" customWidth="1"/>
    <col min="14850" max="14850" width="36.5" style="2" customWidth="1"/>
    <col min="14851" max="14851" width="6.6640625" style="2" customWidth="1"/>
    <col min="14852" max="14852" width="7.83203125" style="2" customWidth="1"/>
    <col min="14853" max="14853" width="9.33203125" style="2" customWidth="1"/>
    <col min="14854" max="14854" width="7.83203125" style="2" customWidth="1"/>
    <col min="14855" max="15104" width="9.5" style="2"/>
    <col min="15105" max="15105" width="3.1640625" style="2" customWidth="1"/>
    <col min="15106" max="15106" width="36.5" style="2" customWidth="1"/>
    <col min="15107" max="15107" width="6.6640625" style="2" customWidth="1"/>
    <col min="15108" max="15108" width="7.83203125" style="2" customWidth="1"/>
    <col min="15109" max="15109" width="9.33203125" style="2" customWidth="1"/>
    <col min="15110" max="15110" width="7.83203125" style="2" customWidth="1"/>
    <col min="15111" max="15360" width="9.5" style="2"/>
    <col min="15361" max="15361" width="3.1640625" style="2" customWidth="1"/>
    <col min="15362" max="15362" width="36.5" style="2" customWidth="1"/>
    <col min="15363" max="15363" width="6.6640625" style="2" customWidth="1"/>
    <col min="15364" max="15364" width="7.83203125" style="2" customWidth="1"/>
    <col min="15365" max="15365" width="9.33203125" style="2" customWidth="1"/>
    <col min="15366" max="15366" width="7.83203125" style="2" customWidth="1"/>
    <col min="15367" max="15616" width="9.5" style="2"/>
    <col min="15617" max="15617" width="3.1640625" style="2" customWidth="1"/>
    <col min="15618" max="15618" width="36.5" style="2" customWidth="1"/>
    <col min="15619" max="15619" width="6.6640625" style="2" customWidth="1"/>
    <col min="15620" max="15620" width="7.83203125" style="2" customWidth="1"/>
    <col min="15621" max="15621" width="9.33203125" style="2" customWidth="1"/>
    <col min="15622" max="15622" width="7.83203125" style="2" customWidth="1"/>
    <col min="15623" max="15872" width="9.5" style="2"/>
    <col min="15873" max="15873" width="3.1640625" style="2" customWidth="1"/>
    <col min="15874" max="15874" width="36.5" style="2" customWidth="1"/>
    <col min="15875" max="15875" width="6.6640625" style="2" customWidth="1"/>
    <col min="15876" max="15876" width="7.83203125" style="2" customWidth="1"/>
    <col min="15877" max="15877" width="9.33203125" style="2" customWidth="1"/>
    <col min="15878" max="15878" width="7.83203125" style="2" customWidth="1"/>
    <col min="15879" max="16128" width="9.5" style="2"/>
    <col min="16129" max="16129" width="3.1640625" style="2" customWidth="1"/>
    <col min="16130" max="16130" width="36.5" style="2" customWidth="1"/>
    <col min="16131" max="16131" width="6.6640625" style="2" customWidth="1"/>
    <col min="16132" max="16132" width="7.83203125" style="2" customWidth="1"/>
    <col min="16133" max="16133" width="9.33203125" style="2" customWidth="1"/>
    <col min="16134" max="16134" width="7.83203125" style="2" customWidth="1"/>
    <col min="16135" max="16384" width="9.5" style="2"/>
  </cols>
  <sheetData>
    <row r="1" spans="1:6" ht="14" customHeight="1" x14ac:dyDescent="0.2">
      <c r="A1" s="1"/>
      <c r="B1" s="1"/>
      <c r="C1" s="1"/>
      <c r="D1" s="1"/>
      <c r="E1" s="1"/>
      <c r="F1" s="1"/>
    </row>
    <row r="2" spans="1:6" ht="14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56.25" customHeight="1" x14ac:dyDescent="0.2">
      <c r="A3" s="4" t="s">
        <v>6</v>
      </c>
      <c r="B3" s="5" t="s">
        <v>7</v>
      </c>
      <c r="C3" s="4" t="s">
        <v>6</v>
      </c>
      <c r="D3" s="6"/>
      <c r="E3" s="6"/>
      <c r="F3" s="7"/>
    </row>
    <row r="4" spans="1:6" ht="14.75" customHeight="1" x14ac:dyDescent="0.2">
      <c r="A4" s="8" t="s">
        <v>8</v>
      </c>
      <c r="B4" s="9" t="s">
        <v>9</v>
      </c>
      <c r="C4" s="8"/>
      <c r="D4" s="10"/>
      <c r="E4" s="11"/>
      <c r="F4" s="11"/>
    </row>
    <row r="5" spans="1:6" ht="14.75" customHeight="1" x14ac:dyDescent="0.2">
      <c r="A5" s="12" t="s">
        <v>8</v>
      </c>
      <c r="B5" s="13" t="s">
        <v>10</v>
      </c>
      <c r="C5" s="12"/>
      <c r="D5" s="14"/>
      <c r="E5" s="15"/>
      <c r="F5" s="15"/>
    </row>
    <row r="6" spans="1:6" ht="33.5" customHeight="1" x14ac:dyDescent="0.2">
      <c r="A6" s="16" t="s">
        <v>8</v>
      </c>
      <c r="B6" s="17" t="s">
        <v>11</v>
      </c>
      <c r="C6" s="16" t="s">
        <v>12</v>
      </c>
      <c r="D6" s="18">
        <v>1728.98</v>
      </c>
      <c r="E6" s="19">
        <v>12.14</v>
      </c>
      <c r="F6" s="19">
        <f>D6*E6</f>
        <v>20989.817200000001</v>
      </c>
    </row>
    <row r="7" spans="1:6" ht="43.75" customHeight="1" x14ac:dyDescent="0.2">
      <c r="A7" s="16" t="s">
        <v>13</v>
      </c>
      <c r="B7" s="17" t="s">
        <v>14</v>
      </c>
      <c r="C7" s="16" t="s">
        <v>12</v>
      </c>
      <c r="D7" s="18">
        <v>1639.05</v>
      </c>
      <c r="E7" s="19">
        <v>171.91</v>
      </c>
      <c r="F7" s="19">
        <f t="shared" ref="F7:F69" si="0">D7*E7</f>
        <v>281769.08549999999</v>
      </c>
    </row>
    <row r="8" spans="1:6" ht="64.25" customHeight="1" x14ac:dyDescent="0.2">
      <c r="A8" s="16" t="s">
        <v>15</v>
      </c>
      <c r="B8" s="17" t="s">
        <v>16</v>
      </c>
      <c r="C8" s="16" t="s">
        <v>12</v>
      </c>
      <c r="D8" s="18">
        <v>40.049999999999997</v>
      </c>
      <c r="E8" s="19">
        <v>209.19</v>
      </c>
      <c r="F8" s="19">
        <f t="shared" si="0"/>
        <v>8378.0594999999994</v>
      </c>
    </row>
    <row r="9" spans="1:6" ht="33.5" customHeight="1" x14ac:dyDescent="0.2">
      <c r="A9" s="16" t="s">
        <v>17</v>
      </c>
      <c r="B9" s="17" t="s">
        <v>18</v>
      </c>
      <c r="C9" s="16" t="s">
        <v>19</v>
      </c>
      <c r="D9" s="18">
        <v>1199.1600000000001</v>
      </c>
      <c r="E9" s="19">
        <v>20.77</v>
      </c>
      <c r="F9" s="19">
        <f t="shared" si="0"/>
        <v>24906.553200000002</v>
      </c>
    </row>
    <row r="10" spans="1:6" ht="33.5" customHeight="1" x14ac:dyDescent="0.2">
      <c r="A10" s="16" t="s">
        <v>20</v>
      </c>
      <c r="B10" s="17" t="s">
        <v>21</v>
      </c>
      <c r="C10" s="16" t="s">
        <v>19</v>
      </c>
      <c r="D10" s="18">
        <v>1060.25</v>
      </c>
      <c r="E10" s="19">
        <v>12.44</v>
      </c>
      <c r="F10" s="19">
        <f t="shared" si="0"/>
        <v>13189.51</v>
      </c>
    </row>
    <row r="11" spans="1:6" ht="43.75" customHeight="1" x14ac:dyDescent="0.2">
      <c r="A11" s="16" t="s">
        <v>22</v>
      </c>
      <c r="B11" s="17" t="s">
        <v>23</v>
      </c>
      <c r="C11" s="16" t="s">
        <v>19</v>
      </c>
      <c r="D11" s="18">
        <v>2945.75</v>
      </c>
      <c r="E11" s="19">
        <v>17.649999999999999</v>
      </c>
      <c r="F11" s="19">
        <f t="shared" si="0"/>
        <v>51992.487499999996</v>
      </c>
    </row>
    <row r="12" spans="1:6" ht="14.75" customHeight="1" x14ac:dyDescent="0.2">
      <c r="A12" s="12" t="s">
        <v>13</v>
      </c>
      <c r="B12" s="13" t="s">
        <v>24</v>
      </c>
      <c r="C12" s="12"/>
      <c r="D12" s="14"/>
      <c r="E12" s="15"/>
      <c r="F12" s="15"/>
    </row>
    <row r="13" spans="1:6" ht="33.5" customHeight="1" x14ac:dyDescent="0.2">
      <c r="A13" s="16" t="s">
        <v>8</v>
      </c>
      <c r="B13" s="17" t="s">
        <v>25</v>
      </c>
      <c r="C13" s="16" t="s">
        <v>12</v>
      </c>
      <c r="D13" s="18">
        <v>977.29</v>
      </c>
      <c r="E13" s="19">
        <v>8.35</v>
      </c>
      <c r="F13" s="19">
        <f t="shared" si="0"/>
        <v>8160.3714999999993</v>
      </c>
    </row>
    <row r="14" spans="1:6" ht="14.75" customHeight="1" x14ac:dyDescent="0.2">
      <c r="A14" s="16" t="s">
        <v>13</v>
      </c>
      <c r="B14" s="17" t="s">
        <v>26</v>
      </c>
      <c r="C14" s="16" t="s">
        <v>12</v>
      </c>
      <c r="D14" s="18">
        <v>300</v>
      </c>
      <c r="E14" s="19">
        <v>12.67</v>
      </c>
      <c r="F14" s="19">
        <f t="shared" si="0"/>
        <v>3801</v>
      </c>
    </row>
    <row r="15" spans="1:6" ht="14.75" customHeight="1" x14ac:dyDescent="0.2">
      <c r="A15" s="16" t="s">
        <v>15</v>
      </c>
      <c r="B15" s="17" t="s">
        <v>27</v>
      </c>
      <c r="C15" s="16" t="s">
        <v>12</v>
      </c>
      <c r="D15" s="18">
        <v>470</v>
      </c>
      <c r="E15" s="19">
        <v>15.21</v>
      </c>
      <c r="F15" s="19">
        <f t="shared" si="0"/>
        <v>7148.7000000000007</v>
      </c>
    </row>
    <row r="16" spans="1:6" ht="74.25" customHeight="1" x14ac:dyDescent="0.2">
      <c r="A16" s="16" t="s">
        <v>17</v>
      </c>
      <c r="B16" s="17" t="s">
        <v>28</v>
      </c>
      <c r="C16" s="16" t="s">
        <v>12</v>
      </c>
      <c r="D16" s="18">
        <v>4909.5600000000004</v>
      </c>
      <c r="E16" s="19">
        <v>45.69</v>
      </c>
      <c r="F16" s="19">
        <f t="shared" si="0"/>
        <v>224317.79640000002</v>
      </c>
    </row>
    <row r="17" spans="1:6" ht="74.25" customHeight="1" x14ac:dyDescent="0.2">
      <c r="A17" s="16" t="s">
        <v>20</v>
      </c>
      <c r="B17" s="17" t="s">
        <v>29</v>
      </c>
      <c r="C17" s="16" t="s">
        <v>12</v>
      </c>
      <c r="D17" s="18">
        <v>1028.3399999999999</v>
      </c>
      <c r="E17" s="19">
        <v>60.73</v>
      </c>
      <c r="F17" s="19">
        <f t="shared" si="0"/>
        <v>62451.088199999991</v>
      </c>
    </row>
    <row r="18" spans="1:6" ht="74.25" customHeight="1" x14ac:dyDescent="0.2">
      <c r="A18" s="16" t="s">
        <v>22</v>
      </c>
      <c r="B18" s="17" t="s">
        <v>30</v>
      </c>
      <c r="C18" s="16" t="s">
        <v>19</v>
      </c>
      <c r="D18" s="18">
        <v>3295.09</v>
      </c>
      <c r="E18" s="19">
        <v>17.75</v>
      </c>
      <c r="F18" s="19">
        <f t="shared" si="0"/>
        <v>58487.847500000003</v>
      </c>
    </row>
    <row r="19" spans="1:6" ht="33.5" customHeight="1" x14ac:dyDescent="0.2">
      <c r="A19" s="16" t="s">
        <v>31</v>
      </c>
      <c r="B19" s="17" t="s">
        <v>32</v>
      </c>
      <c r="C19" s="16" t="s">
        <v>33</v>
      </c>
      <c r="D19" s="18">
        <v>25</v>
      </c>
      <c r="E19" s="19">
        <v>38.25</v>
      </c>
      <c r="F19" s="19">
        <f t="shared" si="0"/>
        <v>956.25</v>
      </c>
    </row>
    <row r="20" spans="1:6" ht="43.75" customHeight="1" x14ac:dyDescent="0.2">
      <c r="A20" s="16" t="s">
        <v>34</v>
      </c>
      <c r="B20" s="17" t="s">
        <v>35</v>
      </c>
      <c r="C20" s="16" t="s">
        <v>33</v>
      </c>
      <c r="D20" s="18">
        <v>24</v>
      </c>
      <c r="E20" s="19">
        <v>59.74</v>
      </c>
      <c r="F20" s="19">
        <f t="shared" si="0"/>
        <v>1433.76</v>
      </c>
    </row>
    <row r="21" spans="1:6" ht="53.75" customHeight="1" x14ac:dyDescent="0.2">
      <c r="A21" s="16" t="s">
        <v>36</v>
      </c>
      <c r="B21" s="17" t="s">
        <v>37</v>
      </c>
      <c r="C21" s="16" t="s">
        <v>12</v>
      </c>
      <c r="D21" s="18">
        <v>41.86</v>
      </c>
      <c r="E21" s="19">
        <v>33.64</v>
      </c>
      <c r="F21" s="19">
        <f t="shared" si="0"/>
        <v>1408.1704</v>
      </c>
    </row>
    <row r="22" spans="1:6" ht="43.75" customHeight="1" x14ac:dyDescent="0.2">
      <c r="A22" s="16" t="s">
        <v>38</v>
      </c>
      <c r="B22" s="17" t="s">
        <v>39</v>
      </c>
      <c r="C22" s="16" t="s">
        <v>19</v>
      </c>
      <c r="D22" s="18">
        <v>1702.94</v>
      </c>
      <c r="E22" s="19">
        <v>5.53</v>
      </c>
      <c r="F22" s="19">
        <f t="shared" si="0"/>
        <v>9417.2582000000002</v>
      </c>
    </row>
    <row r="23" spans="1:6" ht="23.5" customHeight="1" x14ac:dyDescent="0.2">
      <c r="A23" s="16" t="s">
        <v>40</v>
      </c>
      <c r="B23" s="17" t="s">
        <v>41</v>
      </c>
      <c r="C23" s="16" t="s">
        <v>12</v>
      </c>
      <c r="D23" s="18">
        <v>6497.58</v>
      </c>
      <c r="E23" s="19">
        <v>19.350000000000001</v>
      </c>
      <c r="F23" s="19">
        <f t="shared" si="0"/>
        <v>125728.17300000001</v>
      </c>
    </row>
    <row r="24" spans="1:6" ht="23.5" customHeight="1" x14ac:dyDescent="0.2">
      <c r="A24" s="16" t="s">
        <v>42</v>
      </c>
      <c r="B24" s="17" t="s">
        <v>43</v>
      </c>
      <c r="C24" s="16" t="s">
        <v>33</v>
      </c>
      <c r="D24" s="18">
        <v>144</v>
      </c>
      <c r="E24" s="19">
        <v>122.7</v>
      </c>
      <c r="F24" s="19">
        <f t="shared" si="0"/>
        <v>17668.8</v>
      </c>
    </row>
    <row r="25" spans="1:6" ht="33.5" customHeight="1" x14ac:dyDescent="0.2">
      <c r="A25" s="16" t="s">
        <v>44</v>
      </c>
      <c r="B25" s="17" t="s">
        <v>45</v>
      </c>
      <c r="C25" s="16" t="s">
        <v>12</v>
      </c>
      <c r="D25" s="18">
        <v>310.3</v>
      </c>
      <c r="E25" s="19">
        <v>14.75</v>
      </c>
      <c r="F25" s="19">
        <f t="shared" si="0"/>
        <v>4576.9250000000002</v>
      </c>
    </row>
    <row r="26" spans="1:6" ht="43.75" customHeight="1" x14ac:dyDescent="0.2">
      <c r="A26" s="16" t="s">
        <v>46</v>
      </c>
      <c r="B26" s="17" t="s">
        <v>47</v>
      </c>
      <c r="C26" s="16" t="s">
        <v>33</v>
      </c>
      <c r="D26" s="18">
        <v>60</v>
      </c>
      <c r="E26" s="19">
        <v>7.44</v>
      </c>
      <c r="F26" s="19">
        <f t="shared" si="0"/>
        <v>446.40000000000003</v>
      </c>
    </row>
    <row r="27" spans="1:6" ht="14.75" customHeight="1" x14ac:dyDescent="0.2">
      <c r="A27" s="12" t="s">
        <v>15</v>
      </c>
      <c r="B27" s="13" t="s">
        <v>48</v>
      </c>
      <c r="C27" s="12"/>
      <c r="D27" s="14"/>
      <c r="E27" s="15"/>
      <c r="F27" s="15"/>
    </row>
    <row r="28" spans="1:6" ht="14.75" customHeight="1" x14ac:dyDescent="0.2">
      <c r="A28" s="16" t="s">
        <v>8</v>
      </c>
      <c r="B28" s="17" t="s">
        <v>49</v>
      </c>
      <c r="C28" s="16" t="s">
        <v>12</v>
      </c>
      <c r="D28" s="18">
        <v>1257</v>
      </c>
      <c r="E28" s="19">
        <v>5.77</v>
      </c>
      <c r="F28" s="19">
        <f t="shared" si="0"/>
        <v>7252.8899999999994</v>
      </c>
    </row>
    <row r="29" spans="1:6" ht="33.5" customHeight="1" x14ac:dyDescent="0.2">
      <c r="A29" s="16" t="s">
        <v>13</v>
      </c>
      <c r="B29" s="17" t="s">
        <v>50</v>
      </c>
      <c r="C29" s="16" t="s">
        <v>12</v>
      </c>
      <c r="D29" s="18">
        <v>1257</v>
      </c>
      <c r="E29" s="19">
        <v>22.19</v>
      </c>
      <c r="F29" s="19">
        <f t="shared" si="0"/>
        <v>27892.83</v>
      </c>
    </row>
    <row r="30" spans="1:6" ht="23.5" customHeight="1" x14ac:dyDescent="0.2">
      <c r="A30" s="16" t="s">
        <v>15</v>
      </c>
      <c r="B30" s="17" t="s">
        <v>51</v>
      </c>
      <c r="C30" s="16" t="s">
        <v>19</v>
      </c>
      <c r="D30" s="18">
        <v>446.52</v>
      </c>
      <c r="E30" s="19">
        <v>4.6399999999999997</v>
      </c>
      <c r="F30" s="19">
        <f t="shared" si="0"/>
        <v>2071.8527999999997</v>
      </c>
    </row>
    <row r="31" spans="1:6" ht="53.75" customHeight="1" x14ac:dyDescent="0.2">
      <c r="A31" s="16" t="s">
        <v>17</v>
      </c>
      <c r="B31" s="17" t="s">
        <v>52</v>
      </c>
      <c r="C31" s="16" t="s">
        <v>12</v>
      </c>
      <c r="D31" s="18">
        <v>1151</v>
      </c>
      <c r="E31" s="19">
        <v>33.520000000000003</v>
      </c>
      <c r="F31" s="19">
        <f t="shared" si="0"/>
        <v>38581.520000000004</v>
      </c>
    </row>
    <row r="32" spans="1:6" ht="53.75" customHeight="1" x14ac:dyDescent="0.2">
      <c r="A32" s="16" t="s">
        <v>20</v>
      </c>
      <c r="B32" s="17" t="s">
        <v>53</v>
      </c>
      <c r="C32" s="16" t="s">
        <v>12</v>
      </c>
      <c r="D32" s="18">
        <v>106</v>
      </c>
      <c r="E32" s="19">
        <v>33.06</v>
      </c>
      <c r="F32" s="19">
        <f t="shared" si="0"/>
        <v>3504.36</v>
      </c>
    </row>
    <row r="33" spans="1:6" ht="64.25" customHeight="1" x14ac:dyDescent="0.2">
      <c r="A33" s="16" t="s">
        <v>22</v>
      </c>
      <c r="B33" s="17" t="s">
        <v>54</v>
      </c>
      <c r="C33" s="16" t="s">
        <v>12</v>
      </c>
      <c r="D33" s="18">
        <v>116.8</v>
      </c>
      <c r="E33" s="19">
        <v>35.020000000000003</v>
      </c>
      <c r="F33" s="19">
        <f t="shared" si="0"/>
        <v>4090.3360000000002</v>
      </c>
    </row>
    <row r="34" spans="1:6" ht="74.25" customHeight="1" x14ac:dyDescent="0.2">
      <c r="A34" s="16" t="s">
        <v>31</v>
      </c>
      <c r="B34" s="17" t="s">
        <v>55</v>
      </c>
      <c r="C34" s="16" t="s">
        <v>12</v>
      </c>
      <c r="D34" s="18">
        <v>123.6</v>
      </c>
      <c r="E34" s="19">
        <v>23.41</v>
      </c>
      <c r="F34" s="19">
        <f t="shared" si="0"/>
        <v>2893.4759999999997</v>
      </c>
    </row>
    <row r="35" spans="1:6" ht="53.75" customHeight="1" x14ac:dyDescent="0.2">
      <c r="A35" s="16" t="s">
        <v>34</v>
      </c>
      <c r="B35" s="17" t="s">
        <v>56</v>
      </c>
      <c r="C35" s="16" t="s">
        <v>12</v>
      </c>
      <c r="D35" s="18">
        <v>92</v>
      </c>
      <c r="E35" s="19">
        <v>40.54</v>
      </c>
      <c r="F35" s="19">
        <f t="shared" si="0"/>
        <v>3729.68</v>
      </c>
    </row>
    <row r="36" spans="1:6" ht="64.25" customHeight="1" x14ac:dyDescent="0.2">
      <c r="A36" s="16" t="s">
        <v>36</v>
      </c>
      <c r="B36" s="17" t="s">
        <v>57</v>
      </c>
      <c r="C36" s="16" t="s">
        <v>12</v>
      </c>
      <c r="D36" s="18">
        <v>1058</v>
      </c>
      <c r="E36" s="19">
        <v>20.09</v>
      </c>
      <c r="F36" s="19">
        <f t="shared" si="0"/>
        <v>21255.22</v>
      </c>
    </row>
    <row r="37" spans="1:6" ht="23.5" customHeight="1" x14ac:dyDescent="0.2">
      <c r="A37" s="16" t="s">
        <v>38</v>
      </c>
      <c r="B37" s="17" t="s">
        <v>58</v>
      </c>
      <c r="C37" s="16" t="s">
        <v>19</v>
      </c>
      <c r="D37" s="18">
        <v>358</v>
      </c>
      <c r="E37" s="19">
        <v>4.25</v>
      </c>
      <c r="F37" s="19">
        <f t="shared" si="0"/>
        <v>1521.5</v>
      </c>
    </row>
    <row r="38" spans="1:6" ht="33.5" customHeight="1" x14ac:dyDescent="0.2">
      <c r="A38" s="16" t="s">
        <v>40</v>
      </c>
      <c r="B38" s="17" t="s">
        <v>59</v>
      </c>
      <c r="C38" s="16" t="s">
        <v>19</v>
      </c>
      <c r="D38" s="18">
        <v>414</v>
      </c>
      <c r="E38" s="19">
        <v>22.96</v>
      </c>
      <c r="F38" s="19">
        <f t="shared" si="0"/>
        <v>9505.44</v>
      </c>
    </row>
    <row r="39" spans="1:6" ht="33.5" customHeight="1" x14ac:dyDescent="0.2">
      <c r="A39" s="16" t="s">
        <v>42</v>
      </c>
      <c r="B39" s="17" t="s">
        <v>60</v>
      </c>
      <c r="C39" s="16" t="s">
        <v>33</v>
      </c>
      <c r="D39" s="18">
        <v>1</v>
      </c>
      <c r="E39" s="19">
        <v>12.9</v>
      </c>
      <c r="F39" s="19">
        <f t="shared" si="0"/>
        <v>12.9</v>
      </c>
    </row>
    <row r="40" spans="1:6" ht="23.5" customHeight="1" x14ac:dyDescent="0.2">
      <c r="A40" s="16" t="s">
        <v>44</v>
      </c>
      <c r="B40" s="17" t="s">
        <v>61</v>
      </c>
      <c r="C40" s="16" t="s">
        <v>12</v>
      </c>
      <c r="D40" s="18">
        <v>1058</v>
      </c>
      <c r="E40" s="19">
        <v>2.2799999999999998</v>
      </c>
      <c r="F40" s="19">
        <f t="shared" si="0"/>
        <v>2412.2399999999998</v>
      </c>
    </row>
    <row r="41" spans="1:6" ht="23.5" customHeight="1" x14ac:dyDescent="0.2">
      <c r="A41" s="16" t="s">
        <v>46</v>
      </c>
      <c r="B41" s="17" t="s">
        <v>62</v>
      </c>
      <c r="C41" s="16" t="s">
        <v>33</v>
      </c>
      <c r="D41" s="18">
        <v>12</v>
      </c>
      <c r="E41" s="19">
        <v>5.31</v>
      </c>
      <c r="F41" s="19">
        <f t="shared" si="0"/>
        <v>63.72</v>
      </c>
    </row>
    <row r="42" spans="1:6" ht="23.5" customHeight="1" x14ac:dyDescent="0.2">
      <c r="A42" s="16" t="s">
        <v>63</v>
      </c>
      <c r="B42" s="17" t="s">
        <v>64</v>
      </c>
      <c r="C42" s="16" t="s">
        <v>33</v>
      </c>
      <c r="D42" s="18">
        <v>12</v>
      </c>
      <c r="E42" s="19">
        <v>64.95</v>
      </c>
      <c r="F42" s="19">
        <f t="shared" si="0"/>
        <v>779.40000000000009</v>
      </c>
    </row>
    <row r="43" spans="1:6" ht="33.5" customHeight="1" x14ac:dyDescent="0.2">
      <c r="A43" s="16" t="s">
        <v>65</v>
      </c>
      <c r="B43" s="17" t="s">
        <v>66</v>
      </c>
      <c r="C43" s="16" t="s">
        <v>12</v>
      </c>
      <c r="D43" s="18">
        <v>55.8</v>
      </c>
      <c r="E43" s="19">
        <v>18.87</v>
      </c>
      <c r="F43" s="19">
        <f t="shared" si="0"/>
        <v>1052.9459999999999</v>
      </c>
    </row>
    <row r="44" spans="1:6" ht="43.75" customHeight="1" x14ac:dyDescent="0.2">
      <c r="A44" s="16" t="s">
        <v>67</v>
      </c>
      <c r="B44" s="17" t="s">
        <v>68</v>
      </c>
      <c r="C44" s="16" t="s">
        <v>33</v>
      </c>
      <c r="D44" s="18">
        <v>29</v>
      </c>
      <c r="E44" s="19">
        <v>44.61</v>
      </c>
      <c r="F44" s="19">
        <f t="shared" si="0"/>
        <v>1293.69</v>
      </c>
    </row>
    <row r="45" spans="1:6" ht="14.75" customHeight="1" x14ac:dyDescent="0.2">
      <c r="A45" s="16" t="s">
        <v>69</v>
      </c>
      <c r="B45" s="17" t="s">
        <v>70</v>
      </c>
      <c r="C45" s="16" t="s">
        <v>33</v>
      </c>
      <c r="D45" s="18">
        <v>25</v>
      </c>
      <c r="E45" s="19">
        <v>12.14</v>
      </c>
      <c r="F45" s="19">
        <f t="shared" si="0"/>
        <v>303.5</v>
      </c>
    </row>
    <row r="46" spans="1:6" ht="33.5" customHeight="1" x14ac:dyDescent="0.2">
      <c r="A46" s="16" t="s">
        <v>71</v>
      </c>
      <c r="B46" s="17" t="s">
        <v>72</v>
      </c>
      <c r="C46" s="16" t="s">
        <v>33</v>
      </c>
      <c r="D46" s="18">
        <v>29</v>
      </c>
      <c r="E46" s="19">
        <v>77.09</v>
      </c>
      <c r="F46" s="19">
        <f t="shared" si="0"/>
        <v>2235.61</v>
      </c>
    </row>
    <row r="47" spans="1:6" ht="23.5" customHeight="1" x14ac:dyDescent="0.2">
      <c r="A47" s="16" t="s">
        <v>73</v>
      </c>
      <c r="B47" s="17" t="s">
        <v>74</v>
      </c>
      <c r="C47" s="16" t="s">
        <v>12</v>
      </c>
      <c r="D47" s="18">
        <v>515</v>
      </c>
      <c r="E47" s="19">
        <v>3.44</v>
      </c>
      <c r="F47" s="19">
        <f t="shared" si="0"/>
        <v>1771.6</v>
      </c>
    </row>
    <row r="48" spans="1:6" ht="23.5" customHeight="1" x14ac:dyDescent="0.2">
      <c r="A48" s="16" t="s">
        <v>75</v>
      </c>
      <c r="B48" s="17" t="s">
        <v>76</v>
      </c>
      <c r="C48" s="16" t="s">
        <v>33</v>
      </c>
      <c r="D48" s="18">
        <v>25</v>
      </c>
      <c r="E48" s="19">
        <v>10</v>
      </c>
      <c r="F48" s="19">
        <f t="shared" si="0"/>
        <v>250</v>
      </c>
    </row>
    <row r="49" spans="1:6" ht="23.5" customHeight="1" x14ac:dyDescent="0.2">
      <c r="A49" s="12" t="s">
        <v>17</v>
      </c>
      <c r="B49" s="13" t="s">
        <v>77</v>
      </c>
      <c r="C49" s="12"/>
      <c r="D49" s="14"/>
      <c r="E49" s="15"/>
      <c r="F49" s="15"/>
    </row>
    <row r="50" spans="1:6" ht="46.5" customHeight="1" x14ac:dyDescent="0.2">
      <c r="A50" s="16" t="s">
        <v>8</v>
      </c>
      <c r="B50" s="17" t="s">
        <v>78</v>
      </c>
      <c r="C50" s="16" t="s">
        <v>12</v>
      </c>
      <c r="D50" s="18">
        <v>49.88</v>
      </c>
      <c r="E50" s="19">
        <v>171.91</v>
      </c>
      <c r="F50" s="19">
        <f t="shared" si="0"/>
        <v>8574.8708000000006</v>
      </c>
    </row>
    <row r="51" spans="1:6" ht="57.75" customHeight="1" x14ac:dyDescent="0.2">
      <c r="A51" s="16" t="s">
        <v>13</v>
      </c>
      <c r="B51" s="17" t="s">
        <v>79</v>
      </c>
      <c r="C51" s="16" t="s">
        <v>12</v>
      </c>
      <c r="D51" s="18">
        <v>265.98</v>
      </c>
      <c r="E51" s="19">
        <v>51.06</v>
      </c>
      <c r="F51" s="19">
        <f t="shared" si="0"/>
        <v>13580.938800000002</v>
      </c>
    </row>
    <row r="52" spans="1:6" ht="71.25" customHeight="1" x14ac:dyDescent="0.2">
      <c r="A52" s="16" t="s">
        <v>15</v>
      </c>
      <c r="B52" s="17" t="s">
        <v>80</v>
      </c>
      <c r="C52" s="16" t="s">
        <v>12</v>
      </c>
      <c r="D52" s="18">
        <v>1028</v>
      </c>
      <c r="E52" s="19">
        <v>23.67</v>
      </c>
      <c r="F52" s="19">
        <f t="shared" si="0"/>
        <v>24332.760000000002</v>
      </c>
    </row>
    <row r="53" spans="1:6" ht="69" customHeight="1" x14ac:dyDescent="0.2">
      <c r="A53" s="16" t="s">
        <v>17</v>
      </c>
      <c r="B53" s="17" t="s">
        <v>81</v>
      </c>
      <c r="C53" s="16" t="s">
        <v>12</v>
      </c>
      <c r="D53" s="18">
        <v>161.62</v>
      </c>
      <c r="E53" s="19">
        <v>54.14</v>
      </c>
      <c r="F53" s="19">
        <f t="shared" si="0"/>
        <v>8750.1067999999996</v>
      </c>
    </row>
    <row r="54" spans="1:6" ht="37.5" customHeight="1" x14ac:dyDescent="0.2">
      <c r="A54" s="16" t="s">
        <v>20</v>
      </c>
      <c r="B54" s="17" t="s">
        <v>82</v>
      </c>
      <c r="C54" s="16" t="s">
        <v>12</v>
      </c>
      <c r="D54" s="18">
        <v>60.48</v>
      </c>
      <c r="E54" s="19">
        <v>17.54</v>
      </c>
      <c r="F54" s="19">
        <f t="shared" si="0"/>
        <v>1060.8191999999999</v>
      </c>
    </row>
    <row r="55" spans="1:6" ht="23.5" customHeight="1" x14ac:dyDescent="0.2">
      <c r="A55" s="16" t="s">
        <v>22</v>
      </c>
      <c r="B55" s="17" t="s">
        <v>83</v>
      </c>
      <c r="C55" s="16" t="s">
        <v>12</v>
      </c>
      <c r="D55" s="18">
        <v>405.01</v>
      </c>
      <c r="E55" s="19">
        <v>25.26</v>
      </c>
      <c r="F55" s="19">
        <f t="shared" si="0"/>
        <v>10230.552600000001</v>
      </c>
    </row>
    <row r="56" spans="1:6" ht="43.75" customHeight="1" x14ac:dyDescent="0.2">
      <c r="A56" s="16" t="s">
        <v>31</v>
      </c>
      <c r="B56" s="17" t="s">
        <v>23</v>
      </c>
      <c r="C56" s="16" t="s">
        <v>19</v>
      </c>
      <c r="D56" s="18">
        <v>302.39999999999998</v>
      </c>
      <c r="E56" s="19">
        <v>17.649999999999999</v>
      </c>
      <c r="F56" s="19">
        <f t="shared" si="0"/>
        <v>5337.3599999999988</v>
      </c>
    </row>
    <row r="57" spans="1:6" ht="63" customHeight="1" x14ac:dyDescent="0.2">
      <c r="A57" s="16" t="s">
        <v>34</v>
      </c>
      <c r="B57" s="17" t="s">
        <v>84</v>
      </c>
      <c r="C57" s="16" t="s">
        <v>19</v>
      </c>
      <c r="D57" s="18">
        <v>302.39999999999998</v>
      </c>
      <c r="E57" s="19">
        <v>17.75</v>
      </c>
      <c r="F57" s="19">
        <f t="shared" si="0"/>
        <v>5367.5999999999995</v>
      </c>
    </row>
    <row r="58" spans="1:6" ht="14.75" customHeight="1" x14ac:dyDescent="0.2">
      <c r="A58" s="12" t="s">
        <v>20</v>
      </c>
      <c r="B58" s="13" t="s">
        <v>85</v>
      </c>
      <c r="C58" s="12"/>
      <c r="D58" s="14"/>
      <c r="E58" s="15"/>
      <c r="F58" s="15"/>
    </row>
    <row r="59" spans="1:6" ht="52.5" customHeight="1" x14ac:dyDescent="0.2">
      <c r="A59" s="16" t="s">
        <v>8</v>
      </c>
      <c r="B59" s="17" t="s">
        <v>86</v>
      </c>
      <c r="C59" s="16" t="s">
        <v>33</v>
      </c>
      <c r="D59" s="18">
        <v>6</v>
      </c>
      <c r="E59" s="19">
        <v>3763.65</v>
      </c>
      <c r="F59" s="19">
        <f t="shared" si="0"/>
        <v>22581.9</v>
      </c>
    </row>
    <row r="60" spans="1:6" ht="70.5" customHeight="1" x14ac:dyDescent="0.2">
      <c r="A60" s="16" t="s">
        <v>13</v>
      </c>
      <c r="B60" s="17" t="s">
        <v>87</v>
      </c>
      <c r="C60" s="16" t="s">
        <v>12</v>
      </c>
      <c r="D60" s="18">
        <v>25</v>
      </c>
      <c r="E60" s="19">
        <v>31.87</v>
      </c>
      <c r="F60" s="19">
        <f t="shared" si="0"/>
        <v>796.75</v>
      </c>
    </row>
    <row r="61" spans="1:6" ht="23.5" customHeight="1" x14ac:dyDescent="0.2">
      <c r="A61" s="16" t="s">
        <v>15</v>
      </c>
      <c r="B61" s="17" t="s">
        <v>88</v>
      </c>
      <c r="C61" s="16" t="s">
        <v>12</v>
      </c>
      <c r="D61" s="18">
        <v>9438</v>
      </c>
      <c r="E61" s="19">
        <v>6.97</v>
      </c>
      <c r="F61" s="19">
        <f t="shared" si="0"/>
        <v>65782.86</v>
      </c>
    </row>
    <row r="62" spans="1:6" ht="33.5" customHeight="1" x14ac:dyDescent="0.2">
      <c r="A62" s="16" t="s">
        <v>17</v>
      </c>
      <c r="B62" s="17" t="s">
        <v>89</v>
      </c>
      <c r="C62" s="16" t="s">
        <v>12</v>
      </c>
      <c r="D62" s="18">
        <v>10</v>
      </c>
      <c r="E62" s="19">
        <v>16.73</v>
      </c>
      <c r="F62" s="19">
        <f t="shared" si="0"/>
        <v>167.3</v>
      </c>
    </row>
    <row r="63" spans="1:6" ht="23.5" customHeight="1" x14ac:dyDescent="0.2">
      <c r="A63" s="16" t="s">
        <v>20</v>
      </c>
      <c r="B63" s="17" t="s">
        <v>90</v>
      </c>
      <c r="C63" s="16" t="s">
        <v>19</v>
      </c>
      <c r="D63" s="18">
        <v>291</v>
      </c>
      <c r="E63" s="19">
        <v>15.15</v>
      </c>
      <c r="F63" s="19">
        <f t="shared" si="0"/>
        <v>4408.6500000000005</v>
      </c>
    </row>
    <row r="64" spans="1:6" ht="33.5" customHeight="1" x14ac:dyDescent="0.2">
      <c r="A64" s="16" t="s">
        <v>22</v>
      </c>
      <c r="B64" s="17" t="s">
        <v>91</v>
      </c>
      <c r="C64" s="16" t="s">
        <v>12</v>
      </c>
      <c r="D64" s="18">
        <v>1719.3</v>
      </c>
      <c r="E64" s="19">
        <v>6.45</v>
      </c>
      <c r="F64" s="19">
        <f t="shared" si="0"/>
        <v>11089.485000000001</v>
      </c>
    </row>
    <row r="65" spans="1:6" ht="23.5" customHeight="1" x14ac:dyDescent="0.2">
      <c r="A65" s="16" t="s">
        <v>31</v>
      </c>
      <c r="B65" s="17" t="s">
        <v>92</v>
      </c>
      <c r="C65" s="16" t="s">
        <v>12</v>
      </c>
      <c r="D65" s="18">
        <v>813.48</v>
      </c>
      <c r="E65" s="19">
        <v>7.98</v>
      </c>
      <c r="F65" s="19">
        <f t="shared" si="0"/>
        <v>6491.5704000000005</v>
      </c>
    </row>
    <row r="66" spans="1:6" ht="23.5" customHeight="1" x14ac:dyDescent="0.2">
      <c r="A66" s="16" t="s">
        <v>34</v>
      </c>
      <c r="B66" s="17" t="s">
        <v>93</v>
      </c>
      <c r="C66" s="16" t="s">
        <v>33</v>
      </c>
      <c r="D66" s="18">
        <v>6</v>
      </c>
      <c r="E66" s="19">
        <v>471.89</v>
      </c>
      <c r="F66" s="19">
        <f t="shared" si="0"/>
        <v>2831.34</v>
      </c>
    </row>
    <row r="67" spans="1:6" ht="23.5" customHeight="1" x14ac:dyDescent="0.2">
      <c r="A67" s="16" t="s">
        <v>36</v>
      </c>
      <c r="B67" s="17" t="s">
        <v>94</v>
      </c>
      <c r="C67" s="16" t="s">
        <v>19</v>
      </c>
      <c r="D67" s="18">
        <v>206</v>
      </c>
      <c r="E67" s="19">
        <v>19.52</v>
      </c>
      <c r="F67" s="19">
        <f t="shared" si="0"/>
        <v>4021.12</v>
      </c>
    </row>
    <row r="68" spans="1:6" ht="23.5" customHeight="1" x14ac:dyDescent="0.2">
      <c r="A68" s="16" t="s">
        <v>38</v>
      </c>
      <c r="B68" s="17" t="s">
        <v>95</v>
      </c>
      <c r="C68" s="16" t="s">
        <v>96</v>
      </c>
      <c r="D68" s="18">
        <v>215.63</v>
      </c>
      <c r="E68" s="19">
        <v>42.81</v>
      </c>
      <c r="F68" s="19">
        <f t="shared" si="0"/>
        <v>9231.1203000000005</v>
      </c>
    </row>
    <row r="69" spans="1:6" ht="23.5" customHeight="1" x14ac:dyDescent="0.2">
      <c r="A69" s="16" t="s">
        <v>40</v>
      </c>
      <c r="B69" s="17" t="s">
        <v>97</v>
      </c>
      <c r="C69" s="16" t="s">
        <v>33</v>
      </c>
      <c r="D69" s="18">
        <v>63</v>
      </c>
      <c r="E69" s="19">
        <v>5.31</v>
      </c>
      <c r="F69" s="19">
        <f t="shared" si="0"/>
        <v>334.53</v>
      </c>
    </row>
    <row r="70" spans="1:6" ht="23.5" customHeight="1" x14ac:dyDescent="0.2">
      <c r="A70" s="8" t="s">
        <v>8</v>
      </c>
      <c r="B70" s="9" t="s">
        <v>9</v>
      </c>
      <c r="C70" s="8"/>
      <c r="D70" s="10"/>
      <c r="E70" s="11"/>
      <c r="F70" s="11">
        <f>SUBTOTAL(109,F6:F69)</f>
        <v>1264674.3978000006</v>
      </c>
    </row>
    <row r="71" spans="1:6" ht="14.75" customHeight="1" x14ac:dyDescent="0.2">
      <c r="A71" s="8" t="s">
        <v>13</v>
      </c>
      <c r="B71" s="9" t="s">
        <v>98</v>
      </c>
      <c r="C71" s="8"/>
      <c r="D71" s="10"/>
      <c r="E71" s="11"/>
      <c r="F71" s="11"/>
    </row>
    <row r="72" spans="1:6" ht="14.75" customHeight="1" x14ac:dyDescent="0.2">
      <c r="A72" s="12" t="s">
        <v>8</v>
      </c>
      <c r="B72" s="13" t="s">
        <v>99</v>
      </c>
      <c r="C72" s="12"/>
      <c r="D72" s="14"/>
      <c r="E72" s="15"/>
      <c r="F72" s="15"/>
    </row>
    <row r="73" spans="1:6" ht="14.75" customHeight="1" x14ac:dyDescent="0.2">
      <c r="A73" s="16" t="s">
        <v>8</v>
      </c>
      <c r="B73" s="17" t="s">
        <v>100</v>
      </c>
      <c r="C73" s="16" t="s">
        <v>33</v>
      </c>
      <c r="D73" s="18">
        <v>66</v>
      </c>
      <c r="E73" s="19">
        <v>2.2799999999999998</v>
      </c>
      <c r="F73" s="19">
        <f>D73*E73</f>
        <v>150.47999999999999</v>
      </c>
    </row>
    <row r="74" spans="1:6" ht="14.75" customHeight="1" x14ac:dyDescent="0.2">
      <c r="A74" s="16" t="s">
        <v>13</v>
      </c>
      <c r="B74" s="17" t="s">
        <v>101</v>
      </c>
      <c r="C74" s="16" t="s">
        <v>33</v>
      </c>
      <c r="D74" s="18">
        <v>54</v>
      </c>
      <c r="E74" s="19">
        <v>2.2799999999999998</v>
      </c>
      <c r="F74" s="19">
        <f t="shared" ref="F74:F93" si="1">D74*E74</f>
        <v>123.11999999999999</v>
      </c>
    </row>
    <row r="75" spans="1:6" ht="14.75" customHeight="1" x14ac:dyDescent="0.2">
      <c r="A75" s="12" t="s">
        <v>13</v>
      </c>
      <c r="B75" s="13" t="s">
        <v>102</v>
      </c>
      <c r="C75" s="12"/>
      <c r="D75" s="14"/>
      <c r="E75" s="15"/>
      <c r="F75" s="15"/>
    </row>
    <row r="76" spans="1:6" ht="23.5" customHeight="1" x14ac:dyDescent="0.2">
      <c r="A76" s="16" t="s">
        <v>8</v>
      </c>
      <c r="B76" s="17" t="s">
        <v>103</v>
      </c>
      <c r="C76" s="16" t="s">
        <v>33</v>
      </c>
      <c r="D76" s="18">
        <v>134</v>
      </c>
      <c r="E76" s="19">
        <v>4.55</v>
      </c>
      <c r="F76" s="19">
        <f t="shared" si="1"/>
        <v>609.69999999999993</v>
      </c>
    </row>
    <row r="77" spans="1:6" ht="23.5" customHeight="1" x14ac:dyDescent="0.2">
      <c r="A77" s="16" t="s">
        <v>13</v>
      </c>
      <c r="B77" s="17" t="s">
        <v>104</v>
      </c>
      <c r="C77" s="16" t="s">
        <v>33</v>
      </c>
      <c r="D77" s="18">
        <v>6</v>
      </c>
      <c r="E77" s="19">
        <v>19.29</v>
      </c>
      <c r="F77" s="19">
        <f t="shared" si="1"/>
        <v>115.74</v>
      </c>
    </row>
    <row r="78" spans="1:6" ht="33.5" customHeight="1" x14ac:dyDescent="0.2">
      <c r="A78" s="16" t="s">
        <v>15</v>
      </c>
      <c r="B78" s="17" t="s">
        <v>105</v>
      </c>
      <c r="C78" s="16" t="s">
        <v>33</v>
      </c>
      <c r="D78" s="18">
        <v>67</v>
      </c>
      <c r="E78" s="19">
        <v>29.69</v>
      </c>
      <c r="F78" s="19">
        <f t="shared" si="1"/>
        <v>1989.23</v>
      </c>
    </row>
    <row r="79" spans="1:6" ht="33.5" customHeight="1" x14ac:dyDescent="0.2">
      <c r="A79" s="16" t="s">
        <v>17</v>
      </c>
      <c r="B79" s="17" t="s">
        <v>106</v>
      </c>
      <c r="C79" s="16" t="s">
        <v>33</v>
      </c>
      <c r="D79" s="18">
        <v>6</v>
      </c>
      <c r="E79" s="19">
        <v>38.76</v>
      </c>
      <c r="F79" s="19">
        <f t="shared" si="1"/>
        <v>232.56</v>
      </c>
    </row>
    <row r="80" spans="1:6" ht="33.5" customHeight="1" x14ac:dyDescent="0.2">
      <c r="A80" s="16" t="s">
        <v>20</v>
      </c>
      <c r="B80" s="17" t="s">
        <v>107</v>
      </c>
      <c r="C80" s="16" t="s">
        <v>33</v>
      </c>
      <c r="D80" s="18">
        <v>61</v>
      </c>
      <c r="E80" s="19">
        <v>26.79</v>
      </c>
      <c r="F80" s="19">
        <f t="shared" si="1"/>
        <v>1634.19</v>
      </c>
    </row>
    <row r="81" spans="1:6" ht="14.75" customHeight="1" x14ac:dyDescent="0.2">
      <c r="A81" s="12" t="s">
        <v>15</v>
      </c>
      <c r="B81" s="13" t="s">
        <v>108</v>
      </c>
      <c r="C81" s="12"/>
      <c r="D81" s="14"/>
      <c r="E81" s="15"/>
      <c r="F81" s="15"/>
    </row>
    <row r="82" spans="1:6" ht="23.5" customHeight="1" x14ac:dyDescent="0.2">
      <c r="A82" s="16" t="s">
        <v>8</v>
      </c>
      <c r="B82" s="17" t="s">
        <v>109</v>
      </c>
      <c r="C82" s="16" t="s">
        <v>33</v>
      </c>
      <c r="D82" s="18">
        <v>1</v>
      </c>
      <c r="E82" s="19">
        <v>572.22</v>
      </c>
      <c r="F82" s="19">
        <f t="shared" si="1"/>
        <v>572.22</v>
      </c>
    </row>
    <row r="83" spans="1:6" ht="43.75" customHeight="1" x14ac:dyDescent="0.2">
      <c r="A83" s="16" t="s">
        <v>13</v>
      </c>
      <c r="B83" s="17" t="s">
        <v>110</v>
      </c>
      <c r="C83" s="16" t="s">
        <v>33</v>
      </c>
      <c r="D83" s="18">
        <v>1</v>
      </c>
      <c r="E83" s="19">
        <v>260.04000000000002</v>
      </c>
      <c r="F83" s="19">
        <f t="shared" si="1"/>
        <v>260.04000000000002</v>
      </c>
    </row>
    <row r="84" spans="1:6" ht="14.75" customHeight="1" x14ac:dyDescent="0.2">
      <c r="A84" s="16" t="s">
        <v>15</v>
      </c>
      <c r="B84" s="17" t="s">
        <v>111</v>
      </c>
      <c r="C84" s="16" t="s">
        <v>33</v>
      </c>
      <c r="D84" s="18">
        <v>2</v>
      </c>
      <c r="E84" s="19">
        <v>11.61</v>
      </c>
      <c r="F84" s="19">
        <f t="shared" si="1"/>
        <v>23.22</v>
      </c>
    </row>
    <row r="85" spans="1:6" ht="33.5" customHeight="1" x14ac:dyDescent="0.2">
      <c r="A85" s="16" t="s">
        <v>17</v>
      </c>
      <c r="B85" s="17" t="s">
        <v>112</v>
      </c>
      <c r="C85" s="16" t="s">
        <v>19</v>
      </c>
      <c r="D85" s="18">
        <v>65</v>
      </c>
      <c r="E85" s="19">
        <v>5.99</v>
      </c>
      <c r="F85" s="19">
        <f t="shared" si="1"/>
        <v>389.35</v>
      </c>
    </row>
    <row r="86" spans="1:6" ht="23.5" customHeight="1" x14ac:dyDescent="0.2">
      <c r="A86" s="16" t="s">
        <v>20</v>
      </c>
      <c r="B86" s="17" t="s">
        <v>113</v>
      </c>
      <c r="C86" s="16" t="s">
        <v>19</v>
      </c>
      <c r="D86" s="18">
        <v>6</v>
      </c>
      <c r="E86" s="19">
        <v>9.1300000000000008</v>
      </c>
      <c r="F86" s="19">
        <f t="shared" si="1"/>
        <v>54.78</v>
      </c>
    </row>
    <row r="87" spans="1:6" ht="23.5" customHeight="1" x14ac:dyDescent="0.2">
      <c r="A87" s="16" t="s">
        <v>22</v>
      </c>
      <c r="B87" s="17" t="s">
        <v>114</v>
      </c>
      <c r="C87" s="16" t="s">
        <v>33</v>
      </c>
      <c r="D87" s="18">
        <v>4</v>
      </c>
      <c r="E87" s="19">
        <v>56.06</v>
      </c>
      <c r="F87" s="19">
        <f t="shared" si="1"/>
        <v>224.24</v>
      </c>
    </row>
    <row r="88" spans="1:6" ht="43.75" customHeight="1" x14ac:dyDescent="0.2">
      <c r="A88" s="16" t="s">
        <v>31</v>
      </c>
      <c r="B88" s="17" t="s">
        <v>115</v>
      </c>
      <c r="C88" s="16" t="s">
        <v>33</v>
      </c>
      <c r="D88" s="18">
        <v>2</v>
      </c>
      <c r="E88" s="19">
        <v>26.11</v>
      </c>
      <c r="F88" s="19">
        <f t="shared" si="1"/>
        <v>52.22</v>
      </c>
    </row>
    <row r="89" spans="1:6" ht="23.5" customHeight="1" x14ac:dyDescent="0.2">
      <c r="A89" s="16" t="s">
        <v>34</v>
      </c>
      <c r="B89" s="17" t="s">
        <v>116</v>
      </c>
      <c r="C89" s="16" t="s">
        <v>33</v>
      </c>
      <c r="D89" s="18">
        <v>18</v>
      </c>
      <c r="E89" s="19">
        <v>6.54</v>
      </c>
      <c r="F89" s="19">
        <f t="shared" si="1"/>
        <v>117.72</v>
      </c>
    </row>
    <row r="90" spans="1:6" ht="23.5" customHeight="1" x14ac:dyDescent="0.2">
      <c r="A90" s="16" t="s">
        <v>36</v>
      </c>
      <c r="B90" s="17" t="s">
        <v>117</v>
      </c>
      <c r="C90" s="16" t="s">
        <v>33</v>
      </c>
      <c r="D90" s="18">
        <v>8</v>
      </c>
      <c r="E90" s="19">
        <v>7.35</v>
      </c>
      <c r="F90" s="19">
        <f t="shared" si="1"/>
        <v>58.8</v>
      </c>
    </row>
    <row r="91" spans="1:6" ht="23.5" customHeight="1" x14ac:dyDescent="0.2">
      <c r="A91" s="16" t="s">
        <v>38</v>
      </c>
      <c r="B91" s="17" t="s">
        <v>118</v>
      </c>
      <c r="C91" s="16" t="s">
        <v>33</v>
      </c>
      <c r="D91" s="18">
        <v>2</v>
      </c>
      <c r="E91" s="19">
        <v>24.92</v>
      </c>
      <c r="F91" s="19">
        <f t="shared" si="1"/>
        <v>49.84</v>
      </c>
    </row>
    <row r="92" spans="1:6" ht="14.75" customHeight="1" x14ac:dyDescent="0.2">
      <c r="A92" s="16" t="s">
        <v>40</v>
      </c>
      <c r="B92" s="17" t="s">
        <v>119</v>
      </c>
      <c r="C92" s="16" t="s">
        <v>33</v>
      </c>
      <c r="D92" s="18">
        <v>2</v>
      </c>
      <c r="E92" s="19">
        <v>60.72</v>
      </c>
      <c r="F92" s="19">
        <f t="shared" si="1"/>
        <v>121.44</v>
      </c>
    </row>
    <row r="93" spans="1:6" ht="33.5" customHeight="1" x14ac:dyDescent="0.2">
      <c r="A93" s="16" t="s">
        <v>42</v>
      </c>
      <c r="B93" s="17" t="s">
        <v>120</v>
      </c>
      <c r="C93" s="16" t="s">
        <v>33</v>
      </c>
      <c r="D93" s="18">
        <v>1</v>
      </c>
      <c r="E93" s="19">
        <v>47.69</v>
      </c>
      <c r="F93" s="19">
        <f t="shared" si="1"/>
        <v>47.69</v>
      </c>
    </row>
    <row r="94" spans="1:6" ht="21.75" customHeight="1" x14ac:dyDescent="0.2">
      <c r="A94" s="8" t="s">
        <v>13</v>
      </c>
      <c r="B94" s="9" t="s">
        <v>98</v>
      </c>
      <c r="C94" s="8"/>
      <c r="D94" s="10"/>
      <c r="E94" s="11"/>
      <c r="F94" s="11">
        <f>SUBTOTAL(109,F73:F93)</f>
        <v>6826.5800000000008</v>
      </c>
    </row>
    <row r="95" spans="1:6" ht="14.75" customHeight="1" x14ac:dyDescent="0.2">
      <c r="A95" s="8" t="s">
        <v>15</v>
      </c>
      <c r="B95" s="9" t="s">
        <v>121</v>
      </c>
      <c r="C95" s="8"/>
      <c r="D95" s="10"/>
      <c r="E95" s="11"/>
      <c r="F95" s="11"/>
    </row>
    <row r="96" spans="1:6" ht="14.75" customHeight="1" x14ac:dyDescent="0.2">
      <c r="A96" s="20" t="s">
        <v>8</v>
      </c>
      <c r="B96" s="21" t="s">
        <v>122</v>
      </c>
      <c r="C96" s="20"/>
      <c r="D96" s="22"/>
      <c r="E96" s="23"/>
      <c r="F96" s="23"/>
    </row>
    <row r="97" spans="1:6" ht="68" x14ac:dyDescent="0.2">
      <c r="A97" s="16" t="s">
        <v>8</v>
      </c>
      <c r="B97" s="17" t="s">
        <v>123</v>
      </c>
      <c r="C97" s="16" t="s">
        <v>19</v>
      </c>
      <c r="D97" s="18">
        <v>225</v>
      </c>
      <c r="E97" s="19">
        <v>29.97</v>
      </c>
      <c r="F97" s="19">
        <f t="shared" ref="F97:F102" si="2">D97*E97</f>
        <v>6743.25</v>
      </c>
    </row>
    <row r="98" spans="1:6" ht="51" x14ac:dyDescent="0.2">
      <c r="A98" s="16" t="s">
        <v>13</v>
      </c>
      <c r="B98" s="17" t="s">
        <v>124</v>
      </c>
      <c r="C98" s="16" t="s">
        <v>33</v>
      </c>
      <c r="D98" s="18">
        <v>60</v>
      </c>
      <c r="E98" s="19">
        <v>37.549999999999997</v>
      </c>
      <c r="F98" s="19">
        <f t="shared" si="2"/>
        <v>2253</v>
      </c>
    </row>
    <row r="99" spans="1:6" ht="34" x14ac:dyDescent="0.2">
      <c r="A99" s="16" t="s">
        <v>15</v>
      </c>
      <c r="B99" s="17" t="s">
        <v>125</v>
      </c>
      <c r="C99" s="16" t="s">
        <v>19</v>
      </c>
      <c r="D99" s="18">
        <v>24</v>
      </c>
      <c r="E99" s="19">
        <v>5.31</v>
      </c>
      <c r="F99" s="19">
        <f t="shared" si="2"/>
        <v>127.44</v>
      </c>
    </row>
    <row r="100" spans="1:6" ht="43.75" customHeight="1" x14ac:dyDescent="0.2">
      <c r="A100" s="16" t="s">
        <v>17</v>
      </c>
      <c r="B100" s="17" t="s">
        <v>126</v>
      </c>
      <c r="C100" s="16" t="s">
        <v>19</v>
      </c>
      <c r="D100" s="18">
        <v>24</v>
      </c>
      <c r="E100" s="19">
        <v>15.74</v>
      </c>
      <c r="F100" s="19">
        <f t="shared" si="2"/>
        <v>377.76</v>
      </c>
    </row>
    <row r="101" spans="1:6" ht="34" x14ac:dyDescent="0.2">
      <c r="A101" s="16" t="s">
        <v>20</v>
      </c>
      <c r="B101" s="17" t="s">
        <v>127</v>
      </c>
      <c r="C101" s="16" t="s">
        <v>33</v>
      </c>
      <c r="D101" s="18">
        <v>12</v>
      </c>
      <c r="E101" s="19">
        <v>11.95</v>
      </c>
      <c r="F101" s="19">
        <f t="shared" si="2"/>
        <v>143.39999999999998</v>
      </c>
    </row>
    <row r="102" spans="1:6" ht="14.75" customHeight="1" x14ac:dyDescent="0.2">
      <c r="A102" s="16" t="s">
        <v>22</v>
      </c>
      <c r="B102" s="17" t="s">
        <v>128</v>
      </c>
      <c r="C102" s="16" t="s">
        <v>33</v>
      </c>
      <c r="D102" s="18">
        <v>6</v>
      </c>
      <c r="E102" s="19">
        <v>16.16</v>
      </c>
      <c r="F102" s="19">
        <f t="shared" si="2"/>
        <v>96.960000000000008</v>
      </c>
    </row>
    <row r="103" spans="1:6" ht="14.75" customHeight="1" x14ac:dyDescent="0.2">
      <c r="A103" s="8" t="s">
        <v>15</v>
      </c>
      <c r="B103" s="9" t="s">
        <v>121</v>
      </c>
      <c r="C103" s="8"/>
      <c r="D103" s="10"/>
      <c r="E103" s="11"/>
      <c r="F103" s="11">
        <f>SUBTOTAL(109,F97:F102)</f>
        <v>9741.81</v>
      </c>
    </row>
    <row r="104" spans="1:6" ht="14.75" customHeight="1" x14ac:dyDescent="0.2">
      <c r="A104" s="20" t="s">
        <v>6</v>
      </c>
      <c r="B104" s="21" t="s">
        <v>129</v>
      </c>
      <c r="C104" s="20" t="s">
        <v>6</v>
      </c>
      <c r="D104" s="24"/>
      <c r="E104" s="24"/>
      <c r="F104" s="24"/>
    </row>
    <row r="105" spans="1:6" ht="14.75" customHeight="1" x14ac:dyDescent="0.2">
      <c r="A105" s="25" t="s">
        <v>6</v>
      </c>
      <c r="B105" s="26" t="s">
        <v>130</v>
      </c>
      <c r="C105" s="25" t="s">
        <v>6</v>
      </c>
      <c r="D105" s="27"/>
      <c r="E105" s="27"/>
      <c r="F105" s="28">
        <f>F70+F94+F103</f>
        <v>1281242.7878000007</v>
      </c>
    </row>
    <row r="106" spans="1:6" ht="14.75" customHeight="1" x14ac:dyDescent="0.2">
      <c r="A106" s="29" t="s">
        <v>6</v>
      </c>
      <c r="B106" s="30" t="s">
        <v>131</v>
      </c>
      <c r="C106" s="29" t="s">
        <v>6</v>
      </c>
      <c r="D106" s="31"/>
      <c r="E106" s="31"/>
      <c r="F106" s="32">
        <f>F105*20%</f>
        <v>256248.55756000016</v>
      </c>
    </row>
    <row r="107" spans="1:6" ht="14.75" customHeight="1" x14ac:dyDescent="0.2">
      <c r="A107" s="25" t="s">
        <v>6</v>
      </c>
      <c r="B107" s="26" t="s">
        <v>132</v>
      </c>
      <c r="C107" s="25" t="s">
        <v>6</v>
      </c>
      <c r="D107" s="27"/>
      <c r="E107" s="27"/>
      <c r="F107" s="28">
        <f>F105+F106</f>
        <v>1537491.3453600009</v>
      </c>
    </row>
    <row r="108" spans="1:6" ht="14.75" customHeight="1" x14ac:dyDescent="0.2">
      <c r="A108" s="20" t="s">
        <v>6</v>
      </c>
      <c r="B108" s="21" t="s">
        <v>133</v>
      </c>
      <c r="C108" s="20" t="s">
        <v>6</v>
      </c>
      <c r="D108" s="24"/>
      <c r="E108" s="24"/>
      <c r="F108" s="24"/>
    </row>
    <row r="109" spans="1:6" ht="14.75" customHeight="1" x14ac:dyDescent="0.2">
      <c r="A109" s="33"/>
      <c r="B109" s="34"/>
      <c r="C109" s="34"/>
      <c r="D109" s="34"/>
      <c r="E109" s="34"/>
      <c r="F109" s="3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Stoev</dc:creator>
  <cp:lastModifiedBy>Nikolay Stoev</cp:lastModifiedBy>
  <dcterms:created xsi:type="dcterms:W3CDTF">2026-04-06T13:28:51Z</dcterms:created>
  <dcterms:modified xsi:type="dcterms:W3CDTF">2026-04-06T13:32:32Z</dcterms:modified>
</cp:coreProperties>
</file>