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780" yWindow="105" windowWidth="14295" windowHeight="8220"/>
  </bookViews>
  <sheets>
    <sheet name="Sheet1" sheetId="1" r:id="rId1"/>
  </sheets>
  <calcPr calcId="145621"/>
</workbook>
</file>

<file path=xl/calcChain.xml><?xml version="1.0" encoding="utf-8"?>
<calcChain xmlns="http://schemas.openxmlformats.org/spreadsheetml/2006/main">
  <c r="F25" i="1" l="1"/>
  <c r="F26" i="1" l="1"/>
  <c r="F27" i="1"/>
  <c r="F28" i="1"/>
  <c r="F29" i="1"/>
  <c r="F30" i="1"/>
  <c r="F31" i="1"/>
  <c r="F32" i="1"/>
  <c r="F33" i="1"/>
  <c r="F34" i="1"/>
  <c r="F35" i="1"/>
  <c r="F18" i="1"/>
  <c r="F19" i="1"/>
  <c r="F20" i="1"/>
  <c r="F21" i="1"/>
  <c r="F22" i="1"/>
  <c r="F23" i="1"/>
  <c r="F17" i="1"/>
  <c r="F38" i="1" l="1"/>
  <c r="F39" i="1" s="1"/>
  <c r="F40" i="1" s="1"/>
</calcChain>
</file>

<file path=xl/sharedStrings.xml><?xml version="1.0" encoding="utf-8"?>
<sst xmlns="http://schemas.openxmlformats.org/spreadsheetml/2006/main" count="89" uniqueCount="53">
  <si>
    <t>ОБЕКТ: Инвестиционен проект за преустройство, реконструкция и разширение на съществуваща сграда - дом за стари хора "Венета Ботева" в УПИ XV -</t>
  </si>
  <si>
    <t>"за социални грижи", кв. 365 по плана на гр. Велико Търново</t>
  </si>
  <si>
    <t>№</t>
  </si>
  <si>
    <t>Наименование</t>
  </si>
  <si>
    <t>Мярка</t>
  </si>
  <si>
    <t>Количество</t>
  </si>
  <si>
    <t>Ед. Цена</t>
  </si>
  <si>
    <t>Стойност</t>
  </si>
  <si>
    <t>2</t>
  </si>
  <si>
    <t>4</t>
  </si>
  <si>
    <t>5</t>
  </si>
  <si>
    <t>6</t>
  </si>
  <si>
    <t>ЧАСТ ЕЛЕКТРИЧЕСКА</t>
  </si>
  <si>
    <t>МОНТАЖНИ РАБОТИ</t>
  </si>
  <si>
    <t>Монтаж на трафомашина над 630KVA включително за БКТП/ТП</t>
  </si>
  <si>
    <t>бр.</t>
  </si>
  <si>
    <t>1</t>
  </si>
  <si>
    <t>Монтаж на табло ГТТ</t>
  </si>
  <si>
    <t>3</t>
  </si>
  <si>
    <t>Монтаж на табло РТ</t>
  </si>
  <si>
    <t>Монтаж на кабелна връзка от СрН от КРУ до ТМ</t>
  </si>
  <si>
    <t>Монтаж на кабелна връзка НН от ТМ до ГТТ</t>
  </si>
  <si>
    <t>Изграждане на секционираща апаратура /куплонг/ за ток 1000А, между ТМ 1 и ТМ2</t>
  </si>
  <si>
    <t>7</t>
  </si>
  <si>
    <t>Полагане на кабел до 3x1.5</t>
  </si>
  <si>
    <t>м</t>
  </si>
  <si>
    <t>15</t>
  </si>
  <si>
    <t>ДОСТАВКА НА СЪОРЪЖЕНИЯ И МАТЕРИАЛИ</t>
  </si>
  <si>
    <t>Доставка на Трансформатор ТМ 630kVA, 21/0.42 със загуби съгласно регламент (ЕС) №548/2014</t>
  </si>
  <si>
    <t>Доставка на ГТТ 1 х 1600А за ТП - по схема</t>
  </si>
  <si>
    <t>Доставка на РТ НН 4х400А за ТП - по схема</t>
  </si>
  <si>
    <t>Доставка на РТ НН 2х400А + 1x1000А за ТП - по схема</t>
  </si>
  <si>
    <t>Доставка поцинкована шина 40/4мм. х 10 м</t>
  </si>
  <si>
    <t>Предпазител 20kV; 32А</t>
  </si>
  <si>
    <t>8</t>
  </si>
  <si>
    <t>Кабел САХЕкТ 1x50 мм2</t>
  </si>
  <si>
    <t>30</t>
  </si>
  <si>
    <t>9</t>
  </si>
  <si>
    <t>Проводник ПВ А2 185 мм2</t>
  </si>
  <si>
    <t>240</t>
  </si>
  <si>
    <t>Обувки Gu 185 mm2</t>
  </si>
  <si>
    <t>50</t>
  </si>
  <si>
    <t>11</t>
  </si>
  <si>
    <t>Кабелна глава СрН 20kV 50 мм2</t>
  </si>
  <si>
    <r>
      <rPr>
        <u/>
        <sz val="12"/>
        <rFont val="Times New Roman"/>
        <family val="1"/>
        <charset val="204"/>
      </rPr>
      <t>ВЪЗЛОЖИТЕЛ: Община Велико Търново</t>
    </r>
  </si>
  <si>
    <r>
      <rPr>
        <u/>
        <sz val="12"/>
        <rFont val="Times New Roman"/>
        <family val="1"/>
        <charset val="204"/>
      </rPr>
      <t>ЧАСТ -.ЕЛЕКТРИЧЕСКА</t>
    </r>
  </si>
  <si>
    <r>
      <rPr>
        <u/>
        <sz val="12"/>
        <rFont val="Times New Roman"/>
        <family val="1"/>
        <charset val="204"/>
      </rPr>
      <t>Фаза: Технически проект</t>
    </r>
  </si>
  <si>
    <r>
      <rPr>
        <b/>
        <sz val="12"/>
        <rFont val="Times New Roman"/>
        <family val="1"/>
        <charset val="204"/>
      </rPr>
      <t>Количествено - стойностна сметка</t>
    </r>
  </si>
  <si>
    <t>ВЪНШНО EЛ. ЗАХРАНВАНЕ</t>
  </si>
  <si>
    <t>Доставка на секционираща апаратура /куплунг/ за ток 1000А, между ТМ1 и ТМ2 за куплунг - по схема</t>
  </si>
  <si>
    <t>Общо без ДДС</t>
  </si>
  <si>
    <t>ДДС</t>
  </si>
  <si>
    <t>Общо с ДДС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</si>
</sst>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#,##0.00\ &quot;лв.&quot;;[Red]\-#,##0.00\ &quot;лв.&quot;"/>
    <numFmt numFmtId="164" formatCode="#,##0.00\ &quot;лв.&quot;"/>
  </numFmts>
  <fonts count="5" x14ac:knownFonts="1">
    <font>
      <sz val="10"/>
      <name val="Arial"/>
    </font>
    <font>
      <b/>
      <sz val="10"/>
      <name val="Times New Roman"/>
      <family val="1"/>
      <charset val="204"/>
    </font>
    <font>
      <sz val="12"/>
      <name val="Times New Roman"/>
      <family val="1"/>
      <charset val="204"/>
    </font>
    <font>
      <u/>
      <sz val="12"/>
      <name val="Times New Roman"/>
      <family val="1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justify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 vertical="top"/>
    </xf>
    <xf numFmtId="0" fontId="2" fillId="0" borderId="15" xfId="0" applyFont="1" applyBorder="1" applyAlignment="1">
      <alignment horizontal="left" wrapText="1"/>
    </xf>
    <xf numFmtId="0" fontId="2" fillId="0" borderId="16" xfId="0" applyFont="1" applyBorder="1" applyAlignment="1">
      <alignment horizontal="justify" wrapText="1"/>
    </xf>
    <xf numFmtId="0" fontId="2" fillId="0" borderId="18" xfId="0" applyFont="1" applyBorder="1" applyAlignment="1">
      <alignment horizontal="left" vertical="top" indent="1"/>
    </xf>
    <xf numFmtId="0" fontId="2" fillId="0" borderId="19" xfId="0" applyFont="1" applyBorder="1" applyAlignment="1">
      <alignment horizontal="left" vertical="top" indent="2"/>
    </xf>
    <xf numFmtId="8" fontId="2" fillId="0" borderId="4" xfId="0" applyNumberFormat="1" applyFont="1" applyBorder="1" applyAlignment="1">
      <alignment horizontal="right"/>
    </xf>
    <xf numFmtId="0" fontId="2" fillId="0" borderId="17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8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/>
    <xf numFmtId="164" fontId="2" fillId="0" borderId="4" xfId="0" applyNumberFormat="1" applyFont="1" applyBorder="1" applyAlignment="1">
      <alignment horizontal="right"/>
    </xf>
    <xf numFmtId="2" fontId="2" fillId="0" borderId="4" xfId="0" applyNumberFormat="1" applyFont="1" applyBorder="1" applyAlignment="1">
      <alignment horizontal="right"/>
    </xf>
    <xf numFmtId="2" fontId="2" fillId="0" borderId="6" xfId="0" applyNumberFormat="1" applyFont="1" applyBorder="1" applyAlignment="1">
      <alignment horizontal="right"/>
    </xf>
    <xf numFmtId="164" fontId="2" fillId="0" borderId="19" xfId="0" applyNumberFormat="1" applyFont="1" applyBorder="1" applyAlignment="1">
      <alignment horizontal="left" vertical="top" indent="2"/>
    </xf>
    <xf numFmtId="164" fontId="0" fillId="0" borderId="0" xfId="0" applyNumberFormat="1"/>
    <xf numFmtId="0" fontId="2" fillId="0" borderId="9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topLeftCell="B16" workbookViewId="0">
      <selection activeCell="H20" sqref="H20"/>
    </sheetView>
  </sheetViews>
  <sheetFormatPr defaultRowHeight="12.75" x14ac:dyDescent="0.2"/>
  <cols>
    <col min="1" max="1" width="6" style="21"/>
    <col min="2" max="2" width="82.5703125" customWidth="1"/>
    <col min="3" max="3" width="6.140625" customWidth="1"/>
    <col min="4" max="4" width="13"/>
    <col min="5" max="5" width="14"/>
    <col min="6" max="6" width="18"/>
  </cols>
  <sheetData>
    <row r="1" spans="1:6" ht="15.75" x14ac:dyDescent="0.25">
      <c r="A1" s="14" t="s">
        <v>0</v>
      </c>
      <c r="B1" s="1"/>
      <c r="C1" s="1"/>
      <c r="D1" s="1"/>
      <c r="E1" s="1"/>
      <c r="F1" s="1"/>
    </row>
    <row r="2" spans="1:6" ht="15.75" x14ac:dyDescent="0.25">
      <c r="A2" s="15"/>
      <c r="B2" s="1"/>
      <c r="C2" s="1"/>
      <c r="D2" s="1"/>
      <c r="E2" s="1"/>
      <c r="F2" s="1"/>
    </row>
    <row r="3" spans="1:6" ht="15.75" x14ac:dyDescent="0.25">
      <c r="A3" s="14" t="s">
        <v>1</v>
      </c>
      <c r="B3" s="1"/>
      <c r="C3" s="1"/>
      <c r="D3" s="1"/>
      <c r="E3" s="1"/>
      <c r="F3" s="1"/>
    </row>
    <row r="4" spans="1:6" ht="15.75" x14ac:dyDescent="0.25">
      <c r="A4" s="15"/>
      <c r="B4" s="1"/>
      <c r="C4" s="1"/>
      <c r="D4" s="1"/>
      <c r="E4" s="1"/>
      <c r="F4" s="1"/>
    </row>
    <row r="5" spans="1:6" ht="15.75" x14ac:dyDescent="0.25">
      <c r="A5" s="16" t="s">
        <v>44</v>
      </c>
      <c r="B5" s="1"/>
      <c r="C5" s="1"/>
      <c r="D5" s="1"/>
      <c r="E5" s="1"/>
      <c r="F5" s="1"/>
    </row>
    <row r="6" spans="1:6" ht="15.75" x14ac:dyDescent="0.25">
      <c r="A6" s="15"/>
      <c r="B6" s="1"/>
      <c r="C6" s="1"/>
      <c r="D6" s="1"/>
      <c r="E6" s="1"/>
      <c r="F6" s="1"/>
    </row>
    <row r="7" spans="1:6" ht="15.75" x14ac:dyDescent="0.25">
      <c r="A7" s="16" t="s">
        <v>45</v>
      </c>
      <c r="B7" s="1"/>
      <c r="C7" s="1"/>
      <c r="D7" s="1"/>
      <c r="E7" s="1"/>
      <c r="F7" s="1"/>
    </row>
    <row r="8" spans="1:6" ht="15.75" x14ac:dyDescent="0.25">
      <c r="A8" s="16" t="s">
        <v>46</v>
      </c>
      <c r="B8" s="1"/>
      <c r="C8" s="1"/>
      <c r="D8" s="1"/>
      <c r="E8" s="1"/>
      <c r="F8" s="1"/>
    </row>
    <row r="9" spans="1:6" ht="15.75" x14ac:dyDescent="0.25">
      <c r="A9" s="15"/>
      <c r="B9" s="1"/>
      <c r="C9" s="1"/>
      <c r="D9" s="1"/>
      <c r="E9" s="1"/>
      <c r="F9" s="1"/>
    </row>
    <row r="10" spans="1:6" ht="15.75" x14ac:dyDescent="0.25">
      <c r="A10" s="17" t="s">
        <v>47</v>
      </c>
      <c r="B10" s="1"/>
      <c r="C10" s="1"/>
      <c r="D10" s="1"/>
      <c r="E10" s="1"/>
      <c r="F10" s="1"/>
    </row>
    <row r="11" spans="1:6" ht="15.75" x14ac:dyDescent="0.25">
      <c r="A11" s="15"/>
      <c r="B11" s="1"/>
      <c r="C11" s="1"/>
      <c r="D11" s="1"/>
      <c r="E11" s="1"/>
      <c r="F11" s="1"/>
    </row>
    <row r="12" spans="1:6" ht="15.75" x14ac:dyDescent="0.25">
      <c r="A12" s="18" t="s">
        <v>2</v>
      </c>
      <c r="B12" s="2" t="s">
        <v>3</v>
      </c>
      <c r="C12" s="2" t="s">
        <v>4</v>
      </c>
      <c r="D12" s="2" t="s">
        <v>5</v>
      </c>
      <c r="E12" s="2" t="s">
        <v>6</v>
      </c>
      <c r="F12" s="2" t="s">
        <v>7</v>
      </c>
    </row>
    <row r="13" spans="1:6" ht="15.75" x14ac:dyDescent="0.25">
      <c r="A13" s="19">
        <v>1</v>
      </c>
      <c r="B13" s="3">
        <v>2</v>
      </c>
      <c r="C13" s="4">
        <v>3</v>
      </c>
      <c r="D13" s="3">
        <v>4</v>
      </c>
      <c r="E13" s="3">
        <v>5</v>
      </c>
      <c r="F13" s="2">
        <v>6</v>
      </c>
    </row>
    <row r="14" spans="1:6" ht="15.75" x14ac:dyDescent="0.2">
      <c r="A14" s="28" t="s">
        <v>48</v>
      </c>
      <c r="B14" s="29"/>
      <c r="C14" s="29"/>
      <c r="D14" s="29"/>
      <c r="E14" s="29"/>
      <c r="F14" s="30"/>
    </row>
    <row r="15" spans="1:6" ht="15.75" x14ac:dyDescent="0.2">
      <c r="A15" s="28" t="s">
        <v>12</v>
      </c>
      <c r="B15" s="29"/>
      <c r="C15" s="29"/>
      <c r="D15" s="29"/>
      <c r="E15" s="29"/>
      <c r="F15" s="30"/>
    </row>
    <row r="16" spans="1:6" ht="15.75" x14ac:dyDescent="0.2">
      <c r="A16" s="28" t="s">
        <v>13</v>
      </c>
      <c r="B16" s="29"/>
      <c r="C16" s="29"/>
      <c r="D16" s="29"/>
      <c r="E16" s="29"/>
      <c r="F16" s="30"/>
    </row>
    <row r="17" spans="1:6" ht="15.75" x14ac:dyDescent="0.25">
      <c r="A17" s="19">
        <v>1</v>
      </c>
      <c r="B17" s="5" t="s">
        <v>14</v>
      </c>
      <c r="C17" s="6" t="s">
        <v>15</v>
      </c>
      <c r="D17" s="24" t="s">
        <v>16</v>
      </c>
      <c r="E17" s="12">
        <v>1150</v>
      </c>
      <c r="F17" s="12">
        <f xml:space="preserve"> D17 *E17</f>
        <v>1150</v>
      </c>
    </row>
    <row r="18" spans="1:6" ht="15.75" x14ac:dyDescent="0.25">
      <c r="A18" s="18" t="s">
        <v>8</v>
      </c>
      <c r="B18" s="5" t="s">
        <v>17</v>
      </c>
      <c r="C18" s="6" t="s">
        <v>15</v>
      </c>
      <c r="D18" s="24" t="s">
        <v>16</v>
      </c>
      <c r="E18" s="12">
        <v>370.2</v>
      </c>
      <c r="F18" s="12">
        <f t="shared" ref="F18:F23" si="0" xml:space="preserve"> D18 *E18</f>
        <v>370.2</v>
      </c>
    </row>
    <row r="19" spans="1:6" ht="15.75" x14ac:dyDescent="0.25">
      <c r="A19" s="18" t="s">
        <v>18</v>
      </c>
      <c r="B19" s="5" t="s">
        <v>19</v>
      </c>
      <c r="C19" s="6" t="s">
        <v>15</v>
      </c>
      <c r="D19" s="24" t="s">
        <v>18</v>
      </c>
      <c r="E19" s="12">
        <v>184.65</v>
      </c>
      <c r="F19" s="12">
        <f t="shared" si="0"/>
        <v>553.95000000000005</v>
      </c>
    </row>
    <row r="20" spans="1:6" ht="15.75" x14ac:dyDescent="0.25">
      <c r="A20" s="18" t="s">
        <v>9</v>
      </c>
      <c r="B20" s="5" t="s">
        <v>20</v>
      </c>
      <c r="C20" s="6" t="s">
        <v>15</v>
      </c>
      <c r="D20" s="24" t="s">
        <v>16</v>
      </c>
      <c r="E20" s="12">
        <v>293.81</v>
      </c>
      <c r="F20" s="12">
        <f t="shared" si="0"/>
        <v>293.81</v>
      </c>
    </row>
    <row r="21" spans="1:6" ht="15.75" x14ac:dyDescent="0.25">
      <c r="A21" s="18" t="s">
        <v>10</v>
      </c>
      <c r="B21" s="5" t="s">
        <v>21</v>
      </c>
      <c r="C21" s="6" t="s">
        <v>15</v>
      </c>
      <c r="D21" s="24" t="s">
        <v>16</v>
      </c>
      <c r="E21" s="12">
        <v>378.24</v>
      </c>
      <c r="F21" s="12">
        <f t="shared" si="0"/>
        <v>378.24</v>
      </c>
    </row>
    <row r="22" spans="1:6" ht="15.6" customHeight="1" x14ac:dyDescent="0.25">
      <c r="A22" s="18" t="s">
        <v>11</v>
      </c>
      <c r="B22" s="5" t="s">
        <v>22</v>
      </c>
      <c r="C22" s="6" t="s">
        <v>15</v>
      </c>
      <c r="D22" s="24" t="s">
        <v>8</v>
      </c>
      <c r="E22" s="12">
        <v>301.20999999999998</v>
      </c>
      <c r="F22" s="12">
        <f t="shared" si="0"/>
        <v>602.41999999999996</v>
      </c>
    </row>
    <row r="23" spans="1:6" ht="15.75" x14ac:dyDescent="0.25">
      <c r="A23" s="18" t="s">
        <v>23</v>
      </c>
      <c r="B23" s="5" t="s">
        <v>24</v>
      </c>
      <c r="C23" s="6" t="s">
        <v>25</v>
      </c>
      <c r="D23" s="24" t="s">
        <v>26</v>
      </c>
      <c r="E23" s="12">
        <v>8.41</v>
      </c>
      <c r="F23" s="12">
        <f t="shared" si="0"/>
        <v>126.15</v>
      </c>
    </row>
    <row r="24" spans="1:6" ht="16.5" thickBot="1" x14ac:dyDescent="0.25">
      <c r="A24" s="28" t="s">
        <v>27</v>
      </c>
      <c r="B24" s="29"/>
      <c r="C24" s="29"/>
      <c r="D24" s="29"/>
      <c r="E24" s="29"/>
      <c r="F24" s="30"/>
    </row>
    <row r="25" spans="1:6" ht="32.25" thickBot="1" x14ac:dyDescent="0.3">
      <c r="A25" s="2" t="s">
        <v>16</v>
      </c>
      <c r="B25" s="8" t="s">
        <v>28</v>
      </c>
      <c r="C25" s="6" t="s">
        <v>15</v>
      </c>
      <c r="D25" s="25" t="s">
        <v>16</v>
      </c>
      <c r="E25" s="23">
        <v>31590</v>
      </c>
      <c r="F25" s="23">
        <f xml:space="preserve"> D25*E25</f>
        <v>31590</v>
      </c>
    </row>
    <row r="26" spans="1:6" ht="16.5" thickBot="1" x14ac:dyDescent="0.3">
      <c r="A26" s="2" t="s">
        <v>8</v>
      </c>
      <c r="B26" s="5" t="s">
        <v>29</v>
      </c>
      <c r="C26" s="6" t="s">
        <v>15</v>
      </c>
      <c r="D26" s="25" t="s">
        <v>16</v>
      </c>
      <c r="E26" s="23">
        <v>5400</v>
      </c>
      <c r="F26" s="23">
        <f t="shared" ref="F26:F35" si="1" xml:space="preserve"> D26*E26</f>
        <v>5400</v>
      </c>
    </row>
    <row r="27" spans="1:6" ht="16.5" thickBot="1" x14ac:dyDescent="0.3">
      <c r="A27" s="18" t="s">
        <v>18</v>
      </c>
      <c r="B27" s="5" t="s">
        <v>30</v>
      </c>
      <c r="C27" s="6" t="s">
        <v>15</v>
      </c>
      <c r="D27" s="24" t="s">
        <v>16</v>
      </c>
      <c r="E27" s="23">
        <v>3520</v>
      </c>
      <c r="F27" s="23">
        <f t="shared" si="1"/>
        <v>3520</v>
      </c>
    </row>
    <row r="28" spans="1:6" ht="16.5" thickBot="1" x14ac:dyDescent="0.3">
      <c r="A28" s="2" t="s">
        <v>9</v>
      </c>
      <c r="B28" s="5" t="s">
        <v>31</v>
      </c>
      <c r="C28" s="6" t="s">
        <v>15</v>
      </c>
      <c r="D28" s="24" t="s">
        <v>16</v>
      </c>
      <c r="E28" s="23">
        <v>4950</v>
      </c>
      <c r="F28" s="23">
        <f t="shared" si="1"/>
        <v>4950</v>
      </c>
    </row>
    <row r="29" spans="1:6" ht="32.25" thickBot="1" x14ac:dyDescent="0.3">
      <c r="A29" s="2" t="s">
        <v>10</v>
      </c>
      <c r="B29" s="9" t="s">
        <v>49</v>
      </c>
      <c r="C29" s="6" t="s">
        <v>15</v>
      </c>
      <c r="D29" s="24" t="s">
        <v>16</v>
      </c>
      <c r="E29" s="23">
        <v>3985</v>
      </c>
      <c r="F29" s="23">
        <f t="shared" si="1"/>
        <v>3985</v>
      </c>
    </row>
    <row r="30" spans="1:6" ht="16.5" thickBot="1" x14ac:dyDescent="0.3">
      <c r="A30" s="2" t="s">
        <v>11</v>
      </c>
      <c r="B30" s="5" t="s">
        <v>32</v>
      </c>
      <c r="C30" s="6" t="s">
        <v>15</v>
      </c>
      <c r="D30" s="24" t="s">
        <v>16</v>
      </c>
      <c r="E30" s="23">
        <v>65.52</v>
      </c>
      <c r="F30" s="23">
        <f t="shared" si="1"/>
        <v>65.52</v>
      </c>
    </row>
    <row r="31" spans="1:6" ht="16.5" thickBot="1" x14ac:dyDescent="0.3">
      <c r="A31" s="2" t="s">
        <v>23</v>
      </c>
      <c r="B31" s="5" t="s">
        <v>33</v>
      </c>
      <c r="C31" s="6" t="s">
        <v>15</v>
      </c>
      <c r="D31" s="24" t="s">
        <v>18</v>
      </c>
      <c r="E31" s="23">
        <v>69</v>
      </c>
      <c r="F31" s="23">
        <f t="shared" si="1"/>
        <v>207</v>
      </c>
    </row>
    <row r="32" spans="1:6" ht="16.5" thickBot="1" x14ac:dyDescent="0.3">
      <c r="A32" s="18" t="s">
        <v>34</v>
      </c>
      <c r="B32" s="5" t="s">
        <v>35</v>
      </c>
      <c r="C32" s="6" t="s">
        <v>25</v>
      </c>
      <c r="D32" s="24" t="s">
        <v>36</v>
      </c>
      <c r="E32" s="23">
        <v>8.4700000000000006</v>
      </c>
      <c r="F32" s="23">
        <f t="shared" si="1"/>
        <v>254.10000000000002</v>
      </c>
    </row>
    <row r="33" spans="1:6" ht="16.5" thickBot="1" x14ac:dyDescent="0.3">
      <c r="A33" s="2" t="s">
        <v>37</v>
      </c>
      <c r="B33" s="5" t="s">
        <v>38</v>
      </c>
      <c r="C33" s="6" t="s">
        <v>25</v>
      </c>
      <c r="D33" s="24" t="s">
        <v>39</v>
      </c>
      <c r="E33" s="23">
        <v>39.24</v>
      </c>
      <c r="F33" s="23">
        <f t="shared" si="1"/>
        <v>9417.6</v>
      </c>
    </row>
    <row r="34" spans="1:6" ht="16.5" thickBot="1" x14ac:dyDescent="0.3">
      <c r="A34" s="13">
        <v>10</v>
      </c>
      <c r="B34" s="5" t="s">
        <v>40</v>
      </c>
      <c r="C34" s="6" t="s">
        <v>15</v>
      </c>
      <c r="D34" s="24" t="s">
        <v>41</v>
      </c>
      <c r="E34" s="23">
        <v>14.9</v>
      </c>
      <c r="F34" s="23">
        <f t="shared" si="1"/>
        <v>745</v>
      </c>
    </row>
    <row r="35" spans="1:6" ht="16.5" thickBot="1" x14ac:dyDescent="0.3">
      <c r="A35" s="13" t="s">
        <v>42</v>
      </c>
      <c r="B35" s="5" t="s">
        <v>43</v>
      </c>
      <c r="C35" s="6" t="s">
        <v>15</v>
      </c>
      <c r="D35" s="24" t="s">
        <v>11</v>
      </c>
      <c r="E35" s="23">
        <v>65</v>
      </c>
      <c r="F35" s="23">
        <f t="shared" si="1"/>
        <v>390</v>
      </c>
    </row>
    <row r="36" spans="1:6" ht="16.5" thickBot="1" x14ac:dyDescent="0.25">
      <c r="A36" s="20"/>
      <c r="B36" s="7"/>
      <c r="C36" s="7"/>
      <c r="D36" s="7"/>
      <c r="E36" s="10"/>
      <c r="F36" s="26"/>
    </row>
    <row r="37" spans="1:6" ht="15.75" x14ac:dyDescent="0.2">
      <c r="A37" s="20"/>
      <c r="B37" s="7"/>
      <c r="C37" s="7"/>
      <c r="D37" s="7"/>
      <c r="E37" s="10"/>
      <c r="F37" s="11"/>
    </row>
    <row r="38" spans="1:6" x14ac:dyDescent="0.2">
      <c r="E38" s="22" t="s">
        <v>50</v>
      </c>
      <c r="F38" s="27">
        <f>F17+F18+F19+F20+F21+F22+F23+F25+F26+F27+F28+F29+F30+F31+F32+F33+F34+F35</f>
        <v>63998.989999999991</v>
      </c>
    </row>
    <row r="39" spans="1:6" x14ac:dyDescent="0.2">
      <c r="E39" s="22" t="s">
        <v>51</v>
      </c>
      <c r="F39" s="27">
        <f>F38*0.2</f>
        <v>12799.797999999999</v>
      </c>
    </row>
    <row r="40" spans="1:6" x14ac:dyDescent="0.2">
      <c r="E40" s="22" t="s">
        <v>52</v>
      </c>
      <c r="F40" s="27">
        <f>SUM(F38:F39)</f>
        <v>76798.787999999986</v>
      </c>
    </row>
  </sheetData>
  <mergeCells count="4">
    <mergeCell ref="A14:F14"/>
    <mergeCell ref="A15:F15"/>
    <mergeCell ref="A16:F16"/>
    <mergeCell ref="A24:F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Yavor Ivanov</dc:creator>
  <cp:lastModifiedBy>User</cp:lastModifiedBy>
  <dcterms:created xsi:type="dcterms:W3CDTF">2025-09-18T12:52:48Z</dcterms:created>
  <dcterms:modified xsi:type="dcterms:W3CDTF">2025-09-27T06:46:17Z</dcterms:modified>
</cp:coreProperties>
</file>