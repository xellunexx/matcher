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C:\Users\ochak\Downloads\"/>
    </mc:Choice>
  </mc:AlternateContent>
  <xr:revisionPtr revIDLastSave="0" documentId="8_{42DD197D-2FFC-4529-A3CF-5B613C86A3E6}" xr6:coauthVersionLast="47" xr6:coauthVersionMax="47" xr10:uidLastSave="{00000000-0000-0000-0000-000000000000}"/>
  <bookViews>
    <workbookView xWindow="-96" yWindow="-96" windowWidth="23232" windowHeight="12432" tabRatio="903" xr2:uid="{2DB02ADB-9CC2-42AC-938F-2865CB8C8C7C}"/>
  </bookViews>
  <sheets>
    <sheet name="Обобщена КС" sheetId="5" r:id="rId1"/>
    <sheet name="Подробна КС -част АС" sheetId="4" r:id="rId2"/>
    <sheet name="КС - Конструкции" sheetId="11" r:id="rId3"/>
    <sheet name="Подробна КС- част ВиК" sheetId="10" r:id="rId4"/>
    <sheet name="КС - част ЕЛ" sheetId="8" r:id="rId5"/>
    <sheet name="КС-технол. Кухня и мокър бюфет" sheetId="6" r:id="rId6"/>
    <sheet name="КС- технология басейни" sheetId="9" r:id="rId7"/>
    <sheet name="КС- част ОВК" sheetId="7" r:id="rId8"/>
    <sheet name="КС - фотоволтаична сист." sheetId="13" r:id="rId9"/>
    <sheet name="КС-паркоустр.и благоустройстр." sheetId="12" r:id="rId10"/>
  </sheets>
  <definedNames>
    <definedName name="_xlnm.Print_Area" localSheetId="9">'КС-паркоустр.и благоустройстр.'!$A$1:$D$57</definedName>
    <definedName name="_xlnm.Print_Area" localSheetId="1">'Подробна КС -част АС'!$A$1:$H$1592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6" i="5" l="1"/>
  <c r="D377" i="5"/>
  <c r="D378" i="5"/>
  <c r="D379" i="5"/>
  <c r="D380" i="5"/>
  <c r="D381" i="5"/>
  <c r="D382" i="5"/>
  <c r="D383" i="5"/>
  <c r="D477" i="5"/>
  <c r="D478" i="5"/>
  <c r="D479" i="5"/>
  <c r="D480" i="5"/>
  <c r="D481" i="5"/>
  <c r="D482" i="5"/>
  <c r="D483" i="5"/>
  <c r="D484" i="5"/>
  <c r="D536" i="5"/>
  <c r="D537" i="5"/>
  <c r="D538" i="5"/>
  <c r="D539" i="5"/>
  <c r="D540" i="5"/>
  <c r="D541" i="5"/>
  <c r="D542" i="5"/>
  <c r="D543" i="5"/>
  <c r="D544" i="5"/>
  <c r="D545" i="5"/>
  <c r="D546" i="5"/>
  <c r="A46" i="13"/>
  <c r="A47" i="13"/>
  <c r="A48" i="13"/>
  <c r="A32" i="13"/>
  <c r="A33" i="13"/>
  <c r="A34" i="13" s="1"/>
  <c r="A35" i="13" s="1"/>
  <c r="A36" i="13" s="1"/>
  <c r="A37" i="13" s="1"/>
  <c r="A38" i="13" s="1"/>
  <c r="A39" i="13" s="1"/>
  <c r="A21" i="13"/>
  <c r="A22" i="13"/>
  <c r="A23" i="13"/>
  <c r="A24" i="13" s="1"/>
  <c r="A25" i="13" s="1"/>
  <c r="A16" i="13"/>
  <c r="A17" i="13"/>
  <c r="A18" i="13"/>
  <c r="A1396" i="5"/>
  <c r="A1397" i="5" s="1"/>
  <c r="A1398" i="5" s="1"/>
  <c r="A1382" i="5"/>
  <c r="A1383" i="5"/>
  <c r="A1384" i="5"/>
  <c r="A1385" i="5" s="1"/>
  <c r="A1386" i="5" s="1"/>
  <c r="A1387" i="5" s="1"/>
  <c r="A1388" i="5" s="1"/>
  <c r="A1389" i="5" s="1"/>
  <c r="A1371" i="5"/>
  <c r="A1372" i="5"/>
  <c r="A1373" i="5"/>
  <c r="A1374" i="5"/>
  <c r="A1375" i="5" s="1"/>
  <c r="A1366" i="5"/>
  <c r="A1367" i="5"/>
  <c r="A1368" i="5"/>
  <c r="D350" i="5"/>
  <c r="H184" i="10"/>
  <c r="D535" i="5" s="1"/>
  <c r="H182" i="10"/>
  <c r="H181" i="10"/>
  <c r="H180" i="10"/>
  <c r="H179" i="10"/>
  <c r="H119" i="10"/>
  <c r="D476" i="5" s="1"/>
  <c r="H118" i="10"/>
  <c r="D475" i="5" s="1"/>
  <c r="H117" i="10"/>
  <c r="D474" i="5" s="1"/>
  <c r="H17" i="10"/>
  <c r="D375" i="5" s="1"/>
  <c r="H16" i="10"/>
  <c r="D374" i="5" s="1"/>
  <c r="H15" i="10"/>
  <c r="D373" i="5" s="1"/>
  <c r="D320" i="5"/>
  <c r="D321" i="5"/>
  <c r="D322" i="5"/>
  <c r="D317" i="5"/>
  <c r="D313" i="5"/>
  <c r="D314" i="5"/>
  <c r="D304" i="5"/>
  <c r="D305" i="5"/>
  <c r="D306" i="5"/>
  <c r="D302" i="5"/>
  <c r="D303" i="5"/>
  <c r="D287" i="5"/>
  <c r="D288" i="5"/>
  <c r="D289" i="5"/>
  <c r="D286" i="5"/>
  <c r="D268" i="5"/>
  <c r="D269" i="5"/>
  <c r="D270" i="5"/>
  <c r="D260" i="5"/>
  <c r="D261" i="5"/>
  <c r="D262" i="5"/>
  <c r="D263" i="5"/>
  <c r="D264" i="5"/>
  <c r="D250" i="5"/>
  <c r="D242" i="5"/>
  <c r="D243" i="5"/>
  <c r="D244" i="5"/>
  <c r="D245" i="5"/>
  <c r="D246" i="5"/>
  <c r="D234" i="5"/>
  <c r="D235" i="5"/>
  <c r="D236" i="5"/>
  <c r="D237" i="5"/>
  <c r="D213" i="5"/>
  <c r="D214" i="5"/>
  <c r="D215" i="5"/>
  <c r="D216" i="5"/>
  <c r="D217" i="5"/>
  <c r="D209" i="5"/>
  <c r="D211" i="5"/>
  <c r="D212" i="5"/>
  <c r="D188" i="5"/>
  <c r="D189" i="5"/>
  <c r="D190" i="5"/>
  <c r="D191" i="5"/>
  <c r="D158" i="5"/>
  <c r="D155" i="5"/>
  <c r="D156" i="5"/>
  <c r="D157" i="5"/>
  <c r="D134" i="5"/>
  <c r="D130" i="5"/>
  <c r="D131" i="5"/>
  <c r="D132" i="5"/>
  <c r="D133" i="5"/>
  <c r="D110" i="5"/>
  <c r="D111" i="5"/>
  <c r="D112" i="5"/>
  <c r="D109" i="5"/>
  <c r="D78" i="5"/>
  <c r="D79" i="5"/>
  <c r="D80" i="5"/>
  <c r="D81" i="5"/>
  <c r="D77" i="5"/>
  <c r="D73" i="5"/>
  <c r="D72" i="5"/>
  <c r="D71" i="5"/>
  <c r="D50" i="5"/>
  <c r="D51" i="5"/>
  <c r="D52" i="5"/>
  <c r="D53" i="5"/>
  <c r="D49" i="5"/>
  <c r="D46" i="5"/>
  <c r="D45" i="5"/>
  <c r="H1284" i="4"/>
  <c r="H1443" i="4"/>
  <c r="D1354" i="4"/>
  <c r="H1239" i="4"/>
  <c r="H1153" i="4"/>
  <c r="H1152" i="4"/>
  <c r="H1151" i="4"/>
  <c r="H1150" i="4"/>
  <c r="H1149" i="4"/>
  <c r="H1148" i="4"/>
  <c r="H1126" i="4"/>
  <c r="H1125" i="4"/>
  <c r="H1124" i="4"/>
  <c r="H1127" i="4"/>
  <c r="D163" i="5" s="1"/>
  <c r="H1123" i="4"/>
  <c r="H1102" i="4"/>
  <c r="H1103" i="4"/>
  <c r="H1101" i="4"/>
  <c r="H1104" i="4"/>
  <c r="D154" i="5" s="1"/>
  <c r="H1084" i="4"/>
  <c r="H1083" i="4"/>
  <c r="H1082" i="4"/>
  <c r="H1055" i="4"/>
  <c r="H1047" i="4"/>
  <c r="H998" i="4"/>
  <c r="H1005" i="4"/>
  <c r="H907" i="4"/>
  <c r="H908" i="4"/>
  <c r="H906" i="4"/>
  <c r="H909" i="4"/>
  <c r="D105" i="5" s="1"/>
  <c r="H897" i="4"/>
  <c r="H898" i="4"/>
  <c r="H899" i="4"/>
  <c r="H900" i="4"/>
  <c r="H901" i="4"/>
  <c r="H902" i="4"/>
  <c r="H896" i="4"/>
  <c r="H903" i="4"/>
  <c r="D104" i="5" s="1"/>
  <c r="H832" i="4"/>
  <c r="H866" i="4"/>
  <c r="H867" i="4"/>
  <c r="H868" i="4"/>
  <c r="H869" i="4"/>
  <c r="H870" i="4"/>
  <c r="H871" i="4"/>
  <c r="H872" i="4"/>
  <c r="H873" i="4"/>
  <c r="H874" i="4"/>
  <c r="H875" i="4"/>
  <c r="H876" i="4"/>
  <c r="H865" i="4"/>
  <c r="H877" i="4" s="1"/>
  <c r="D99" i="5" s="1"/>
  <c r="H849" i="4"/>
  <c r="H861" i="4"/>
  <c r="H863" i="4" s="1"/>
  <c r="H850" i="4"/>
  <c r="H851" i="4"/>
  <c r="H852" i="4"/>
  <c r="H853" i="4"/>
  <c r="H854" i="4"/>
  <c r="H855" i="4"/>
  <c r="H856" i="4"/>
  <c r="H857" i="4"/>
  <c r="H858" i="4"/>
  <c r="H859" i="4"/>
  <c r="H860" i="4"/>
  <c r="H746" i="4"/>
  <c r="D70" i="5" s="1"/>
  <c r="H680" i="4"/>
  <c r="D64" i="5" s="1"/>
  <c r="H555" i="4"/>
  <c r="H556" i="4"/>
  <c r="H557" i="4"/>
  <c r="H554" i="4"/>
  <c r="H550" i="4"/>
  <c r="H551" i="4"/>
  <c r="H552" i="4"/>
  <c r="H549" i="4"/>
  <c r="H558" i="4" s="1"/>
  <c r="D60" i="5" s="1"/>
  <c r="H538" i="4"/>
  <c r="H539" i="4"/>
  <c r="H540" i="4"/>
  <c r="H546" i="4"/>
  <c r="D59" i="5" s="1"/>
  <c r="H541" i="4"/>
  <c r="H542" i="4"/>
  <c r="H543" i="4"/>
  <c r="H544" i="4"/>
  <c r="H545" i="4"/>
  <c r="H537" i="4"/>
  <c r="H506" i="4"/>
  <c r="H508" i="4"/>
  <c r="H505" i="4"/>
  <c r="H504" i="4"/>
  <c r="H463" i="4"/>
  <c r="D43" i="5" s="1"/>
  <c r="H433" i="4"/>
  <c r="D42" i="5" s="1"/>
  <c r="H377" i="4"/>
  <c r="D39" i="5" s="1"/>
  <c r="H307" i="4"/>
  <c r="D36" i="5" s="1"/>
  <c r="H300" i="4"/>
  <c r="H299" i="4"/>
  <c r="H298" i="4"/>
  <c r="H294" i="4"/>
  <c r="H292" i="4"/>
  <c r="H291" i="4"/>
  <c r="H297" i="4"/>
  <c r="H275" i="4"/>
  <c r="H274" i="4"/>
  <c r="H273" i="4"/>
  <c r="H199" i="4"/>
  <c r="H197" i="4"/>
  <c r="H184" i="4"/>
  <c r="H176" i="4"/>
  <c r="H175" i="4"/>
  <c r="H128" i="4"/>
  <c r="H123" i="4"/>
  <c r="H122" i="4"/>
  <c r="H121" i="4"/>
  <c r="H120" i="4"/>
  <c r="H119" i="4"/>
  <c r="H124" i="4"/>
  <c r="D27" i="5" s="1"/>
  <c r="H70" i="4"/>
  <c r="H69" i="4"/>
  <c r="H68" i="4"/>
  <c r="H116" i="4" s="1"/>
  <c r="D26" i="5" s="1"/>
  <c r="H67" i="4"/>
  <c r="H114" i="4"/>
  <c r="H36" i="4"/>
  <c r="H37" i="4"/>
  <c r="H38" i="4"/>
  <c r="H64" i="4" s="1"/>
  <c r="D25" i="5" s="1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35" i="4"/>
  <c r="H29" i="4"/>
  <c r="H30" i="4"/>
  <c r="H28" i="4"/>
  <c r="H31" i="4" s="1"/>
  <c r="H24" i="4"/>
  <c r="H25" i="4"/>
  <c r="H23" i="4"/>
  <c r="H26" i="4" s="1"/>
  <c r="D22" i="5" s="1"/>
  <c r="H1477" i="4"/>
  <c r="D282" i="5"/>
  <c r="H1483" i="4"/>
  <c r="D285" i="5" s="1"/>
  <c r="H1481" i="4"/>
  <c r="D284" i="5" s="1"/>
  <c r="H1479" i="4"/>
  <c r="D283" i="5" s="1"/>
  <c r="H1473" i="4"/>
  <c r="H1472" i="4"/>
  <c r="H1466" i="4"/>
  <c r="H1465" i="4"/>
  <c r="H1464" i="4"/>
  <c r="H1467" i="4"/>
  <c r="H1457" i="4"/>
  <c r="H1458" i="4"/>
  <c r="H1459" i="4"/>
  <c r="H1456" i="4"/>
  <c r="H1460" i="4" s="1"/>
  <c r="D276" i="5" s="1"/>
  <c r="H1444" i="4"/>
  <c r="H1442" i="4"/>
  <c r="H1445" i="4" s="1"/>
  <c r="H1441" i="4"/>
  <c r="H1440" i="4"/>
  <c r="H1339" i="4"/>
  <c r="D1334" i="4"/>
  <c r="H1334" i="4" s="1"/>
  <c r="H1333" i="4"/>
  <c r="D1332" i="4"/>
  <c r="H1332" i="4" s="1"/>
  <c r="H1327" i="4"/>
  <c r="D230" i="5" s="1"/>
  <c r="H1329" i="4"/>
  <c r="D231" i="5" s="1"/>
  <c r="H1325" i="4"/>
  <c r="D229" i="5"/>
  <c r="D1316" i="4"/>
  <c r="H1316" i="4" s="1"/>
  <c r="D1314" i="4"/>
  <c r="H1314" i="4" s="1"/>
  <c r="H1321" i="4"/>
  <c r="H1315" i="4"/>
  <c r="H1313" i="4"/>
  <c r="H1342" i="4"/>
  <c r="D233" i="5" s="1"/>
  <c r="H1145" i="4"/>
  <c r="D171" i="5" s="1"/>
  <c r="H1276" i="4"/>
  <c r="D218" i="5" s="1"/>
  <c r="H1300" i="4"/>
  <c r="H1301" i="4"/>
  <c r="D224" i="5" s="1"/>
  <c r="H1285" i="4"/>
  <c r="H1283" i="4"/>
  <c r="H1282" i="4"/>
  <c r="H1286" i="4" s="1"/>
  <c r="H1257" i="4"/>
  <c r="D210" i="5" s="1"/>
  <c r="H1167" i="4"/>
  <c r="H1226" i="4"/>
  <c r="D197" i="5"/>
  <c r="H1222" i="4"/>
  <c r="D195" i="5"/>
  <c r="H1220" i="4"/>
  <c r="D194" i="5" s="1"/>
  <c r="H1224" i="4"/>
  <c r="D196" i="5" s="1"/>
  <c r="H1181" i="4"/>
  <c r="H1182" i="4" s="1"/>
  <c r="D181" i="5" s="1"/>
  <c r="H1180" i="4"/>
  <c r="H1178" i="4"/>
  <c r="H1179" i="4"/>
  <c r="H1177" i="4"/>
  <c r="H1230" i="4"/>
  <c r="D199" i="5" s="1"/>
  <c r="H1186" i="4"/>
  <c r="H1185" i="4"/>
  <c r="H1187" i="4"/>
  <c r="D182" i="5" s="1"/>
  <c r="H1143" i="4"/>
  <c r="D170" i="5" s="1"/>
  <c r="H1141" i="4"/>
  <c r="D169" i="5" s="1"/>
  <c r="H1172" i="4"/>
  <c r="D179" i="5"/>
  <c r="H1166" i="4"/>
  <c r="H1165" i="4"/>
  <c r="H1168" i="4" s="1"/>
  <c r="D177" i="5" s="1"/>
  <c r="H1522" i="4"/>
  <c r="H1521" i="4"/>
  <c r="H1523" i="4"/>
  <c r="D300" i="5" s="1"/>
  <c r="H1096" i="4"/>
  <c r="H1097" i="4" s="1"/>
  <c r="D152" i="5" s="1"/>
  <c r="H1095" i="4"/>
  <c r="H1404" i="4"/>
  <c r="H1408" i="4" s="1"/>
  <c r="D257" i="5" s="1"/>
  <c r="H1405" i="4"/>
  <c r="H1406" i="4"/>
  <c r="H1407" i="4"/>
  <c r="H1403" i="4"/>
  <c r="H1415" i="4"/>
  <c r="D259" i="5"/>
  <c r="H1430" i="4"/>
  <c r="D267" i="5"/>
  <c r="H1241" i="4"/>
  <c r="H1240" i="4"/>
  <c r="H1234" i="4"/>
  <c r="D201" i="5" s="1"/>
  <c r="H1232" i="4"/>
  <c r="D200" i="5" s="1"/>
  <c r="H1228" i="4"/>
  <c r="D198" i="5"/>
  <c r="H1071" i="4"/>
  <c r="H1070" i="4"/>
  <c r="H1068" i="4"/>
  <c r="H1067" i="4"/>
  <c r="H1049" i="4"/>
  <c r="H1356" i="4"/>
  <c r="D241" i="5" s="1"/>
  <c r="H1354" i="4"/>
  <c r="D240" i="5" s="1"/>
  <c r="H1248" i="4"/>
  <c r="D207" i="5" s="1"/>
  <c r="H1246" i="4"/>
  <c r="D206" i="5"/>
  <c r="H1244" i="4"/>
  <c r="D205" i="5"/>
  <c r="H1307" i="4"/>
  <c r="H1306" i="4"/>
  <c r="H1253" i="4"/>
  <c r="D208" i="5" s="1"/>
  <c r="H960" i="4"/>
  <c r="H950" i="4"/>
  <c r="H949" i="4"/>
  <c r="H941" i="4"/>
  <c r="H930" i="4"/>
  <c r="H924" i="4"/>
  <c r="H961" i="4" s="1"/>
  <c r="D106" i="5" s="1"/>
  <c r="H922" i="4"/>
  <c r="H133" i="4"/>
  <c r="H132" i="4"/>
  <c r="H134" i="4" s="1"/>
  <c r="D29" i="5" s="1"/>
  <c r="H879" i="4"/>
  <c r="D100" i="5" s="1"/>
  <c r="H1026" i="4"/>
  <c r="D129" i="5" s="1"/>
  <c r="H1024" i="4"/>
  <c r="D128" i="5"/>
  <c r="H1540" i="4"/>
  <c r="H1541" i="4"/>
  <c r="H1539" i="4"/>
  <c r="H1500" i="4"/>
  <c r="D293" i="5" s="1"/>
  <c r="H1510" i="4"/>
  <c r="H1509" i="4"/>
  <c r="H1511" i="4"/>
  <c r="D295" i="5" s="1"/>
  <c r="H1505" i="4"/>
  <c r="D294" i="5" s="1"/>
  <c r="H1497" i="4"/>
  <c r="H1496" i="4"/>
  <c r="H1498" i="4" s="1"/>
  <c r="D292" i="5" s="1"/>
  <c r="H1495" i="4"/>
  <c r="H1388" i="4"/>
  <c r="H1384" i="4"/>
  <c r="D251" i="5" s="1"/>
  <c r="H1372" i="4"/>
  <c r="H1373" i="4"/>
  <c r="H1374" i="4"/>
  <c r="H1370" i="4"/>
  <c r="H1376" i="4" s="1"/>
  <c r="D249" i="5" s="1"/>
  <c r="H1392" i="4"/>
  <c r="H1391" i="4"/>
  <c r="H1390" i="4"/>
  <c r="H1389" i="4"/>
  <c r="H1393" i="4"/>
  <c r="H1399" i="4" s="1"/>
  <c r="D255" i="5" s="1"/>
  <c r="H1375" i="4"/>
  <c r="H1371" i="4"/>
  <c r="H1546" i="4"/>
  <c r="H1548" i="4" s="1"/>
  <c r="D312" i="5" s="1"/>
  <c r="H1544" i="4"/>
  <c r="D310" i="5"/>
  <c r="H1076" i="4"/>
  <c r="H1075" i="4"/>
  <c r="H1069" i="4"/>
  <c r="H1077" i="4"/>
  <c r="H1078" i="4"/>
  <c r="H1079" i="4" s="1"/>
  <c r="D146" i="5" s="1"/>
  <c r="H1561" i="4"/>
  <c r="D319" i="5" s="1"/>
  <c r="H1559" i="4"/>
  <c r="D318" i="5" s="1"/>
  <c r="H1574" i="4"/>
  <c r="D323" i="5" s="1"/>
  <c r="H495" i="4"/>
  <c r="H490" i="4"/>
  <c r="H494" i="4"/>
  <c r="H509" i="4" s="1"/>
  <c r="D56" i="5" s="1"/>
  <c r="H493" i="4"/>
  <c r="H489" i="4"/>
  <c r="H799" i="4"/>
  <c r="H800" i="4"/>
  <c r="H801" i="4"/>
  <c r="H802" i="4"/>
  <c r="H803" i="4"/>
  <c r="H804" i="4"/>
  <c r="H805" i="4"/>
  <c r="H806" i="4"/>
  <c r="H798" i="4"/>
  <c r="H807" i="4"/>
  <c r="D93" i="5" s="1"/>
  <c r="H979" i="4"/>
  <c r="D113" i="5" s="1"/>
  <c r="H892" i="4"/>
  <c r="H1038" i="4"/>
  <c r="D135" i="5"/>
  <c r="H108" i="4"/>
  <c r="H104" i="4"/>
  <c r="H113" i="4"/>
  <c r="H111" i="4"/>
  <c r="H103" i="4"/>
  <c r="H109" i="4"/>
  <c r="H106" i="4"/>
  <c r="H107" i="4"/>
  <c r="H96" i="4"/>
  <c r="H95" i="4"/>
  <c r="H94" i="4"/>
  <c r="H100" i="4"/>
  <c r="H97" i="4"/>
  <c r="H79" i="4"/>
  <c r="H74" i="4"/>
  <c r="H1006" i="4"/>
  <c r="H1003" i="4"/>
  <c r="D1004" i="4"/>
  <c r="H1004" i="4"/>
  <c r="H1007" i="4" s="1"/>
  <c r="H999" i="4"/>
  <c r="D997" i="4"/>
  <c r="H997" i="4" s="1"/>
  <c r="H996" i="4"/>
  <c r="H1000" i="4" s="1"/>
  <c r="D117" i="5" s="1"/>
  <c r="H984" i="4"/>
  <c r="H985" i="4"/>
  <c r="H986" i="4"/>
  <c r="H987" i="4"/>
  <c r="H988" i="4"/>
  <c r="H989" i="4"/>
  <c r="H990" i="4"/>
  <c r="H991" i="4"/>
  <c r="H992" i="4"/>
  <c r="H983" i="4"/>
  <c r="H993" i="4" s="1"/>
  <c r="D116" i="5" s="1"/>
  <c r="H891" i="4"/>
  <c r="D889" i="4"/>
  <c r="H889" i="4" s="1"/>
  <c r="H890" i="4"/>
  <c r="H888" i="4"/>
  <c r="H887" i="4"/>
  <c r="H1021" i="4"/>
  <c r="D125" i="5"/>
  <c r="H1135" i="4"/>
  <c r="H1200" i="4" s="1"/>
  <c r="H963" i="4"/>
  <c r="D107" i="5"/>
  <c r="H1019" i="4"/>
  <c r="D124" i="5"/>
  <c r="D965" i="4"/>
  <c r="H965" i="4" s="1"/>
  <c r="D108" i="5" s="1"/>
  <c r="H845" i="4"/>
  <c r="H844" i="4"/>
  <c r="H843" i="4"/>
  <c r="H830" i="4"/>
  <c r="H831" i="4"/>
  <c r="H829" i="4"/>
  <c r="F828" i="4"/>
  <c r="H828" i="4" s="1"/>
  <c r="H827" i="4"/>
  <c r="H825" i="4"/>
  <c r="H826" i="4"/>
  <c r="H824" i="4"/>
  <c r="H823" i="4"/>
  <c r="H821" i="4"/>
  <c r="H822" i="4"/>
  <c r="H818" i="4"/>
  <c r="H817" i="4"/>
  <c r="H816" i="4"/>
  <c r="H838" i="4"/>
  <c r="H840" i="4"/>
  <c r="H842" i="4"/>
  <c r="H841" i="4"/>
  <c r="H837" i="4"/>
  <c r="H836" i="4"/>
  <c r="H835" i="4"/>
  <c r="H834" i="4"/>
  <c r="H839" i="4"/>
  <c r="H815" i="4"/>
  <c r="H819" i="4"/>
  <c r="H813" i="4"/>
  <c r="H846" i="4" s="1"/>
  <c r="H820" i="4"/>
  <c r="H814" i="4"/>
  <c r="H886" i="4"/>
  <c r="H812" i="4"/>
  <c r="H1199" i="4"/>
  <c r="H1066" i="4"/>
  <c r="H1072" i="4" s="1"/>
  <c r="D143" i="5" s="1"/>
  <c r="H1054" i="4"/>
  <c r="H1053" i="4"/>
  <c r="H1198" i="4"/>
  <c r="H1138" i="4"/>
  <c r="H1060" i="4"/>
  <c r="H1137" i="4"/>
  <c r="H1052" i="4"/>
  <c r="H1202" i="4"/>
  <c r="H1203" i="4"/>
  <c r="H1201" i="4"/>
  <c r="H1194" i="4"/>
  <c r="H1204" i="4" s="1"/>
  <c r="H1195" i="4"/>
  <c r="H1196" i="4"/>
  <c r="H1197" i="4"/>
  <c r="H1193" i="4"/>
  <c r="H1119" i="4"/>
  <c r="H1118" i="4"/>
  <c r="H1120" i="4"/>
  <c r="H1117" i="4"/>
  <c r="H1121" i="4"/>
  <c r="H1129" i="4" s="1"/>
  <c r="D164" i="5" s="1"/>
  <c r="H1059" i="4"/>
  <c r="H1058" i="4"/>
  <c r="H1061" i="4" s="1"/>
  <c r="H1048" i="4"/>
  <c r="H1050" i="4" s="1"/>
  <c r="D139" i="5" s="1"/>
  <c r="H1115" i="4"/>
  <c r="D161" i="5"/>
  <c r="H756" i="4"/>
  <c r="H757" i="4"/>
  <c r="H755" i="4"/>
  <c r="H754" i="4"/>
  <c r="H758" i="4" s="1"/>
  <c r="D74" i="5" s="1"/>
  <c r="H293" i="4"/>
  <c r="H290" i="4"/>
  <c r="H295" i="4" s="1"/>
  <c r="D34" i="5" s="1"/>
  <c r="H272" i="4"/>
  <c r="H286" i="4"/>
  <c r="D32" i="5"/>
  <c r="H172" i="4"/>
  <c r="H173" i="4"/>
  <c r="H171" i="4"/>
  <c r="H156" i="4"/>
  <c r="H152" i="4"/>
  <c r="H150" i="4"/>
  <c r="H148" i="4"/>
  <c r="H146" i="4"/>
  <c r="H144" i="4"/>
  <c r="H250" i="4" s="1"/>
  <c r="H145" i="4"/>
  <c r="H147" i="4"/>
  <c r="H149" i="4"/>
  <c r="H720" i="4"/>
  <c r="D67" i="5" s="1"/>
  <c r="H632" i="4"/>
  <c r="H624" i="4"/>
  <c r="H659" i="4"/>
  <c r="H661" i="4" s="1"/>
  <c r="H654" i="4"/>
  <c r="H702" i="4"/>
  <c r="H701" i="4"/>
  <c r="H700" i="4"/>
  <c r="H699" i="4"/>
  <c r="H698" i="4"/>
  <c r="H697" i="4"/>
  <c r="H694" i="4"/>
  <c r="H693" i="4"/>
  <c r="H696" i="4"/>
  <c r="H695" i="4"/>
  <c r="H692" i="4"/>
  <c r="H689" i="4"/>
  <c r="H684" i="4"/>
  <c r="H683" i="4"/>
  <c r="H703" i="4" s="1"/>
  <c r="D65" i="5" s="1"/>
  <c r="H686" i="4"/>
  <c r="H687" i="4"/>
  <c r="H688" i="4"/>
  <c r="H690" i="4"/>
  <c r="H691" i="4"/>
  <c r="H685" i="4"/>
  <c r="H665" i="4"/>
  <c r="H666" i="4"/>
  <c r="H667" i="4"/>
  <c r="H664" i="4"/>
  <c r="H668" i="4"/>
  <c r="D63" i="5" s="1"/>
  <c r="H642" i="4"/>
  <c r="H641" i="4"/>
  <c r="H640" i="4"/>
  <c r="H615" i="4"/>
  <c r="H614" i="4"/>
  <c r="H613" i="4"/>
  <c r="H612" i="4"/>
  <c r="H639" i="4"/>
  <c r="H638" i="4"/>
  <c r="H637" i="4"/>
  <c r="H636" i="4"/>
  <c r="H635" i="4"/>
  <c r="H634" i="4"/>
  <c r="H633" i="4"/>
  <c r="H631" i="4"/>
  <c r="H630" i="4"/>
  <c r="H629" i="4"/>
  <c r="H623" i="4"/>
  <c r="H628" i="4"/>
  <c r="H627" i="4"/>
  <c r="H626" i="4"/>
  <c r="H625" i="4"/>
  <c r="H622" i="4"/>
  <c r="H621" i="4"/>
  <c r="H620" i="4"/>
  <c r="H618" i="4"/>
  <c r="H617" i="4"/>
  <c r="H619" i="4"/>
  <c r="H616" i="4"/>
  <c r="H611" i="4"/>
  <c r="H610" i="4"/>
  <c r="H609" i="4"/>
  <c r="H608" i="4"/>
  <c r="H607" i="4"/>
  <c r="H606" i="4"/>
  <c r="H605" i="4"/>
  <c r="H604" i="4"/>
  <c r="H593" i="4"/>
  <c r="H592" i="4"/>
  <c r="H591" i="4"/>
  <c r="H589" i="4"/>
  <c r="H590" i="4"/>
  <c r="H588" i="4"/>
  <c r="H587" i="4"/>
  <c r="H603" i="4"/>
  <c r="H602" i="4"/>
  <c r="H601" i="4"/>
  <c r="H597" i="4"/>
  <c r="H598" i="4"/>
  <c r="H599" i="4"/>
  <c r="H600" i="4"/>
  <c r="H586" i="4"/>
  <c r="H585" i="4"/>
  <c r="H583" i="4"/>
  <c r="H584" i="4"/>
  <c r="H582" i="4"/>
  <c r="H581" i="4"/>
  <c r="H580" i="4"/>
  <c r="H596" i="4"/>
  <c r="H595" i="4"/>
  <c r="H594" i="4"/>
  <c r="H579" i="4"/>
  <c r="H578" i="4"/>
  <c r="H577" i="4"/>
  <c r="H576" i="4"/>
  <c r="H574" i="4"/>
  <c r="H575" i="4"/>
  <c r="H573" i="4"/>
  <c r="H570" i="4"/>
  <c r="H569" i="4"/>
  <c r="H572" i="4"/>
  <c r="H571" i="4"/>
  <c r="H568" i="4"/>
  <c r="H566" i="4"/>
  <c r="H565" i="4"/>
  <c r="H563" i="4"/>
  <c r="H564" i="4"/>
  <c r="H567" i="4"/>
  <c r="H562" i="4"/>
  <c r="H561" i="4"/>
  <c r="H643" i="4" s="1"/>
  <c r="H534" i="4"/>
  <c r="H535" i="4" s="1"/>
  <c r="D58" i="5" s="1"/>
  <c r="H533" i="4"/>
  <c r="H532" i="4"/>
  <c r="H531" i="4"/>
  <c r="H527" i="4"/>
  <c r="H528" i="4"/>
  <c r="H526" i="4"/>
  <c r="H525" i="4"/>
  <c r="H522" i="4"/>
  <c r="H523" i="4"/>
  <c r="H524" i="4"/>
  <c r="H521" i="4"/>
  <c r="H520" i="4"/>
  <c r="H514" i="4"/>
  <c r="H515" i="4"/>
  <c r="H516" i="4"/>
  <c r="H517" i="4"/>
  <c r="H518" i="4"/>
  <c r="H519" i="4"/>
  <c r="H529" i="4" s="1"/>
  <c r="D57" i="5" s="1"/>
  <c r="H512" i="4"/>
  <c r="H513" i="4"/>
  <c r="H511" i="4"/>
  <c r="H503" i="4"/>
  <c r="H507" i="4"/>
  <c r="H500" i="4"/>
  <c r="H501" i="4"/>
  <c r="H502" i="4"/>
  <c r="H496" i="4"/>
  <c r="H497" i="4"/>
  <c r="H491" i="4"/>
  <c r="H492" i="4"/>
  <c r="H498" i="4"/>
  <c r="H499" i="4"/>
  <c r="H786" i="4"/>
  <c r="H785" i="4"/>
  <c r="H784" i="4"/>
  <c r="H783" i="4"/>
  <c r="H782" i="4"/>
  <c r="H781" i="4"/>
  <c r="H775" i="4"/>
  <c r="H776" i="4"/>
  <c r="H777" i="4"/>
  <c r="H778" i="4"/>
  <c r="H779" i="4"/>
  <c r="H780" i="4"/>
  <c r="H774" i="4"/>
  <c r="H773" i="4"/>
  <c r="H787" i="4" s="1"/>
  <c r="D84" i="5" s="1"/>
  <c r="H470" i="4"/>
  <c r="D44" i="5" s="1"/>
  <c r="F392" i="4"/>
  <c r="H392" i="4"/>
  <c r="F391" i="4"/>
  <c r="H391" i="4"/>
  <c r="F390" i="4"/>
  <c r="H390" i="4" s="1"/>
  <c r="F389" i="4"/>
  <c r="H389" i="4"/>
  <c r="F388" i="4"/>
  <c r="H388" i="4"/>
  <c r="F387" i="4"/>
  <c r="H387" i="4"/>
  <c r="F381" i="4"/>
  <c r="H381" i="4"/>
  <c r="F380" i="4"/>
  <c r="H380" i="4"/>
  <c r="F385" i="4"/>
  <c r="H385" i="4"/>
  <c r="F386" i="4"/>
  <c r="H386" i="4" s="1"/>
  <c r="H384" i="4"/>
  <c r="H361" i="4"/>
  <c r="H360" i="4"/>
  <c r="H359" i="4"/>
  <c r="H358" i="4"/>
  <c r="H357" i="4"/>
  <c r="H356" i="4"/>
  <c r="H355" i="4"/>
  <c r="H354" i="4"/>
  <c r="H353" i="4"/>
  <c r="F352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200" i="4"/>
  <c r="H321" i="4"/>
  <c r="H324" i="4"/>
  <c r="H323" i="4"/>
  <c r="H322" i="4"/>
  <c r="H320" i="4"/>
  <c r="H318" i="4"/>
  <c r="H317" i="4"/>
  <c r="H319" i="4"/>
  <c r="H316" i="4"/>
  <c r="H312" i="4"/>
  <c r="H311" i="4"/>
  <c r="H310" i="4"/>
  <c r="H314" i="4"/>
  <c r="H315" i="4"/>
  <c r="H248" i="4"/>
  <c r="H247" i="4"/>
  <c r="H246" i="4"/>
  <c r="H245" i="4"/>
  <c r="H244" i="4"/>
  <c r="H242" i="4"/>
  <c r="H243" i="4"/>
  <c r="H237" i="4"/>
  <c r="H238" i="4"/>
  <c r="H239" i="4"/>
  <c r="H240" i="4"/>
  <c r="H241" i="4"/>
  <c r="H236" i="4"/>
  <c r="H226" i="4"/>
  <c r="H227" i="4"/>
  <c r="H228" i="4"/>
  <c r="H229" i="4"/>
  <c r="H230" i="4"/>
  <c r="H231" i="4"/>
  <c r="H232" i="4"/>
  <c r="H233" i="4"/>
  <c r="H234" i="4"/>
  <c r="H225" i="4"/>
  <c r="H224" i="4"/>
  <c r="H223" i="4"/>
  <c r="H222" i="4"/>
  <c r="H221" i="4"/>
  <c r="H220" i="4"/>
  <c r="H218" i="4"/>
  <c r="H219" i="4"/>
  <c r="H217" i="4"/>
  <c r="H216" i="4"/>
  <c r="H215" i="4"/>
  <c r="H214" i="4"/>
  <c r="H213" i="4"/>
  <c r="H212" i="4"/>
  <c r="H211" i="4"/>
  <c r="H210" i="4"/>
  <c r="H209" i="4"/>
  <c r="H208" i="4"/>
  <c r="H205" i="4"/>
  <c r="H206" i="4"/>
  <c r="H207" i="4"/>
  <c r="H204" i="4"/>
  <c r="H190" i="4"/>
  <c r="H180" i="4"/>
  <c r="H181" i="4"/>
  <c r="H179" i="4"/>
  <c r="H182" i="4"/>
  <c r="H183" i="4"/>
  <c r="H185" i="4"/>
  <c r="H186" i="4"/>
  <c r="H187" i="4"/>
  <c r="H188" i="4"/>
  <c r="H189" i="4"/>
  <c r="H191" i="4"/>
  <c r="H192" i="4"/>
  <c r="H193" i="4"/>
  <c r="H194" i="4"/>
  <c r="H196" i="4"/>
  <c r="H198" i="4"/>
  <c r="H195" i="4"/>
  <c r="H201" i="4"/>
  <c r="H202" i="4"/>
  <c r="H203" i="4"/>
  <c r="H174" i="4"/>
  <c r="H178" i="4"/>
  <c r="H177" i="4"/>
  <c r="H170" i="4"/>
  <c r="H162" i="4"/>
  <c r="H155" i="4"/>
  <c r="H157" i="4"/>
  <c r="H158" i="4"/>
  <c r="H159" i="4"/>
  <c r="H160" i="4"/>
  <c r="H161" i="4"/>
  <c r="H163" i="4"/>
  <c r="H164" i="4"/>
  <c r="H165" i="4"/>
  <c r="H166" i="4"/>
  <c r="H167" i="4"/>
  <c r="H168" i="4"/>
  <c r="H169" i="4"/>
  <c r="H154" i="4"/>
  <c r="H137" i="4"/>
  <c r="H136" i="4"/>
  <c r="H153" i="4"/>
  <c r="H151" i="4"/>
  <c r="H143" i="4"/>
  <c r="H139" i="4"/>
  <c r="H138" i="4"/>
  <c r="H129" i="4"/>
  <c r="H127" i="4"/>
  <c r="H63" i="4"/>
  <c r="H88" i="4"/>
  <c r="H115" i="4"/>
  <c r="H89" i="4"/>
  <c r="H71" i="4"/>
  <c r="H102" i="4"/>
  <c r="H110" i="4"/>
  <c r="H112" i="4"/>
  <c r="H98" i="4"/>
  <c r="H99" i="4"/>
  <c r="H101" i="4"/>
  <c r="H105" i="4"/>
  <c r="H93" i="4"/>
  <c r="H87" i="4"/>
  <c r="H92" i="4"/>
  <c r="H72" i="4"/>
  <c r="H73" i="4"/>
  <c r="H75" i="4"/>
  <c r="H76" i="4"/>
  <c r="H77" i="4"/>
  <c r="H78" i="4"/>
  <c r="H80" i="4"/>
  <c r="H81" i="4"/>
  <c r="H82" i="4"/>
  <c r="H83" i="4"/>
  <c r="H84" i="4"/>
  <c r="H85" i="4"/>
  <c r="H86" i="4"/>
  <c r="H90" i="4"/>
  <c r="H91" i="4"/>
  <c r="H56" i="4"/>
  <c r="H59" i="4"/>
  <c r="H60" i="4"/>
  <c r="H61" i="4"/>
  <c r="H62" i="4"/>
  <c r="H57" i="4"/>
  <c r="H58" i="4"/>
  <c r="H126" i="4"/>
  <c r="H1041" i="4"/>
  <c r="H1040" i="4"/>
  <c r="H1042" i="4" s="1"/>
  <c r="D136" i="5" s="1"/>
  <c r="H1474" i="4"/>
  <c r="D279" i="5" s="1"/>
  <c r="H1542" i="4"/>
  <c r="D309" i="5"/>
  <c r="D311" i="5"/>
  <c r="H1056" i="4"/>
  <c r="D140" i="5"/>
  <c r="D167" i="5"/>
  <c r="H1139" i="4"/>
  <c r="D168" i="5" s="1"/>
  <c r="H140" i="4"/>
  <c r="D30" i="5" s="1"/>
  <c r="H1085" i="4"/>
  <c r="H1099" i="4" s="1"/>
  <c r="D153" i="5" s="1"/>
  <c r="H1154" i="4"/>
  <c r="H1158" i="4" s="1"/>
  <c r="D174" i="5" s="1"/>
  <c r="H362" i="4"/>
  <c r="D37" i="5" s="1"/>
  <c r="H130" i="4"/>
  <c r="D28" i="5"/>
  <c r="H1242" i="4"/>
  <c r="D204" i="5" s="1"/>
  <c r="H1308" i="4"/>
  <c r="H1310" i="4" s="1"/>
  <c r="D226" i="5" s="1"/>
  <c r="H301" i="4"/>
  <c r="D35" i="5" s="1"/>
  <c r="H1515" i="4"/>
  <c r="D297" i="5"/>
  <c r="D147" i="5"/>
  <c r="H1410" i="4"/>
  <c r="D258" i="5"/>
  <c r="D277" i="5"/>
  <c r="H1469" i="4"/>
  <c r="D278" i="5"/>
  <c r="D225" i="5"/>
  <c r="H183" i="10"/>
  <c r="D534" i="5" s="1"/>
  <c r="H1160" i="4"/>
  <c r="D175" i="5"/>
  <c r="H705" i="4" l="1"/>
  <c r="D61" i="5"/>
  <c r="H1288" i="4"/>
  <c r="D220" i="5" s="1"/>
  <c r="D219" i="5"/>
  <c r="H1290" i="4"/>
  <c r="D221" i="5" s="1"/>
  <c r="H1292" i="4"/>
  <c r="D222" i="5" s="1"/>
  <c r="H1294" i="4"/>
  <c r="D223" i="5" s="1"/>
  <c r="H1322" i="4"/>
  <c r="D227" i="5" s="1"/>
  <c r="D23" i="5"/>
  <c r="H33" i="4"/>
  <c r="D24" i="5" s="1"/>
  <c r="H364" i="4"/>
  <c r="D31" i="5"/>
  <c r="H1208" i="4"/>
  <c r="D187" i="5" s="1"/>
  <c r="D185" i="5"/>
  <c r="H1206" i="4"/>
  <c r="D186" i="5" s="1"/>
  <c r="D62" i="5"/>
  <c r="H724" i="4"/>
  <c r="D69" i="5" s="1"/>
  <c r="H1189" i="4"/>
  <c r="D183" i="5" s="1"/>
  <c r="H1063" i="4"/>
  <c r="D142" i="5" s="1"/>
  <c r="H1191" i="4"/>
  <c r="D184" i="5" s="1"/>
  <c r="D141" i="5"/>
  <c r="D96" i="5"/>
  <c r="H1451" i="4"/>
  <c r="D274" i="5" s="1"/>
  <c r="H1449" i="4"/>
  <c r="D273" i="5" s="1"/>
  <c r="D271" i="5"/>
  <c r="H1453" i="4"/>
  <c r="D275" i="5" s="1"/>
  <c r="H1447" i="4"/>
  <c r="D272" i="5" s="1"/>
  <c r="H883" i="4"/>
  <c r="D102" i="5" s="1"/>
  <c r="D98" i="5"/>
  <c r="H393" i="4"/>
  <c r="D40" i="5" s="1"/>
  <c r="H1017" i="4"/>
  <c r="D123" i="5" s="1"/>
  <c r="H1011" i="4"/>
  <c r="D120" i="5" s="1"/>
  <c r="D118" i="5"/>
  <c r="H1013" i="4"/>
  <c r="D121" i="5" s="1"/>
  <c r="H1009" i="4"/>
  <c r="D119" i="5" s="1"/>
  <c r="H1015" i="4"/>
  <c r="D122" i="5" s="1"/>
  <c r="H1340" i="4"/>
  <c r="D232" i="5" s="1"/>
  <c r="H893" i="4"/>
  <c r="D103" i="5" s="1"/>
  <c r="H1091" i="4"/>
  <c r="D150" i="5" s="1"/>
  <c r="H1513" i="4"/>
  <c r="D296" i="5" s="1"/>
  <c r="H1174" i="4"/>
  <c r="D97" i="5"/>
  <c r="H1093" i="4"/>
  <c r="D151" i="5" s="1"/>
  <c r="H1519" i="4"/>
  <c r="D299" i="5" s="1"/>
  <c r="H1397" i="4"/>
  <c r="D254" i="5" s="1"/>
  <c r="H1517" i="4"/>
  <c r="D298" i="5" s="1"/>
  <c r="D252" i="5"/>
  <c r="H1162" i="4"/>
  <c r="D176" i="5" s="1"/>
  <c r="H1525" i="4"/>
  <c r="D301" i="5" s="1"/>
  <c r="H1395" i="4"/>
  <c r="D253" i="5" s="1"/>
  <c r="H1156" i="4"/>
  <c r="D173" i="5" s="1"/>
  <c r="H1133" i="4"/>
  <c r="D166" i="5" s="1"/>
  <c r="H1401" i="4"/>
  <c r="D256" i="5" s="1"/>
  <c r="H1087" i="4"/>
  <c r="D148" i="5" s="1"/>
  <c r="H1131" i="4"/>
  <c r="D165" i="5" s="1"/>
  <c r="D162" i="5"/>
  <c r="H1089" i="4"/>
  <c r="D149" i="5" s="1"/>
  <c r="D172" i="5"/>
  <c r="D38" i="5" l="1"/>
  <c r="H395" i="4"/>
  <c r="D41" i="5" s="1"/>
  <c r="H881" i="4"/>
  <c r="D101" i="5" s="1"/>
  <c r="H1170" i="4"/>
  <c r="D178" i="5" s="1"/>
  <c r="D180" i="5"/>
  <c r="H722" i="4"/>
  <c r="D68" i="5" s="1"/>
  <c r="D6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Dipl.-Ing.S.Batchvarov</author>
    <author>Plamen Velichkov</author>
    <author>Автор</author>
  </authors>
  <commentList>
    <comment ref="B411" authorId="0" shapeId="0" xr:uid="{76F8E9AC-2FDA-4865-9BE1-6399F37E9250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Nazvanie po USN/
Название по УСН</t>
        </r>
      </text>
    </comment>
    <comment ref="B434" authorId="0" shapeId="0" xr:uid="{B751FF97-EA04-453C-B74E-0096F21BF25C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Nazvanie po USN/
Название по УСН</t>
        </r>
      </text>
    </comment>
    <comment ref="B492" authorId="0" shapeId="0" xr:uid="{DEB78AE4-FA62-42D3-AA78-7B997C06F5BB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Nazvanie po USN/
Название по УСН</t>
        </r>
      </text>
    </comment>
    <comment ref="B514" authorId="0" shapeId="0" xr:uid="{C06860BC-25AD-4024-A147-B66588B403C7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Nazvanie po USN/
Название по УСН</t>
        </r>
      </text>
    </comment>
    <comment ref="D792" authorId="1" shapeId="0" xr:uid="{4BFD7304-C684-467F-8AE1-B223AE5731CA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793" authorId="1" shapeId="0" xr:uid="{0313B77F-07CD-40BD-8B1F-49CD62AFAE4C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794" authorId="1" shapeId="0" xr:uid="{D0108268-4CAA-49EE-977F-1F65B0592EE2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795" authorId="1" shapeId="0" xr:uid="{1A3893A9-2637-46C6-A91D-33053F27259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796" authorId="1" shapeId="0" xr:uid="{C05BABF2-EA2C-437E-83CD-A9BB0096A8CF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797" authorId="1" shapeId="0" xr:uid="{A7135B4E-1CFD-4892-916C-7D9AE4AD610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798" authorId="1" shapeId="0" xr:uid="{AB6593F5-EF67-4F35-98F1-2A16759C8F74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799" authorId="1" shapeId="0" xr:uid="{552BFF9F-CD8E-48D7-989E-481BEC7A1B72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00" authorId="1" shapeId="0" xr:uid="{4EE5DC58-FCB6-45C8-89BE-BC2EBD7088DA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01" authorId="1" shapeId="0" xr:uid="{CCE3280A-CDEB-4E34-91F9-262C33EC0480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02" authorId="1" shapeId="0" xr:uid="{9E743563-9C29-4141-8747-357CCF1CDCC0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03" authorId="1" shapeId="0" xr:uid="{CD85B1A6-B9FA-4AFC-9B37-1E4F3A6C0B7E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04" authorId="1" shapeId="0" xr:uid="{2D226A7C-775C-4871-94F2-8928407D14B6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05" authorId="1" shapeId="0" xr:uid="{BEE134C9-2414-4E1C-8BC2-54CBD53EFCAC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06" authorId="1" shapeId="0" xr:uid="{88AE76FC-2B99-41F0-BC46-276393F8EE6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07" authorId="1" shapeId="0" xr:uid="{6A781CBD-BA78-443C-93F2-2A82CF46773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08" authorId="1" shapeId="0" xr:uid="{2464E697-7CE5-4565-9039-08C26ADC3B5C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09" authorId="1" shapeId="0" xr:uid="{ED785C09-F5C2-46BE-870B-F783591D7EAD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10" authorId="1" shapeId="0" xr:uid="{63853C7E-A10E-46F0-A387-C54FECD99C2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11" authorId="1" shapeId="0" xr:uid="{7F4C5AD8-0262-4323-900B-57727B63C0B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12" authorId="1" shapeId="0" xr:uid="{1CF438B1-2DEA-4B6B-8E6A-C6B3FF549A2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13" authorId="1" shapeId="0" xr:uid="{E8D7B3B7-E689-41F7-B876-E5CDEFAAFF9D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14" authorId="1" shapeId="0" xr:uid="{2F18A932-5A5E-4454-A560-DDB43C6F527B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15" authorId="1" shapeId="0" xr:uid="{68B49EE2-0F07-4135-BE6E-DE0A6B8EEFD5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16" authorId="1" shapeId="0" xr:uid="{5523D9F7-F2EA-4ECD-98DD-E6F8B576A9BC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17" authorId="1" shapeId="0" xr:uid="{FE3A9720-EE2D-4806-8612-4C569706830B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18" authorId="1" shapeId="0" xr:uid="{B26B4D81-A76E-4E2C-99A0-4039039C7192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19" authorId="1" shapeId="0" xr:uid="{9E9F056E-7BEE-43FC-8AE2-A6B9BB8C6175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20" authorId="1" shapeId="0" xr:uid="{8B0F3339-17EF-407B-BA37-14F31C9CF69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21" authorId="1" shapeId="0" xr:uid="{CC08C377-9F2B-4F65-B5D8-1CF8C98B5220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22" authorId="1" shapeId="0" xr:uid="{90138AE0-0A33-4FAE-8250-BB74A3A2342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23" authorId="1" shapeId="0" xr:uid="{2C466B3E-CE7D-4C50-A43C-331BC4309B07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24" authorId="1" shapeId="0" xr:uid="{4BD23592-21EB-4721-B524-0994ABEE185F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25" authorId="1" shapeId="0" xr:uid="{65714100-DE4A-4CA2-AFF1-94743480D969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26" authorId="1" shapeId="0" xr:uid="{7EAE233F-8EDB-4F8B-9670-FE47F3410489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27" authorId="1" shapeId="0" xr:uid="{173C42CF-45BC-4FFB-B5D6-6E5295290E05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28" authorId="1" shapeId="0" xr:uid="{4032A869-18B9-4726-A606-BA4AE8DD4158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30" authorId="1" shapeId="0" xr:uid="{1A80920A-C92D-4AFE-99A3-D31212D643F2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31" authorId="1" shapeId="0" xr:uid="{6224D50E-0D6E-49C3-809A-FEBBDAA9CBEE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848" authorId="1" shapeId="0" xr:uid="{A2AD74C7-6E24-49D7-9A51-46FEB2FF9927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954" authorId="1" shapeId="0" xr:uid="{B3B2E99A-6DD0-4849-80B7-6DC45FF5403C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A1380" authorId="2" shapeId="0" xr:uid="{266FBDD1-A7ED-4CE9-94A0-29743608F80D}">
      <text>
        <r>
          <rPr>
            <b/>
            <sz val="9"/>
            <color indexed="81"/>
            <rFont val="Segoe UI"/>
            <family val="2"/>
            <charset val="204"/>
          </rPr>
          <t xml:space="preserve">Автор: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Dipl.-Ing.S.Batchvarov</author>
  </authors>
  <commentList>
    <comment ref="B29" authorId="0" shapeId="0" xr:uid="{284E4EF1-1DDA-4904-AD1B-C4DBB03B9535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Nazvanie po USN/
Название по УСН</t>
        </r>
      </text>
    </comment>
    <comment ref="E29" authorId="0" shapeId="0" xr:uid="{AD1096C9-39B4-450A-8A64-33CC6251130B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Analizna cena/
Анализна цена</t>
        </r>
      </text>
    </comment>
    <comment ref="B54" authorId="0" shapeId="0" xr:uid="{2F836B96-ED15-4873-94BB-FCE7FE768761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Nazvanie po USN/
Название по УСН</t>
        </r>
      </text>
    </comment>
    <comment ref="E54" authorId="0" shapeId="0" xr:uid="{65CBF45A-CDD6-4BB4-BFEE-14F4C8AD2CE1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Analizna cena/
Анализна цена</t>
        </r>
      </text>
    </comment>
    <comment ref="B77" authorId="0" shapeId="0" xr:uid="{C7F78B28-91F6-4C9C-A3E8-A53FA28E0BDC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Nazvanie po USN/
Название по УСН</t>
        </r>
      </text>
    </comment>
    <comment ref="E77" authorId="0" shapeId="0" xr:uid="{4024C305-313B-432D-86E4-92CE3EBAF582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Analizna cena/
Анализна цена</t>
        </r>
      </text>
    </comment>
    <comment ref="B136" authorId="0" shapeId="0" xr:uid="{34AC34C6-E1B1-44A3-B65A-CD73FA0349E7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Nazvanie po USN/
Название по УСН</t>
        </r>
      </text>
    </comment>
    <comment ref="E136" authorId="0" shapeId="0" xr:uid="{5A466B7D-6146-42E2-8BBA-E35309824994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Analizna cena/
Анализна цена</t>
        </r>
      </text>
    </comment>
    <comment ref="B159" authorId="0" shapeId="0" xr:uid="{35086A07-3D70-46CF-9734-5319CCE350C8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Nazvanie po USN/
Название по УСН</t>
        </r>
      </text>
    </comment>
    <comment ref="E159" authorId="0" shapeId="0" xr:uid="{C97F9EFB-926D-4333-9C99-346AB10DCAB1}">
      <text>
        <r>
          <rPr>
            <b/>
            <sz val="8"/>
            <color indexed="81"/>
            <rFont val="Tahoma"/>
            <family val="2"/>
            <charset val="204"/>
          </rPr>
          <t>Dipl.-Ing.S.Batchvarov:</t>
        </r>
        <r>
          <rPr>
            <sz val="8"/>
            <color indexed="81"/>
            <rFont val="Tahoma"/>
            <family val="2"/>
            <charset val="204"/>
          </rPr>
          <t xml:space="preserve">
Analizna cena/
Анализна цена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Plamen Velichkov</author>
  </authors>
  <commentList>
    <comment ref="D11" authorId="0" shapeId="0" xr:uid="{3EC4E33D-BE5D-4327-A3F2-43EE293C592A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12" authorId="0" shapeId="0" xr:uid="{EFFA4A9E-C715-418A-9D8F-AC1E1AD98CF3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13" authorId="0" shapeId="0" xr:uid="{78DD6453-6C7B-488E-AD9C-8AB1D7CB8680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14" authorId="0" shapeId="0" xr:uid="{D4CC6457-7494-44EF-AE18-A5DDCC442290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15" authorId="0" shapeId="0" xr:uid="{27ED2092-7FD0-4EC7-9317-77E04A6B1C69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914D5DF6-62EC-4FDF-A55D-8C7FB0FC677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17" authorId="0" shapeId="0" xr:uid="{A6C9BF6B-7DA9-4577-9DBA-90201CCD49D3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18" authorId="0" shapeId="0" xr:uid="{6697E5F8-AB3F-4CD2-A5AC-CEB85F2A50F7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19" authorId="0" shapeId="0" xr:uid="{FA0008B0-CE0C-40A3-9693-410B1F52F4D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0" authorId="0" shapeId="0" xr:uid="{6C55A9F3-BA1D-4F49-81D2-93C9017D0C40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1" authorId="0" shapeId="0" xr:uid="{60307C43-8079-429F-87AD-DDFEED51B7E7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2" authorId="0" shapeId="0" xr:uid="{15D27026-591E-4191-9BAC-DC3AB743875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3" authorId="0" shapeId="0" xr:uid="{1384E5D0-29C7-43E8-8B49-21191C64303A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4" authorId="0" shapeId="0" xr:uid="{720745A8-6979-4B94-84A3-873CF6695604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5" authorId="0" shapeId="0" xr:uid="{6F447509-3242-418C-B67A-F46A759E87E6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6" authorId="0" shapeId="0" xr:uid="{764FF162-E47D-410B-86E0-C79831AA8695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7" authorId="0" shapeId="0" xr:uid="{F2749C69-9CC9-424D-A09E-B1F9DB2EA196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8" authorId="0" shapeId="0" xr:uid="{02E29006-C1E0-4E7D-93A9-B3D9091DDD42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29" authorId="0" shapeId="0" xr:uid="{D07676E2-7296-40F4-AB94-93FB40D7B25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30" authorId="0" shapeId="0" xr:uid="{7D250732-A46A-4866-AF85-1E6C28D1F827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31" authorId="0" shapeId="0" xr:uid="{47AFD0F1-4B81-4448-B2AA-ADCA42B90B47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32" authorId="0" shapeId="0" xr:uid="{0470A575-56EB-4578-863C-90E9B61E264C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33" authorId="0" shapeId="0" xr:uid="{B6D46749-8C4A-4C1C-BD23-668621A418F9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34" authorId="0" shapeId="0" xr:uid="{8C1FB953-6A08-4042-9D85-28C052258545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35" authorId="0" shapeId="0" xr:uid="{703ABE7C-8076-496A-BC3F-6C2FBEC46FF8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36" authorId="0" shapeId="0" xr:uid="{3C22FC78-0171-48D4-B9B1-C94C53819F00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37" authorId="0" shapeId="0" xr:uid="{1C490750-4289-47A8-851D-5B88F31103B0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38" authorId="0" shapeId="0" xr:uid="{B475D18A-CE98-4057-AA4A-3BAF0BAFBEE6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39" authorId="0" shapeId="0" xr:uid="{6BA9666B-ACAF-43F6-A797-7AC813486175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40" authorId="0" shapeId="0" xr:uid="{38B0DD59-A0A4-427F-800E-7571955066B5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41" authorId="0" shapeId="0" xr:uid="{828D74A7-107D-4AAD-9D13-676C9B272550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42" authorId="0" shapeId="0" xr:uid="{3D4270B2-A83D-469F-907F-A5D63FE3B3A2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43" authorId="0" shapeId="0" xr:uid="{C847D755-BE5F-46AD-BAA6-9EC7A3C6B128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44" authorId="0" shapeId="0" xr:uid="{388B1972-AA1C-4114-A2CA-FEF703F2961A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45" authorId="0" shapeId="0" xr:uid="{F304A35A-3F11-4EEE-B5B7-A6574F98589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46" authorId="0" shapeId="0" xr:uid="{60F23949-3C2E-428E-9CFB-37026F2ACC2D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47" authorId="0" shapeId="0" xr:uid="{C125D9DB-9A74-4D6C-8FB0-8DC16E6A40A1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49" authorId="0" shapeId="0" xr:uid="{7B267240-0767-43EE-AA79-869F0F446C58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50" authorId="0" shapeId="0" xr:uid="{68D540C5-65DF-4534-91D5-4EFD83684212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D69" authorId="0" shapeId="0" xr:uid="{AD1021E1-626E-4B6B-BA08-B3B0B0C60C98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Plamen Velichkov</author>
  </authors>
  <commentList>
    <comment ref="D12" authorId="0" shapeId="0" xr:uid="{F6024F8A-9052-4274-AFC6-87E052B01E85}">
      <text>
        <r>
          <rPr>
            <b/>
            <sz val="8"/>
            <color indexed="81"/>
            <rFont val="Tahoma"/>
            <family val="2"/>
            <charset val="204"/>
          </rPr>
          <t>Plamen Velichkov: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30" authorId="0" shapeId="0" xr:uid="{A55C817C-AF7F-46D8-B5A6-82156B6D0115}">
      <text>
        <r>
          <rPr>
            <b/>
            <sz val="9"/>
            <color indexed="81"/>
            <rFont val="Segoe UI"/>
            <family val="2"/>
            <charset val="204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<sst xmlns="http://schemas.openxmlformats.org/spreadsheetml/2006/main" count="6003" uniqueCount="1444">
  <si>
    <t>ПОДРОБНА КОЛИЧЕСТВЕНА СМЕТКА</t>
  </si>
  <si>
    <t>м2</t>
  </si>
  <si>
    <t>м3</t>
  </si>
  <si>
    <t>Б. Нови СМР</t>
  </si>
  <si>
    <t>бр</t>
  </si>
  <si>
    <t>м</t>
  </si>
  <si>
    <t>Фасадно тръбно скеле</t>
  </si>
  <si>
    <t>№</t>
  </si>
  <si>
    <t>ВИДОВЕ  СМР</t>
  </si>
  <si>
    <t>един. мярка</t>
  </si>
  <si>
    <t>брой подобни части</t>
  </si>
  <si>
    <t>количество общо</t>
  </si>
  <si>
    <t>ширина</t>
  </si>
  <si>
    <t>височина</t>
  </si>
  <si>
    <t>дължина</t>
  </si>
  <si>
    <t>общо :</t>
  </si>
  <si>
    <t>спада се дограма :</t>
  </si>
  <si>
    <t>Част: АС</t>
  </si>
  <si>
    <t>фасада изток</t>
  </si>
  <si>
    <t>фасада юг</t>
  </si>
  <si>
    <t>фасада север</t>
  </si>
  <si>
    <t xml:space="preserve">фасада запад </t>
  </si>
  <si>
    <t>ОБОБЩЕНА КОЛИЧЕСТВЕНА СМЕТКА</t>
  </si>
  <si>
    <t>Монтаж на отводнителни барбакани</t>
  </si>
  <si>
    <t>спада се дограма:</t>
  </si>
  <si>
    <t>ОБЕКТ: Градски минерален и развлекателно рекреационен комплекс, находящ се в УПИ IX-1161, кв. 97 по плана на гр. Хисаря,Община Хисаря, Област Пловдив,
ПИ 77270.504.1161 по КККР на гр. Хисаря</t>
  </si>
  <si>
    <t>фасадна дограма :</t>
  </si>
  <si>
    <t>вътрешна дограма:</t>
  </si>
  <si>
    <t>общо  :</t>
  </si>
  <si>
    <t>Тухлена зидария с d = 8см</t>
  </si>
  <si>
    <t>Тухлена зидария от тухли Poroterm с 
 d = 25см</t>
  </si>
  <si>
    <t>Тухлена зидария с тухли Poroterm с 
d = 12см</t>
  </si>
  <si>
    <t>ел.табло</t>
  </si>
  <si>
    <t>Вътрешна мазилка по стени</t>
  </si>
  <si>
    <t>склад инвентар</t>
  </si>
  <si>
    <t>склад сухи продукти</t>
  </si>
  <si>
    <t>около асансьор и  ел.табло</t>
  </si>
  <si>
    <t>стълбище</t>
  </si>
  <si>
    <t>коридор</t>
  </si>
  <si>
    <t>стълбище към вътр.вход заведение</t>
  </si>
  <si>
    <t>топла връзка</t>
  </si>
  <si>
    <t>кухня и подготвителна</t>
  </si>
  <si>
    <t>отпадъци</t>
  </si>
  <si>
    <t>умивалня</t>
  </si>
  <si>
    <t>хладилна зона</t>
  </si>
  <si>
    <t>битовка</t>
  </si>
  <si>
    <t xml:space="preserve"> WC</t>
  </si>
  <si>
    <t>WС инвалиди</t>
  </si>
  <si>
    <t>лекарски кабинет</t>
  </si>
  <si>
    <t>душ</t>
  </si>
  <si>
    <t>WС</t>
  </si>
  <si>
    <t>преддверие</t>
  </si>
  <si>
    <t>битовка персонал</t>
  </si>
  <si>
    <t>лабор.регенти</t>
  </si>
  <si>
    <t>стая спасител</t>
  </si>
  <si>
    <t>билкова сауна</t>
  </si>
  <si>
    <t>солна стая</t>
  </si>
  <si>
    <t>коридор към терм.зона</t>
  </si>
  <si>
    <t>финладска сауна</t>
  </si>
  <si>
    <t>парна баня</t>
  </si>
  <si>
    <t>технич.пом.СПА</t>
  </si>
  <si>
    <t>технич.помещение</t>
  </si>
  <si>
    <t>умивалня зала</t>
  </si>
  <si>
    <t>фасадна дограма:</t>
  </si>
  <si>
    <t>общо вътрешна мазилка по стени :</t>
  </si>
  <si>
    <t>Вътрешна мазилка по тавани</t>
  </si>
  <si>
    <t>лаборатория реагенти</t>
  </si>
  <si>
    <t xml:space="preserve">WC </t>
  </si>
  <si>
    <t>WC инвалиди</t>
  </si>
  <si>
    <t>WC мъже</t>
  </si>
  <si>
    <t>WC жени</t>
  </si>
  <si>
    <t>техн.помещение</t>
  </si>
  <si>
    <t>зала за консумация</t>
  </si>
  <si>
    <t>сервитьорски офис</t>
  </si>
  <si>
    <t>кухня</t>
  </si>
  <si>
    <t>подготвителна зона</t>
  </si>
  <si>
    <t xml:space="preserve">битовка </t>
  </si>
  <si>
    <t>склад зеленчуци</t>
  </si>
  <si>
    <t>Окачен таван от влагоустойчив гипскартон</t>
  </si>
  <si>
    <t>общо вътр. мазилка по тавани :</t>
  </si>
  <si>
    <t>общо:</t>
  </si>
  <si>
    <t>Настилка от гранитогрес</t>
  </si>
  <si>
    <t>Настилка от антистрип гранитогрес</t>
  </si>
  <si>
    <t>техническо помещение СПА</t>
  </si>
  <si>
    <t>стени WС "жени" и "мъже"</t>
  </si>
  <si>
    <t>Фаянс по стени</t>
  </si>
  <si>
    <t>спада се врата:</t>
  </si>
  <si>
    <t>спадат се врати:</t>
  </si>
  <si>
    <t>WC</t>
  </si>
  <si>
    <t>коридор - термална зона</t>
  </si>
  <si>
    <t>спадат се прозорци - част</t>
  </si>
  <si>
    <t>спада се врата - част:</t>
  </si>
  <si>
    <t>общо фаянс :</t>
  </si>
  <si>
    <t>спада се врата-част:</t>
  </si>
  <si>
    <t>Грундиране по стени и тавани</t>
  </si>
  <si>
    <t>WС жени</t>
  </si>
  <si>
    <t>общо влагоустойчив латекс :</t>
  </si>
  <si>
    <t>Боядисване с интериорен акрилатен латекс ( Клас 1)</t>
  </si>
  <si>
    <t>кухня и подготвителна зона</t>
  </si>
  <si>
    <t>спадат се прозорци:</t>
  </si>
  <si>
    <t>общо интер.акрилатен латекс:</t>
  </si>
  <si>
    <t>Боядисвене с латекс по стени и тавани</t>
  </si>
  <si>
    <t>Боядисване с влагоустойчив латекс по тавани</t>
  </si>
  <si>
    <t xml:space="preserve">преддверие </t>
  </si>
  <si>
    <t xml:space="preserve">душ </t>
  </si>
  <si>
    <t xml:space="preserve">WC мъже </t>
  </si>
  <si>
    <t xml:space="preserve">WС инвалиди </t>
  </si>
  <si>
    <t xml:space="preserve">WС жени </t>
  </si>
  <si>
    <t xml:space="preserve">коридор </t>
  </si>
  <si>
    <t xml:space="preserve">техническо помещение </t>
  </si>
  <si>
    <t>Доставка и монтаж на PVC дограма - цвят антрацит - прозорци и витрини</t>
  </si>
  <si>
    <t>витрина при централно стълбище</t>
  </si>
  <si>
    <t>горен прозорец - подготвителна, склад инвентар</t>
  </si>
  <si>
    <t>витрина неотваряема - лекар.кабинет</t>
  </si>
  <si>
    <t>горен прозорец - съблекални</t>
  </si>
  <si>
    <t>горен прозорец - съблекални, коридор,басейн</t>
  </si>
  <si>
    <t>витрина - заведение бистро,коридор</t>
  </si>
  <si>
    <t>витрина - фитнес, зала</t>
  </si>
  <si>
    <t>витрина  - заведение бистро</t>
  </si>
  <si>
    <t>гише - кухня бистро</t>
  </si>
  <si>
    <t>входна витрина към централно стълбище - двойна врата</t>
  </si>
  <si>
    <t>входна витрина - заведение бистро - двойна врата</t>
  </si>
  <si>
    <t>витрина - горен фикс - зареждане кухня, отпадъци, склад инвентар</t>
  </si>
  <si>
    <t>Доставка и монтаж на дограма - врати</t>
  </si>
  <si>
    <t xml:space="preserve">    - врата единична интериорна 80/200 лява</t>
  </si>
  <si>
    <t xml:space="preserve">    - врата единична интериорна 80/200 дясна</t>
  </si>
  <si>
    <t xml:space="preserve">    - врата единична 100/200 -лява - склад, техн.помещение</t>
  </si>
  <si>
    <t xml:space="preserve">    - врата единична интериорна 90/200 лява</t>
  </si>
  <si>
    <t xml:space="preserve">    - врата единична интериорна 90/200 дясна</t>
  </si>
  <si>
    <t xml:space="preserve">    - двойна врата остъклена 180/210 - вътр.вход бистро, вътр.басейн, фитнес</t>
  </si>
  <si>
    <t xml:space="preserve">    - двойна врата 220/220- метална - техн.помещение</t>
  </si>
  <si>
    <t>изглед - север и запад - входна зона на кота + 3,50</t>
  </si>
  <si>
    <t>изглед - запад - входна зона</t>
  </si>
  <si>
    <t>изглед - изток - входна зона</t>
  </si>
  <si>
    <t>изглед - запад - закрит басейн</t>
  </si>
  <si>
    <t>Жалузи Аl профил - цвят антрацит</t>
  </si>
  <si>
    <t>изглед - юг - закрит басейн</t>
  </si>
  <si>
    <t>около осн.стълбище</t>
  </si>
  <si>
    <t>Тухлена зидария от тухли Poroterm с 
 d = 12см</t>
  </si>
  <si>
    <t>фитнес</t>
  </si>
  <si>
    <t>охрана</t>
  </si>
  <si>
    <t>каса</t>
  </si>
  <si>
    <t xml:space="preserve"> за  душове "жени", вкл. врати 80/200 - общо 7 броя</t>
  </si>
  <si>
    <t xml:space="preserve"> за  душове "мъже" вкл. врати 80/200 - общо 9 броя</t>
  </si>
  <si>
    <t>зона за групова тренировка</t>
  </si>
  <si>
    <t>колони</t>
  </si>
  <si>
    <t>около стълбище</t>
  </si>
  <si>
    <t>коридор към сълекални</t>
  </si>
  <si>
    <t>санитарни възли, душове, преддверие - жени</t>
  </si>
  <si>
    <t>съблекалня жени</t>
  </si>
  <si>
    <t>съблекалня мъже</t>
  </si>
  <si>
    <t>санитарни възли, душове, преддверие - мъже</t>
  </si>
  <si>
    <t>общо вътр. мазилки по стени :</t>
  </si>
  <si>
    <t>коридор и стълбище</t>
  </si>
  <si>
    <t>зала за групови тренировки</t>
  </si>
  <si>
    <t>преддверие с умивалници</t>
  </si>
  <si>
    <t>общо вътр.мазилка по тавани :</t>
  </si>
  <si>
    <t xml:space="preserve">съблекалня жени </t>
  </si>
  <si>
    <t>Окачен таван от гипскартон с височина 50 см от долен ръб ст.бетонна плоча - частично в помещения</t>
  </si>
  <si>
    <t xml:space="preserve">съблекалня мъже </t>
  </si>
  <si>
    <t>душове - 30см под плоча</t>
  </si>
  <si>
    <t>WC + душ инвалиди - 60см под плоча</t>
  </si>
  <si>
    <t>преддверие с умивалници и писоари - 30/60см под плоча</t>
  </si>
  <si>
    <t>преддверие с умивалници - 30/60см под плоча</t>
  </si>
  <si>
    <t>WC - 30см под плоча</t>
  </si>
  <si>
    <t>общо окач.таван влагоуст.гипскартон :</t>
  </si>
  <si>
    <t>чело</t>
  </si>
  <si>
    <t>спадат се врати :</t>
  </si>
  <si>
    <t>душове - жени</t>
  </si>
  <si>
    <t>WC - та - жени</t>
  </si>
  <si>
    <t>WC + душ инвалиди - жени</t>
  </si>
  <si>
    <t>душове - мъже</t>
  </si>
  <si>
    <t>WC - та - мъже</t>
  </si>
  <si>
    <t>WC + душ инвалиди - мъже</t>
  </si>
  <si>
    <t>общо фаянс:</t>
  </si>
  <si>
    <t>спада се частичен окачен таван от гипскартон</t>
  </si>
  <si>
    <t>спада се частичен окач.таван от гипскартон - чело :</t>
  </si>
  <si>
    <t>преддверие с умивалници - жени</t>
  </si>
  <si>
    <t>WC - жени</t>
  </si>
  <si>
    <t>преддверие с умивалници - мъже</t>
  </si>
  <si>
    <t>WC - мъже</t>
  </si>
  <si>
    <t>коридор и хладилна зона</t>
  </si>
  <si>
    <t>вътрешни колони в залата за консумация</t>
  </si>
  <si>
    <t>спада се частичен окачен таван на височ. 20 и 70 см от ст.бет.плоча</t>
  </si>
  <si>
    <t>общо гранитогрес:</t>
  </si>
  <si>
    <t>Монтаж на первази над гумена настилка във фитнес залата</t>
  </si>
  <si>
    <t>спада се отвор за врата :</t>
  </si>
  <si>
    <t>общо первази:</t>
  </si>
  <si>
    <t>Настилка от антистрип гранитогрес - Входна зона</t>
  </si>
  <si>
    <t>Циментова замазка по подове с   d=5см</t>
  </si>
  <si>
    <t>Двуслойна облицовка на колони по системата К253v на Кнауф с по два пласта DF 15mm за постигане на огнеустойчиваст EI 90</t>
  </si>
  <si>
    <t>Доставка и монтаж на стартово блокче модел А4, h = 40см</t>
  </si>
  <si>
    <t xml:space="preserve">Доставка и монтаж на плувен коридор модел  SEUL, D = 100mm, L = 25m,  въже от неръждаема стомана  </t>
  </si>
  <si>
    <t>Полиетиленово фолио</t>
  </si>
  <si>
    <t>спада се :</t>
  </si>
  <si>
    <t>Дренажен слой от чакъл 10-15см</t>
  </si>
  <si>
    <t>Хидроизолационна мембрана</t>
  </si>
  <si>
    <t>Циментова замазка за наклон</t>
  </si>
  <si>
    <t>Дост. и монтаж на водоплътен капак с размери 140/140 за влизане</t>
  </si>
  <si>
    <t>Боядисване с епоксидна боя за басейни</t>
  </si>
  <si>
    <t>компенсаторно</t>
  </si>
  <si>
    <t xml:space="preserve">по окачен таван </t>
  </si>
  <si>
    <t>ДОГРАМА ЗА СГРАДАТА :</t>
  </si>
  <si>
    <t>ФАСАДА :</t>
  </si>
  <si>
    <t>Част: Разрушаване на съществуващи постройки, басейни и други</t>
  </si>
  <si>
    <t>Разрушаване на сгради и басейни с багер-чук - бетонови плочи, греди, стени, колони, основи</t>
  </si>
  <si>
    <t>Разрушаване на сгради и огради с верижен багер - тухлени стени, дървени покривни констр. и др.</t>
  </si>
  <si>
    <t>Разрушавене на съществуващи бетонови плочници с багер</t>
  </si>
  <si>
    <t xml:space="preserve">Натоварване строителни отпадъци и транспорт на депо, включително такса депониране </t>
  </si>
  <si>
    <t>фасада запад - помещения</t>
  </si>
  <si>
    <t>Елемент с облицовка от композитни плочи върху подконструкция скара по детайл</t>
  </si>
  <si>
    <t>фасада запад - закрит басейн</t>
  </si>
  <si>
    <t>Доставка и монтаж на турникети за контрол на достъп</t>
  </si>
  <si>
    <t>Облицовка еталбонд - цвят антрацит</t>
  </si>
  <si>
    <t>фасада юг - помещения</t>
  </si>
  <si>
    <t>около вход и централно стълбище :</t>
  </si>
  <si>
    <t xml:space="preserve">фасада изток : </t>
  </si>
  <si>
    <t>Доставка и монтаж на обемен надпис с подсветка  "Минерален комплекс Хисаря"</t>
  </si>
  <si>
    <t>Дост.и монт на алуминиева ръкохватка - централно стълбище</t>
  </si>
  <si>
    <t>общо ТИ с d= 100 мм :</t>
  </si>
  <si>
    <t>Дост.и монтаж на кутия от метална конструкция с облицовка еталбонд цвят антрацит над врати - фасада запад</t>
  </si>
  <si>
    <t xml:space="preserve">Силиконова мазилка по фасади , вкл.грундиране </t>
  </si>
  <si>
    <t>ПОКРИВ</t>
  </si>
  <si>
    <t>Бетон за наклон</t>
  </si>
  <si>
    <t>Пароизолация</t>
  </si>
  <si>
    <t>Топлоизолация от  XPS с d =120мм</t>
  </si>
  <si>
    <t>Армирана циментова замазка</t>
  </si>
  <si>
    <t>Грундиране с битумен грунд</t>
  </si>
  <si>
    <t>Доставка и полагане на два пласта хидроизолация, горния с посипка</t>
  </si>
  <si>
    <t>Направа на окачен таван по системата  D 112 на Knauf с два пласта DF  по 15  mm за постигане на огнеустойчивост  EI 60</t>
  </si>
  <si>
    <t>към покрив над закрит басейн:</t>
  </si>
  <si>
    <t>към покрив фасада север/изток :</t>
  </si>
  <si>
    <t>Тухлена зидария от тухли Poroterm с 
 d = 25см - борд</t>
  </si>
  <si>
    <t>над стълбища</t>
  </si>
  <si>
    <t>по окачен таван над басейн:</t>
  </si>
  <si>
    <t>Тухлена зидария с d = 8 см</t>
  </si>
  <si>
    <t>отпадъци,складове, умивалня, сервит.офис</t>
  </si>
  <si>
    <t>битовка и WC</t>
  </si>
  <si>
    <t>м/у технич.помещения</t>
  </si>
  <si>
    <t>техн.пом./коридор терм.зона</t>
  </si>
  <si>
    <t>коридор терм.зона</t>
  </si>
  <si>
    <t>хлад.зона/кухня</t>
  </si>
  <si>
    <t>WС мъже/жени</t>
  </si>
  <si>
    <t>WС мъже/жени/инвалиди</t>
  </si>
  <si>
    <t>коридор към термална зона</t>
  </si>
  <si>
    <t>лекар.каб и душ/ коридор към битовка</t>
  </si>
  <si>
    <t>битовка персонал/ коридор към битовка</t>
  </si>
  <si>
    <t>сол.стая,билк.стая,корид./техн.пом., корид.терм.зона</t>
  </si>
  <si>
    <t>финл.сауна/коридор терм.зона</t>
  </si>
  <si>
    <t>финл.сауна/скл.инвентар</t>
  </si>
  <si>
    <t>парна баня /техн.пом.</t>
  </si>
  <si>
    <t>парна баня/финл.сауна</t>
  </si>
  <si>
    <t>парна баня/коридор терм.зона</t>
  </si>
  <si>
    <t>техн.пом./склад инвентар</t>
  </si>
  <si>
    <t>склад инвентар/коридор</t>
  </si>
  <si>
    <t>склад инвентар/басейн</t>
  </si>
  <si>
    <t>спада се прозорец лекар.каб.</t>
  </si>
  <si>
    <t>Щендерна стена от панели Aquapanel - около парна баня и технич.помещ.</t>
  </si>
  <si>
    <t>Дост.и монтаж на водосточни тръби</t>
  </si>
  <si>
    <t>Фасадно осветление екстериорен аплик, насочен нагоре и надолу</t>
  </si>
  <si>
    <t>фасада север/изток - около вход</t>
  </si>
  <si>
    <t>под</t>
  </si>
  <si>
    <t>стени</t>
  </si>
  <si>
    <t>Дост.и монтаж на стълба за басейн  - дъно басейн 130 см</t>
  </si>
  <si>
    <t>Дост.и монтаж на стълба за басейн  - дъно басейн 180 см</t>
  </si>
  <si>
    <t>Доставка и монтаж на подпрозоречни дъски,  оборудвани със странични алуминиеви бордове, кант за монтаж към дограмата, уплътнителна лента , водооткапващ кант и анкериращи държачи</t>
  </si>
  <si>
    <t>Шпахловка и грундиране по стени и тавани</t>
  </si>
  <si>
    <t>Възложител: Община Хисаря</t>
  </si>
  <si>
    <r>
      <rPr>
        <b/>
        <sz val="11"/>
        <rFont val="Tahoma"/>
        <family val="2"/>
        <charset val="204"/>
      </rPr>
      <t>Топлоизолационна система с експандиран полистирен EPS с d= 100 мм, и коефициент на топлопроводност</t>
    </r>
    <r>
      <rPr>
        <b/>
        <sz val="11"/>
        <color indexed="10"/>
        <rFont val="Tahoma"/>
        <family val="2"/>
        <charset val="204"/>
      </rPr>
      <t xml:space="preserve"> не по-висок от  λ = 0,033 W/m²K</t>
    </r>
    <r>
      <rPr>
        <b/>
        <sz val="11"/>
        <rFont val="Tahoma"/>
        <family val="2"/>
        <charset val="204"/>
      </rPr>
      <t xml:space="preserve"> върху външни стени,  вкл.лепилен слой , шпахловка, укрепваща мрежа и дюбелиране </t>
    </r>
  </si>
  <si>
    <t>Въже  Weber.sis от полиетиленова пяна</t>
  </si>
  <si>
    <t>Еластично лепило за плочки  Weber.хerm 858 (Dietermann KM flex) или Weber.соl Екстра флекс</t>
  </si>
  <si>
    <t>Еластична фугираща смес Weber.fug 877 (Cerinol flex) или Weber.color Перфект</t>
  </si>
  <si>
    <t>Санитарен силикон Weber.fug 880 (Plastikol FDS )</t>
  </si>
  <si>
    <t>Монтаж полистирол с d = 5 см във фугата</t>
  </si>
  <si>
    <t>EPOXYPRIMER-500 двукомп., епоксиден грунд на водна основа</t>
  </si>
  <si>
    <t>ISOFLEX-PU 500 полиуретанова хидроизолациoнна мембрана армирана с полиестерен плат (3 слоя)</t>
  </si>
  <si>
    <t>EPOMAX-PL двукомпонентно епоксидно лепило, опесъчен с кварцов пясък последен слой</t>
  </si>
  <si>
    <t>JOINT TAPE FPO 250 термопластична хидроизолационна лента</t>
  </si>
  <si>
    <t>CELLUFILL полиур. въже за ограничаване дълбочината на фугата</t>
  </si>
  <si>
    <t>Полагане на геотекстил върху уплътнена земна основа</t>
  </si>
  <si>
    <t>Полагане на трошен камък</t>
  </si>
  <si>
    <t>Армирана ст.бетонова настилка</t>
  </si>
  <si>
    <t>Шлайфан бетон с противохлъзгаща структура</t>
  </si>
  <si>
    <t>Подложен бетон</t>
  </si>
  <si>
    <t>Монтаж алуминиев парапет с h = 95 см - ръкохватка ф5 см, колонки ф 4 см, долна тръба ф 3 см и тръба ф 16</t>
  </si>
  <si>
    <t>Дост. и монтаж на водоплътен капак с размери 80/80 за влизане</t>
  </si>
  <si>
    <t>филтърно помещение</t>
  </si>
  <si>
    <t>помещ.химикали</t>
  </si>
  <si>
    <t>Дост. и монтаж на водоплътен капак с размери 130/130 за влизане</t>
  </si>
  <si>
    <t>Компенсаторно, филтърно помещ. и помещ. химикали - ВЪНШЕН БАСЕЙН ВЪЗРАСТНИ</t>
  </si>
  <si>
    <t>Компенсаторно и филтърно помещение - ДЕТСКИ БАСЕЙН</t>
  </si>
  <si>
    <t>Дост. и монтаж на водоплътен капак с размери 100/100 за влизане</t>
  </si>
  <si>
    <t>ПОМПЕНО ПОМЕЩЕНИЕ</t>
  </si>
  <si>
    <t xml:space="preserve">Направа на проходен отвор на височ. 100мм от к.г.п. в стена и монтаж на декоративна решетка 200/100мм за осигур.приток на свеж въздух от общото помещение -  за сауните </t>
  </si>
  <si>
    <t>Подсигуряване на вентилационна фуга с минимална височина 20мм под крилото на вратата на сауните</t>
  </si>
  <si>
    <t>Обработка на дилтационна фуга :</t>
  </si>
  <si>
    <t>Покривно остъкляване над стълбище</t>
  </si>
  <si>
    <t>FLEX PU-2K двукомпонентен полиуретанов пълнител за фуги</t>
  </si>
  <si>
    <t>Обработка на дилтационна фуга - покрив :</t>
  </si>
  <si>
    <t>I. Сграда</t>
  </si>
  <si>
    <r>
      <t xml:space="preserve">ПОМЕЩЕНИЯ НА КОТА </t>
    </r>
    <r>
      <rPr>
        <b/>
        <u/>
        <sz val="11"/>
        <color indexed="8"/>
        <rFont val="Tahoma"/>
        <family val="2"/>
        <charset val="204"/>
      </rPr>
      <t>+</t>
    </r>
    <r>
      <rPr>
        <b/>
        <sz val="11"/>
        <color indexed="8"/>
        <rFont val="Tahoma"/>
        <family val="2"/>
        <charset val="204"/>
      </rPr>
      <t xml:space="preserve"> 0,00</t>
    </r>
  </si>
  <si>
    <t>Възглавница от отсевки</t>
  </si>
  <si>
    <t>Топлоизолация от XPS с d = 5см</t>
  </si>
  <si>
    <t>ПОМЕЩЕНИЯ НА КОТА + 3,45</t>
  </si>
  <si>
    <t>Направа на конструкция от влагоустойчив гипскартон с d = 5см - инсталационни пакети в санитар.помещения</t>
  </si>
  <si>
    <t>фасада запад - помещения:</t>
  </si>
  <si>
    <t>към покрив север/запад/юг:</t>
  </si>
  <si>
    <t>към покрив басейн -запад :</t>
  </si>
  <si>
    <t>към покрив фасада изток :</t>
  </si>
  <si>
    <t>ВЪНШЕН БАСЕЙН ВЪЗРАСТНИ, ДЖАКУЗИ И ОТКРИТ БАР</t>
  </si>
  <si>
    <t>под басейн</t>
  </si>
  <si>
    <t>под джакузи</t>
  </si>
  <si>
    <t>Изравнителна замазка</t>
  </si>
  <si>
    <t>Високоеластично лепило за плочки</t>
  </si>
  <si>
    <t>по стени басейн</t>
  </si>
  <si>
    <t>по стени джакузи</t>
  </si>
  <si>
    <t>Седалка монолитна h=85см d=40см</t>
  </si>
  <si>
    <t>Рюкванд</t>
  </si>
  <si>
    <t>Бар стол</t>
  </si>
  <si>
    <t>Полагане на винилова спортна настилка върху гладка замазка в зала за групови тренировки</t>
  </si>
  <si>
    <t>Полагане на EPDM гумена настилка на рула за фитнес-зала - почистване на основата, изравняване, подсушаване и залепване с полиуретаново лепило</t>
  </si>
  <si>
    <t>ЗАКРИТ БАСЕЙН :</t>
  </si>
  <si>
    <t>БАСЕЙН :</t>
  </si>
  <si>
    <t>Дренажен слой от чакъл 10-15см - под дъно басейн и компенсаторно, филтърно</t>
  </si>
  <si>
    <t>Възглавница от отсевки върху уплътнен обратен насип - площ около басейн( обходни пътеки), без компенсаторно, филтърно</t>
  </si>
  <si>
    <t>басейн</t>
  </si>
  <si>
    <t>Топлоизолация от XPS 5см - площ около басейн (обходни пътеки), без компенсаторно, филтърно</t>
  </si>
  <si>
    <t>Полиетиленово фолио - площ около басейн (обходни пътеки), без компенсаторно, филтърно</t>
  </si>
  <si>
    <t>Хидроизолационна мембрана под басейн, компенсаторно, филтърно</t>
  </si>
  <si>
    <t>компенсаторно, филтърно</t>
  </si>
  <si>
    <t>дъно</t>
  </si>
  <si>
    <t>Циментова замазка за наклон - компенсаторно, филтърно помещ. и помещ. химикали</t>
  </si>
  <si>
    <t>Дост. и монтаж на водоплътен капак с размери 140/140 за влизане - компенсаторно, филтърно помещ. и помещ. химикали</t>
  </si>
  <si>
    <t>Шпахловка по стени и окачен таван - закрит басейн</t>
  </si>
  <si>
    <t>компенсаторно, филтърно помещ. и помещ. химикали :</t>
  </si>
  <si>
    <t>Боядисване с латекс по стени  - закрит басейн</t>
  </si>
  <si>
    <t>Грундиране по стени - закрит басейн</t>
  </si>
  <si>
    <t>Дост.и монтаж врата 100/200 - за помещение химикали</t>
  </si>
  <si>
    <t>Преливни улеи на закрит басейн:</t>
  </si>
  <si>
    <t>Оформяне на отвор 100/70 за влизане в резервоара</t>
  </si>
  <si>
    <t>Дренажен слой от трошен камък/чакъл (15–20 см)</t>
  </si>
  <si>
    <t>Насипване на почвен слой 90см - остров</t>
  </si>
  <si>
    <t>Преливен улей на външен басейн възрастни :</t>
  </si>
  <si>
    <t>Кресло масаж вграждане единично, 
А - 316, ( 10mm ) (единично )  ( бетон )</t>
  </si>
  <si>
    <t>Дост.и монт. дюза Magna за вани и SPA - двоен въртящ се поток</t>
  </si>
  <si>
    <t>Оформяне на отвори 15/20 см за отводняване в дъното на преливния улей</t>
  </si>
  <si>
    <t xml:space="preserve"> ДЕТСКИ БАСЕЙН с водни съоръжения на открито</t>
  </si>
  <si>
    <t>Боядисване с епоксидна боя за басейни - компенсаторно</t>
  </si>
  <si>
    <t xml:space="preserve">под </t>
  </si>
  <si>
    <t>Грунд преди шпакловка по дъно и стени компенсаторно</t>
  </si>
  <si>
    <t>Грунд преди хидроизолация по дъно и стени компенсаторно</t>
  </si>
  <si>
    <t>Еластична армирана лента TERABAND за укрепване на ъглите при хидроизолация, ширина 120мм</t>
  </si>
  <si>
    <t>Еластична хидроизолация MAPELASTIC – двукомпонентна хидроизолационна мембрана по дъно и стени -компенсаторно</t>
  </si>
  <si>
    <t>Мрежа от фибровлакна за вграждане в хидроизолационния слой  -компенсаторно</t>
  </si>
  <si>
    <t>Еластична армирана лента TERABAND за укрепване на ъглите при хидроизолация, ширина 120мм  -компенсаторно</t>
  </si>
  <si>
    <r>
      <t>Шпакловка</t>
    </r>
    <r>
      <rPr>
        <sz val="11"/>
        <rFont val="Tahoma"/>
        <family val="2"/>
        <charset val="204"/>
      </rPr>
      <t xml:space="preserve"> </t>
    </r>
    <r>
      <rPr>
        <b/>
        <sz val="11"/>
        <rFont val="Tahoma"/>
        <family val="2"/>
        <charset val="204"/>
      </rPr>
      <t>по дъно и стени компенсаторно</t>
    </r>
  </si>
  <si>
    <t>Грунд преди шпакловка по дъно и стени - компенсаторно</t>
  </si>
  <si>
    <t>Грунд преди хидроизолация по дъно и стени  - компенсаторно</t>
  </si>
  <si>
    <t>Еластична хидроизолация MAPELASTIC – двукомпонентна хидроизолационна мембрана по дъно и стени  - компенсаторно</t>
  </si>
  <si>
    <t>Мрежа от фибровлакна за вграждане в хидроизолационния слой - компенсаторно</t>
  </si>
  <si>
    <r>
      <t>Шпакловка</t>
    </r>
    <r>
      <rPr>
        <sz val="11"/>
        <rFont val="Tahoma"/>
        <family val="2"/>
        <charset val="204"/>
      </rPr>
      <t xml:space="preserve"> </t>
    </r>
    <r>
      <rPr>
        <b/>
        <sz val="11"/>
        <rFont val="Tahoma"/>
        <family val="2"/>
        <charset val="204"/>
      </rPr>
      <t>по дъно и стени  - компенсаторно</t>
    </r>
  </si>
  <si>
    <t>Гранитогрес по под филтърно помещение</t>
  </si>
  <si>
    <t xml:space="preserve">Грунд преди хидроизолация по дъно и стени - компенсаторно  </t>
  </si>
  <si>
    <t xml:space="preserve">Еластична хидроизолация MAPELASTIC – двукомпонентна хидроизолационна мембрана по дъно и стени - компенсаторно  </t>
  </si>
  <si>
    <t xml:space="preserve">Мрежа от фибровлакна за вграждане в хидроизолационния слой - компенсаторно  </t>
  </si>
  <si>
    <t xml:space="preserve">Еластична армирана лента TERABAND за укрепване на ъглите при хидроизолация, ширина 120мм  - компенсаторно  </t>
  </si>
  <si>
    <r>
      <t>Шпакловка</t>
    </r>
    <r>
      <rPr>
        <sz val="11"/>
        <rFont val="Tahoma"/>
        <family val="2"/>
        <charset val="204"/>
      </rPr>
      <t xml:space="preserve"> </t>
    </r>
    <r>
      <rPr>
        <b/>
        <sz val="11"/>
        <rFont val="Tahoma"/>
        <family val="2"/>
        <charset val="204"/>
      </rPr>
      <t xml:space="preserve">по дъно и стени - компенсаторно </t>
    </r>
  </si>
  <si>
    <t xml:space="preserve">Боядисване с епоксидна боя за басейни- компенсаторно  </t>
  </si>
  <si>
    <t>Дост.и монт.метална стълба за достъп</t>
  </si>
  <si>
    <t xml:space="preserve">Облицовка по дъно и стени на басейн, вкл. подводно стъпало с порцеланови плочки  245x120x7.8mm, облицовъчни, гладки, цвят СВЕТЛОСИН </t>
  </si>
  <si>
    <t>Облицовка по подводно стъпало с релефна плочка със заоблен ръб 245x120 mm, цвят BLUE-COBALT</t>
  </si>
  <si>
    <t>Оформяне на подводно стъпало</t>
  </si>
  <si>
    <t>Оформяне на стъпало до кота + 0,25</t>
  </si>
  <si>
    <t>Облицовка за първи и втори ред по борд и външна стена на къси страни на басейна - Релефна плочка SERA POOL 245x120 mm, цвят NATURAL</t>
  </si>
  <si>
    <t xml:space="preserve"> борд (стъпало до кота + 0,25)</t>
  </si>
  <si>
    <t>Облицовка - за първи ред по преливен борд басейн - Предна плочка, с-ма FINLANDES 245x120mm,цвят NAT-COBALT</t>
  </si>
  <si>
    <t>Облицовка - за втори ред по преливен борд басейн - Релефна плочка SERA POOL 245x120 mm, цвят NATURAL</t>
  </si>
  <si>
    <t>Облицовка по коридори дъно и стени  - Порцеланова плочка 245x120x7.8mm, облицовъчна, гладка, цвят COBALT</t>
  </si>
  <si>
    <t>по стени басейн :</t>
  </si>
  <si>
    <t>по дъно басейн :</t>
  </si>
  <si>
    <t>Замазка по преливен борд на басейна</t>
  </si>
  <si>
    <t>Замазка по заден борд на басейна за монтаж на винкел</t>
  </si>
  <si>
    <t>Замазка по дъно преливен улей за задаване на  наклон 0,5%</t>
  </si>
  <si>
    <t xml:space="preserve">Замазка по бет. стъпала </t>
  </si>
  <si>
    <t xml:space="preserve">Решетка за преливен улей  модел KNIT-30, материал PP, ширина 295 mm, H=22mm. </t>
  </si>
  <si>
    <t xml:space="preserve">Винкел за от PVC за полагане на решетки, размер 23x23mm за преливен улей </t>
  </si>
  <si>
    <t>Насип от чакъл - под остров</t>
  </si>
  <si>
    <t>Насип от фракция трошен камък - под остров</t>
  </si>
  <si>
    <t>по дъно басейн</t>
  </si>
  <si>
    <t>Грунд преди шпакловка по дъно и стени басейн и преливни улеи</t>
  </si>
  <si>
    <r>
      <t>Шпакловка</t>
    </r>
    <r>
      <rPr>
        <sz val="11"/>
        <rFont val="Tahoma"/>
        <family val="2"/>
        <charset val="204"/>
      </rPr>
      <t xml:space="preserve"> </t>
    </r>
    <r>
      <rPr>
        <b/>
        <sz val="11"/>
        <rFont val="Tahoma"/>
        <family val="2"/>
        <charset val="204"/>
      </rPr>
      <t>по дъно и стени басейн и преливни улеи</t>
    </r>
  </si>
  <si>
    <t>Грунд преди хидроизолация по дъно и стени басейн и преливни улеи</t>
  </si>
  <si>
    <t>Еластична хидроизолация MAPELASTIC – двукомпонентна хидроизолационна мембрана по дъно и стени- басейн и преливни улеи</t>
  </si>
  <si>
    <t>Мрежа от фибровлакна за вграждане в хидроизолационния слой - басейн и преливни улеи</t>
  </si>
  <si>
    <t>Еластична армирана лента TERABAND за укрепване на ъглите при хидроизолация, ширина 120мм - басейн и преливни улеи</t>
  </si>
  <si>
    <t>по преливни улеи</t>
  </si>
  <si>
    <t>Оформяне на стъпало за сядане в джакузи с ширина 50см и височина 45см от дъно джакузи</t>
  </si>
  <si>
    <t>Оформяне на стъпала 18/30/110 -180 - за джакузи</t>
  </si>
  <si>
    <t xml:space="preserve">Оформяне на стъпала 15/32/340 - 545 - външен басейн </t>
  </si>
  <si>
    <t>Оформяне на подводно стъпало на кота - 0,20</t>
  </si>
  <si>
    <t>Оформяне на подводно стъпало на кота - 0,70</t>
  </si>
  <si>
    <t>Оформяне на подводно стъпало на кота - 1,05</t>
  </si>
  <si>
    <t>Оформяне на подводно стъпало на кота - 0,90</t>
  </si>
  <si>
    <t>Оформяне на стъпала 18/30/160 - до открит бар</t>
  </si>
  <si>
    <t>Оформяне на стъпала 18/30/120 - вътре в открит бар</t>
  </si>
  <si>
    <t>Шпакловка по дъно и стени басейн, компенсаторен резервоар и преливен улей</t>
  </si>
  <si>
    <t>Грунд преди хидроизолация по дъно и стени басейн и преливен улей</t>
  </si>
  <si>
    <t>Еластична хидроизолация MAPELASTIC – двукомпонентна хидроизолационна мембрана по дъно и стени басейн и преливен улей</t>
  </si>
  <si>
    <t>Мрежа от фибровлакна за вграждане в хидроизолационния слой  - басейн и преливен улей</t>
  </si>
  <si>
    <t xml:space="preserve">дъно басейн </t>
  </si>
  <si>
    <t>дъно джакузи</t>
  </si>
  <si>
    <t>дъно преливен улей</t>
  </si>
  <si>
    <t>стени джакузи</t>
  </si>
  <si>
    <t>Грунд преди шпакловка по дъно и стени басейн, джакузи и преливен улей</t>
  </si>
  <si>
    <t>стени преливен улей</t>
  </si>
  <si>
    <t>стени басейн, вкл.остров</t>
  </si>
  <si>
    <t>Еластична армирана лента TERABAND за укрепване на ъглите при хидроизолация, ширина 120мм - басейн, джакузи и преливен улей</t>
  </si>
  <si>
    <t>джакузи</t>
  </si>
  <si>
    <t>остров</t>
  </si>
  <si>
    <t>преливен улей</t>
  </si>
  <si>
    <t>Изравнителна замазка по дъно - басейн</t>
  </si>
  <si>
    <t xml:space="preserve">Стъклокерамика 25x25mm, PolyBond силиконови връзки  </t>
  </si>
  <si>
    <t>По бордове и стълби - Стъклокерамика ANTISLIP 25x25mm, PolyBond силиконови връзки</t>
  </si>
  <si>
    <t>Решетки за преливен улей модел KNIT-35, материал PP, ширина 345 mm, H=22mm.</t>
  </si>
  <si>
    <t>Винкел от PVC за преливен улей за полагане на решетки, размер 23x23mm</t>
  </si>
  <si>
    <t>по бордове</t>
  </si>
  <si>
    <t>по стълби джакузи</t>
  </si>
  <si>
    <t>стълби до открит бар</t>
  </si>
  <si>
    <t>подводно стъпало на кота - 0,20</t>
  </si>
  <si>
    <t>подводно стъпало на кота - 0,70</t>
  </si>
  <si>
    <t>подводно стъпало на кота - 0,90</t>
  </si>
  <si>
    <t>подводно стъпало на кота - 1,05</t>
  </si>
  <si>
    <t>по стълби за басейн :</t>
  </si>
  <si>
    <t>Замазка по бет. стъпала и пейки</t>
  </si>
  <si>
    <t xml:space="preserve">по стъпало за сядане в джакузи </t>
  </si>
  <si>
    <t>ОТКРИТ БАР</t>
  </si>
  <si>
    <t>Оформяне на стъпала 15/30/120см  от кота -0,90 до кота 0,00</t>
  </si>
  <si>
    <t>Бар плот на две нива с h = 110см и ширина 30 см</t>
  </si>
  <si>
    <t>Работен плот  на две нива с h = 95см и ширина 60см</t>
  </si>
  <si>
    <t>Дост.и монтаж на водни съоръжения, съобразени за възрастта - бебешки басейн</t>
  </si>
  <si>
    <t>Дост.и монтаж на водни съоръжения, съобразени за възрастта - детски басейн</t>
  </si>
  <si>
    <t>дъно басейн</t>
  </si>
  <si>
    <t>бебешки басейн</t>
  </si>
  <si>
    <t>Оформяне на подводно стъпало от кота - 0,20 до кота - 0,50</t>
  </si>
  <si>
    <t>подводно стъпало от кота - 0,20 до кота - 0,50</t>
  </si>
  <si>
    <t>стени детски басейн</t>
  </si>
  <si>
    <t>стени бебешки басейн</t>
  </si>
  <si>
    <t>Еластична армирана лента TERABAND за укрепване на ъглите при хидроизолация, ширина 120мм - басейн и преливен улей</t>
  </si>
  <si>
    <t>Грунд преди шпакловка по дъно и стени басейн и преливен улей</t>
  </si>
  <si>
    <t>Шпакловка по дъно и стени басейн и преливен улей</t>
  </si>
  <si>
    <t>детски басейн</t>
  </si>
  <si>
    <t>Преливен улей на детски басейн  :</t>
  </si>
  <si>
    <t>Решетки за преливен улей модел KNIT-25, материал PP, ширина 245 mm, H=22mm</t>
  </si>
  <si>
    <t>Гранитогрес по под помпено помещение</t>
  </si>
  <si>
    <t>Ст.бетонова колона, облицована с композитни плочи</t>
  </si>
  <si>
    <t>РАМПА ЗА ЗАРЕЖДАНЕ НА ЗАВЕДЕНИЕ ЗА ХРАНЕНЕ</t>
  </si>
  <si>
    <t>Конструкция от влагоустойчив гипскартон с d = 5см - инсталационни пакети в санитар.помещения</t>
  </si>
  <si>
    <t>спада се: остров</t>
  </si>
  <si>
    <t>Преградни стени от HPL с d = 2см за  WC "мъже" и  WC "жени", вкл. врати 80/200 - общо 10 броя</t>
  </si>
  <si>
    <t>Окачен таван от гипскартон с височина 20см от долен ръб ст.бетонна плоча - частично в зала за консумация - заведение</t>
  </si>
  <si>
    <t>Окачен таван от гипскартон с височина 70см от долен ръб ст.бетонна плоча - частично в зала за консумация - заведение</t>
  </si>
  <si>
    <t>спада се фасадна дограма :</t>
  </si>
  <si>
    <t>Преградни стени от HPL с d = 2см за  душове</t>
  </si>
  <si>
    <t>Монтаж на ПВЦ ъглов профил по ръбове страници дограма отвън</t>
  </si>
  <si>
    <t xml:space="preserve">Доставка и монтаж на водооткапващ профил </t>
  </si>
  <si>
    <r>
      <t>Обръщане на фасадна дограма</t>
    </r>
    <r>
      <rPr>
        <b/>
        <sz val="11"/>
        <color indexed="10"/>
        <rFont val="Tahoma"/>
        <family val="2"/>
        <charset val="204"/>
      </rPr>
      <t xml:space="preserve"> с ХPS 3см с λ≤0,033W/mK </t>
    </r>
    <r>
      <rPr>
        <b/>
        <sz val="11"/>
        <rFont val="Tahoma"/>
        <family val="2"/>
        <charset val="204"/>
      </rPr>
      <t>, вкл. укрепваща мрежа, дюбелиране и шпахловка</t>
    </r>
  </si>
  <si>
    <t>Силиконова мазилка по  страници прозорци, вкл.грундиране</t>
  </si>
  <si>
    <t>към фасада север</t>
  </si>
  <si>
    <t>Доставка и монтаж на окачена фасада АL профил - цвят антрацит, съгл.схеми и арх. детайли</t>
  </si>
  <si>
    <t>изглед - юг - входна зона на кота + 3,50</t>
  </si>
  <si>
    <t>фасада юг - над прозорци помещения на кота 3,50</t>
  </si>
  <si>
    <t>Дост.и монтаж на алуминиев парапет с h = 1,05м - централен вход</t>
  </si>
  <si>
    <t>Дост.и монтаж на парапет с h = 1,05м - вътрешно стълбище</t>
  </si>
  <si>
    <t>спада се покривно остъкляване</t>
  </si>
  <si>
    <t>Дост.и монтаж на покривни термопанели с d =10см върху конструкция - съгл. констр. проект</t>
  </si>
  <si>
    <t>Настилка от антистрип гранитогрес по обходни пътеки (около басейн)</t>
  </si>
  <si>
    <t>Циментова замазка с d= 5см по под -обходни пътеки (около басейн)</t>
  </si>
  <si>
    <t>Окачен таван от гипскартон на 
Н =2,50м от к.г.п.</t>
  </si>
  <si>
    <t>Шапка от метал.конструкция, облицована с композитни плочи</t>
  </si>
  <si>
    <t>дъно преливни улеи</t>
  </si>
  <si>
    <t>преливни улеи - стени</t>
  </si>
  <si>
    <t>Предпазен алуминиев парапет с 
h = 1,05м между бебешки и детски басейн</t>
  </si>
  <si>
    <t>11а</t>
  </si>
  <si>
    <t>Вътр.мазилка по таван на парна баня - с извита форма или подходящ наклон, за сигуряване на отвеждането на конденза</t>
  </si>
  <si>
    <t>Вътрешна мазилка по таван на парна баня - с извита форма или подходящ наклон, за сигуряване на отвеждането на конденза</t>
  </si>
  <si>
    <t>Фасадна стена- щендерна конструкция - облицовка с гипсфазерни плоскости  Vidiwoll HI - 15mm</t>
  </si>
  <si>
    <t>Топлоизолация по фасадна щендерна стена с  ЕPS с d= 15 см</t>
  </si>
  <si>
    <t>Топлоизолация по стена с минерална вата с d= 12см</t>
  </si>
  <si>
    <t>Паропреграда</t>
  </si>
  <si>
    <t>Монт. на пожароустойчиви плоскости от гипскартон  VidiFire А1 -15 mm по стени - двустранно</t>
  </si>
  <si>
    <r>
      <t xml:space="preserve">Топлоизолационна система с екструдиран полистирен </t>
    </r>
    <r>
      <rPr>
        <b/>
        <sz val="11"/>
        <color indexed="10"/>
        <rFont val="Tahoma"/>
        <family val="2"/>
        <charset val="204"/>
      </rPr>
      <t xml:space="preserve">ХPS с d= 120 мм </t>
    </r>
    <r>
      <rPr>
        <b/>
        <sz val="11"/>
        <rFont val="Tahoma"/>
        <family val="2"/>
        <charset val="204"/>
      </rPr>
      <t xml:space="preserve">и коефициент на топлопроводност не по-висок от </t>
    </r>
    <r>
      <rPr>
        <b/>
        <sz val="11"/>
        <color indexed="10"/>
        <rFont val="Tahoma"/>
        <family val="2"/>
        <charset val="204"/>
      </rPr>
      <t xml:space="preserve"> λ = 0,033 W/m²K</t>
    </r>
    <r>
      <rPr>
        <b/>
        <sz val="11"/>
        <rFont val="Tahoma"/>
        <family val="2"/>
        <charset val="204"/>
      </rPr>
      <t xml:space="preserve"> ,  вкл.лепилен слой , шпахловка, укрепваща мрежа и дюбелиране 
- </t>
    </r>
    <r>
      <rPr>
        <b/>
        <sz val="12"/>
        <rFont val="Tahoma"/>
        <family val="2"/>
        <charset val="204"/>
      </rPr>
      <t xml:space="preserve">по еркери </t>
    </r>
  </si>
  <si>
    <t>Гранитогрес по под на филтърно помещ. и помещ. химикали</t>
  </si>
  <si>
    <t>Гранитогрес по под на филтърно помещение и помещение химикали</t>
  </si>
  <si>
    <t>ОБЕКТ: Градски минерален и развлекателно рекреационен комплекс, находящ се в УПИ IX-1161, кв. 97 по плана на гр. Хисаря,Община Хисаря, Област Пловдив, ПИ 77270.504.1161 по КККР на гр. Хисаря</t>
  </si>
  <si>
    <t>ТОПЛА КУХНЯ</t>
  </si>
  <si>
    <t>Доставка и монтаж на хладилник N=0,20kW</t>
  </si>
  <si>
    <t>Доставка и монтаж на фризер N=0,25kW</t>
  </si>
  <si>
    <t>Даставка и монтаж на фризер СЖП N=0,25kW</t>
  </si>
  <si>
    <t>Доставка и монтаж на вертикална изложбена хладилник витрина за газирани напитки и вода N=0,20kW</t>
  </si>
  <si>
    <t>Доставка и монтаж на складов стелаж</t>
  </si>
  <si>
    <t>Доставка и монтаж на плот крайстенен с двугнездна мивка за месо и пилета с р-ри 2600/600/850мм</t>
  </si>
  <si>
    <t>Доставка и монтаж на плот крайстенен с едногнездна мивка за риба с р-ри 1700/600/850мм</t>
  </si>
  <si>
    <t>Доставка и монтаж на плот крайстенен с едногнездна мивка за зеленчук с р-ри 1700/600/850мм</t>
  </si>
  <si>
    <t>Доставка и монтаж на плот крайстенен с едногнездна мивка за зподготовка яйца с р-ри 900/500/850мм</t>
  </si>
  <si>
    <t>Доставка и монтаж на пластмасова скара</t>
  </si>
  <si>
    <t>Доставка и монтаж на зеленчукорезачна машина</t>
  </si>
  <si>
    <t>Доставка и монтаж на контейнер с капак</t>
  </si>
  <si>
    <t>Доставка и монтаж на подплотов хладилник N=0,20kW</t>
  </si>
  <si>
    <t>Доставка и монтаж на плот крайстенен с р -ри 600/800/850мм</t>
  </si>
  <si>
    <t>Доставка и монтаж на плот крайстенен с р-ри 700/800/850мм</t>
  </si>
  <si>
    <t>Доставка и монтаж на плот крайстенен с р-ри 800/800/850мм</t>
  </si>
  <si>
    <t>Доставка и монтаж на плот помощен с р-ри 800/800/500мм</t>
  </si>
  <si>
    <t>Доставка и монтаж на плот помощен с р-ри 1000/800/500мм</t>
  </si>
  <si>
    <t>Доставка и монтаж на плот крайстенен с р-ри 250/700/850мм</t>
  </si>
  <si>
    <t>Доставка и монтаж на плот крайстенен с умивален басейн за измивайне на кухненски съдове с р-ри 1000/700/850мм</t>
  </si>
  <si>
    <t>Доставка и монтаж на плот крайстенен с р-ри 300/700/850мм</t>
  </si>
  <si>
    <t>Доставка и монтаж на плот крайстенен с р-ри 800/700/550мм</t>
  </si>
  <si>
    <t>Доставка и монтаж на плот крайстенен с р-ри 700/700/550мм</t>
  </si>
  <si>
    <t>Доставка и монтаж на плот крайстенен с р-ри 250/550/850мм</t>
  </si>
  <si>
    <t>Доставка и монтаж на плот крайстенен с р-ри 700/600/850мм</t>
  </si>
  <si>
    <t>Доставка и монтаж на плот крайстенен с р-ри 1700/600/850мм</t>
  </si>
  <si>
    <t>Доставка и монтаж на плот крайстенен с р-ри 1300/600/850мм</t>
  </si>
  <si>
    <t>Доставка и монтаж на плот крайстенен с р-ри 1900/600/850мм</t>
  </si>
  <si>
    <t>Доставка и монтаж на плот крайстенен с р-ри 800/600/850мм</t>
  </si>
  <si>
    <t>Доставка и монтаж на плот крайстенен с отвор за контейнер за отпадъци  р-ри 600/600/850мм</t>
  </si>
  <si>
    <t>Доставка и монтаж на плот крайстенен едногнездна мивка с р-ри 2800/600/850мм</t>
  </si>
  <si>
    <t>Доставка и монтаж на ел. конвектомат N=15kW</t>
  </si>
  <si>
    <t>Доставка и монтаж на скара комбинирана-гладка и тръбна N=8kW</t>
  </si>
  <si>
    <t xml:space="preserve">Доставка и монтаж на безконтактна мивка </t>
  </si>
  <si>
    <t>Доставка и монтаж на фритюрник  двугнезден N=2*5kW</t>
  </si>
  <si>
    <t>Доставка и монтаж на котлон газов с четири котлона</t>
  </si>
  <si>
    <t>Доставка и монтаж на микровълнова печка</t>
  </si>
  <si>
    <t>Доставка и монтаж везна електронна</t>
  </si>
  <si>
    <t>Доставка и монтаж на подвижна скара за тави</t>
  </si>
  <si>
    <t>Доставка и монтаж на микровълнова фурна</t>
  </si>
  <si>
    <t>Доставка и монтаж на касов апарат с фискална памет</t>
  </si>
  <si>
    <t>Доставка и монтаж на колонка за наливна бира</t>
  </si>
  <si>
    <t>Доставка и монтаж на ледогенератор</t>
  </si>
  <si>
    <t>Доставка и монтаж на кафемашина с две букси и кафемелачка</t>
  </si>
  <si>
    <t>Доставка и монтаж на рукванд L=1900мм</t>
  </si>
  <si>
    <t>Доставка и монтаж на апарат за минерална вода</t>
  </si>
  <si>
    <t>Доставка и монтаж на комбайн за бар, неръждаем-ледотрошачка, сокоизтисквачка,миксер и щейкър</t>
  </si>
  <si>
    <t>Направа  и монтаж на бар-плот с двугнездна мивка по арх. детайл</t>
  </si>
  <si>
    <t>Доставка и монтаж на келнерски шкаф</t>
  </si>
  <si>
    <t xml:space="preserve">Доставка и монтаж на шкаф за  дезинфекционни препарати </t>
  </si>
  <si>
    <t>Доставка и монтаж на гардеробчета</t>
  </si>
  <si>
    <t>ВЪНШЕН МОКЪР БЮФЕТ</t>
  </si>
  <si>
    <t>Направа  и монтаж на бар-плот с три мивка по арх. детайл</t>
  </si>
  <si>
    <t>Доставка и монтаж на подплотов хладилнис</t>
  </si>
  <si>
    <t>Доставка и монтаж на блендер</t>
  </si>
  <si>
    <t>Доставка и монтаж на фрапе машина</t>
  </si>
  <si>
    <t>Доставка и монтаж на преса за цитросови плодове</t>
  </si>
  <si>
    <t>Доставка и монтаж на преса затвърди плодове</t>
  </si>
  <si>
    <t>Доставка и монтаж на контейнер за отпадъци с капак</t>
  </si>
  <si>
    <t>Доставка и монтаж на рукванд по арх. детайл</t>
  </si>
  <si>
    <t xml:space="preserve"> КОЛИЧЕСТВЕНА СМЕТКА</t>
  </si>
  <si>
    <t xml:space="preserve">  бр.</t>
  </si>
  <si>
    <t>бр.</t>
  </si>
  <si>
    <t xml:space="preserve">ВИДОВЕ  СМР </t>
  </si>
  <si>
    <t>ПЛУВЕН БАСЕЙН</t>
  </si>
  <si>
    <t xml:space="preserve">Климатична камера - конструкции от алуминиеви профили и изолирани страници с дебелина 45мм, прахово покритие, включваща термопомпен агрегат, Scroll компресор Copeland с
</t>
  </si>
  <si>
    <t>1.Дебит 14500м3/ч</t>
  </si>
  <si>
    <t>2. Капацитет на изсушаване 99кг/ч</t>
  </si>
  <si>
    <t>Нагнетателна част:</t>
  </si>
  <si>
    <t>* секция смесителна с 3бр ПЖР</t>
  </si>
  <si>
    <t>* секция филтърна касетъчна с клас на филтрация G3</t>
  </si>
  <si>
    <t xml:space="preserve"> * Секция рекуператорна с пластинчат рекуператор "въздух-въздух" притежаващ EUROVENT сертификат № 03.01.242 к-т с байпас и кондензна вана</t>
  </si>
  <si>
    <t xml:space="preserve"> * Сенция топлообменна с изпарител/кондензатор с капацитет на изсушаване 99кг/ч</t>
  </si>
  <si>
    <t>* секция отоплителна с топлообменник от медни тръби и алуминиеви ламели с Qот=158кВт /вода 80/60оС/</t>
  </si>
  <si>
    <t xml:space="preserve"> * Секция вентилаторна нагнетателна с дебит V=14500м3/ч, Нсв=400Ра, к-т с центробежен вентилатор с директно куплиран двигател тип Plug fan</t>
  </si>
  <si>
    <t>3. Ел. мощност N=65,7 Kw</t>
  </si>
  <si>
    <t>Смукателна част:</t>
  </si>
  <si>
    <t>* секция смесителна с  ПЖР</t>
  </si>
  <si>
    <t xml:space="preserve"> * Секция вентилаторна смукателна с дебит V=14500м3/ч, Нсв=400Ра, к-т с центробежен вентилатор с директно куплиран двигател тип Plug fan</t>
  </si>
  <si>
    <t>Камерата е оборудвана със система за автоматичво регулиране включваща:</t>
  </si>
  <si>
    <t xml:space="preserve">  * честотни регулатори,       </t>
  </si>
  <si>
    <t xml:space="preserve">   * температурни датчици,    </t>
  </si>
  <si>
    <t xml:space="preserve">  * диференциален пресостат за филтър,   </t>
  </si>
  <si>
    <t xml:space="preserve">  * диференционален пресостат за наличие на въздушен поток,   </t>
  </si>
  <si>
    <t xml:space="preserve"> * ел задвижки за ПЖР,   </t>
  </si>
  <si>
    <t xml:space="preserve">  * трипътен регулиращ вентил за отоплителна секция с ел задвижка,    </t>
  </si>
  <si>
    <t xml:space="preserve"> * свободно програмируем контролер тип DDC,   </t>
  </si>
  <si>
    <t xml:space="preserve"> * ел табло</t>
  </si>
  <si>
    <t xml:space="preserve"> * пуск</t>
  </si>
  <si>
    <t>Решетка вентилационна стенна хоризонтална с регулираща секция с р-ри 625х225</t>
  </si>
  <si>
    <t>Решетка вентилационна стенна хоризонтална с регулираща секция с р-ри 1200х250</t>
  </si>
  <si>
    <t>Неподвижна жалузийна решетка НЖР 1500х1000</t>
  </si>
  <si>
    <t>Шапка/зонт/ШП1200/600</t>
  </si>
  <si>
    <t>Мека връзка 1265х515</t>
  </si>
  <si>
    <t>Мека връзка 1180х1205</t>
  </si>
  <si>
    <t>Мека връзка 1265х614</t>
  </si>
  <si>
    <t>Шумозаглушител 1200х800</t>
  </si>
  <si>
    <t xml:space="preserve">Въздуховоди от поцинкована ламарина правоъгълни прави </t>
  </si>
  <si>
    <t>Въздуховоди от поцинкована ламарина правоъгълни фасонни</t>
  </si>
  <si>
    <t>Spiro въздуховоди ф315</t>
  </si>
  <si>
    <t>Spiro въздуховоди ф400</t>
  </si>
  <si>
    <t>Spiro въздуховоди ф450</t>
  </si>
  <si>
    <t>Spiro въздуховоди ф500</t>
  </si>
  <si>
    <t>Spiro въздуховоди ф560</t>
  </si>
  <si>
    <t>Spiro въздуховоди ф630</t>
  </si>
  <si>
    <t>Spiro въздуховоди ф710</t>
  </si>
  <si>
    <t>Spiro въздуховоди ф800</t>
  </si>
  <si>
    <t>Spiro въздуховоди ф900</t>
  </si>
  <si>
    <t>Spiro въздуховоди ф1000</t>
  </si>
  <si>
    <t>Коляно ф315</t>
  </si>
  <si>
    <t>Коляно ф710</t>
  </si>
  <si>
    <t>Коляно ф1000</t>
  </si>
  <si>
    <t>Преход ф315/ф400</t>
  </si>
  <si>
    <t>Преход ф400/ф450</t>
  </si>
  <si>
    <t>Преход ф400/ф500</t>
  </si>
  <si>
    <t>Преход ф450/ф500</t>
  </si>
  <si>
    <t>Преход ф500/ф560</t>
  </si>
  <si>
    <t>Преход ф560/ф630</t>
  </si>
  <si>
    <t>Преход ф630/ф710</t>
  </si>
  <si>
    <t>Преход ф710/ф800</t>
  </si>
  <si>
    <t>Преход ф800/ф900</t>
  </si>
  <si>
    <t>Преход ф900/ф1000</t>
  </si>
  <si>
    <t>Преход ф710/600/600</t>
  </si>
  <si>
    <t>Преход ф1000/1200/600</t>
  </si>
  <si>
    <t>Клапи регулиращи уплътнени ф710</t>
  </si>
  <si>
    <t>Изолация за въздуховоди от микропореста гума 30мм и Al фолио</t>
  </si>
  <si>
    <t xml:space="preserve">Металоконструкция </t>
  </si>
  <si>
    <t>кг</t>
  </si>
  <si>
    <t>Механизация за монтаж на климатичната камера</t>
  </si>
  <si>
    <t>Механизация за монтаж на въздуховоди</t>
  </si>
  <si>
    <t>Изрязване на отвори във въздуховоди за решетки</t>
  </si>
  <si>
    <t>Единични изпитания на вентилатори</t>
  </si>
  <si>
    <t>Комплексни изпитания на климатична инсталация</t>
  </si>
  <si>
    <t>72-часова проба на климатична инсталация</t>
  </si>
  <si>
    <t>Механична наладка и ефективни измервания на климатична инсталация</t>
  </si>
  <si>
    <t>ЗАЛА ХРАНЕНЕ</t>
  </si>
  <si>
    <t>Рекуперативен термопомпен блок</t>
  </si>
  <si>
    <t>1.Дебит-2400m3/h</t>
  </si>
  <si>
    <t>2.Пълна отоплителна мощност=31,6 kW</t>
  </si>
  <si>
    <t>3.Пълна охладителна мощност=19,7 kW</t>
  </si>
  <si>
    <t>4,Напор=350Pa</t>
  </si>
  <si>
    <t>5,Е=70%</t>
  </si>
  <si>
    <t>Решетка вентилационна стенна хоризонтална с регулираща секция с р-ри 425х225</t>
  </si>
  <si>
    <t>Решетка жалузийна неподвижна НЖР 1000х500</t>
  </si>
  <si>
    <t>Филтърна касета тип Универсал</t>
  </si>
  <si>
    <t>Вентилатор канален V=700м3/час, H=300Pa</t>
  </si>
  <si>
    <t>Мека връзка 600х400</t>
  </si>
  <si>
    <t>Мека връзка ф250</t>
  </si>
  <si>
    <t>Противопожарна клапа 550х300</t>
  </si>
  <si>
    <t>Шумозаглушител канален правоъгълен 600х400</t>
  </si>
  <si>
    <t>Шапка/зонт/ тип ШП 600/300</t>
  </si>
  <si>
    <t>Шумозаглушител канален цилиндричен ф250 L=500мм</t>
  </si>
  <si>
    <t>Въздуховоди от поцинкована ламарина правоъгълни прави Р=1200мм</t>
  </si>
  <si>
    <t>Въздуховоди от поцинкована ламарина правоъгълни прави Р=2700мм</t>
  </si>
  <si>
    <t>Въздуховоди от поцинкована ламарина правоъгълни фасонни Р=1200мм</t>
  </si>
  <si>
    <t>Въздуховоди от поцинкована ламарина правоъгълни фасонни Р=2700мм</t>
  </si>
  <si>
    <t>Въздуховоди от поцинкована ламаринакръгли прави ф=160мм</t>
  </si>
  <si>
    <t>Въздуховоди от поцинкована ламаринакръгли прави ф=200мм</t>
  </si>
  <si>
    <t>Въздуховоди от поцинкована ламаринакръгли прави ф=250мм</t>
  </si>
  <si>
    <t>Коляно от поцинкована ламаринакръгли прави ф=160мм</t>
  </si>
  <si>
    <t>Коляно от поцинкована ламаринакръгли прави ф=250мм</t>
  </si>
  <si>
    <t>Металоконструкция</t>
  </si>
  <si>
    <t xml:space="preserve">Механизация за монтаж </t>
  </si>
  <si>
    <t>Комплексни изпитания на  инсталация</t>
  </si>
  <si>
    <t>72-часова проба на инсталация</t>
  </si>
  <si>
    <t>Механична наладка и ефективни измервания на  инсталация</t>
  </si>
  <si>
    <t>Вентилатор канален V=2500м3/час, K=300Pa</t>
  </si>
  <si>
    <t>Ел. нагревателна панела.N=6kW</t>
  </si>
  <si>
    <t>Вентилатор центробежен ниско налягане V=2600м3/час, H=350Pa</t>
  </si>
  <si>
    <t>Смукател кухненски крайстенен-СК-К</t>
  </si>
  <si>
    <t>Шумозаглушителна кутия</t>
  </si>
  <si>
    <t>Шапка/зонт/ тип ШП400/400</t>
  </si>
  <si>
    <t>Мека връзка 400/400</t>
  </si>
  <si>
    <t>Мека връзка 700/400</t>
  </si>
  <si>
    <t>Клапи регулиращи ф160</t>
  </si>
  <si>
    <t>Клапи регулиращи P300/150</t>
  </si>
  <si>
    <t>Решетка вентилационна стенна хоризонтална с регулираща секция с р-ри 825х325</t>
  </si>
  <si>
    <t>Неподвижна жалузийна решетка НЖР 1000х500</t>
  </si>
  <si>
    <t>Противопожарна клапа 400х400</t>
  </si>
  <si>
    <t xml:space="preserve">Решетка смукателна тип КРС 100 </t>
  </si>
  <si>
    <t xml:space="preserve">Решетка смукателна тип КРС 160 </t>
  </si>
  <si>
    <t>Решетка смукателна тип КРН 250</t>
  </si>
  <si>
    <t>СЪБЛЕКАЛНЯ ЖЕНИ</t>
  </si>
  <si>
    <t>Шапка/зонт/ тип ШП 500/300</t>
  </si>
  <si>
    <t>СЪБЛЕКАЛНЯ МЪЖЕ</t>
  </si>
  <si>
    <t>ЗАТВОРЕНИ ПОМЕЩЕНИЯ</t>
  </si>
  <si>
    <t>1.Дебит-1500m3/h</t>
  </si>
  <si>
    <t>2.Пълна отоплителна мощност=18,2 kW</t>
  </si>
  <si>
    <t>3.Пълна охладителна мощност=8,7 kW</t>
  </si>
  <si>
    <t>5,Е=705</t>
  </si>
  <si>
    <t>Решетка вентилационна стенна хоризонтална с регулираща секция с р-ри 425х125</t>
  </si>
  <si>
    <t>Решетка жалузийна неподвижна НЖР 500х500</t>
  </si>
  <si>
    <t>Мека връзка 400х400</t>
  </si>
  <si>
    <t>Шумозаглушител канален правоъгълен 400х400</t>
  </si>
  <si>
    <t>Шапка/зонт/ тип ШП 300/300</t>
  </si>
  <si>
    <t xml:space="preserve">WC КЪМ СЪБЛЕКАЛНЯ МЪЖЕ </t>
  </si>
  <si>
    <t>Канален вентилатор V=1250м3/ч, H=250Pa</t>
  </si>
  <si>
    <t>Таванна решетка ф 200</t>
  </si>
  <si>
    <t>Шапка /зонт/ ШК315</t>
  </si>
  <si>
    <t>Мека връзка ф 315</t>
  </si>
  <si>
    <t>Клапи регулиращи уплътнени ф200</t>
  </si>
  <si>
    <t>Клапи регулиращи уплътнени ф250</t>
  </si>
  <si>
    <t>Коляно ф200</t>
  </si>
  <si>
    <t>Тройник ф200/ф200/ф200</t>
  </si>
  <si>
    <t>Тройник ф250/ф200/ф315</t>
  </si>
  <si>
    <t>РVС тръба ф200</t>
  </si>
  <si>
    <t>мл</t>
  </si>
  <si>
    <t>РVС тръба ф250</t>
  </si>
  <si>
    <t>РVС тръба ф315</t>
  </si>
  <si>
    <t>Скоби за тръба РVС ф200</t>
  </si>
  <si>
    <t>Скоби за тръба РVС ф250</t>
  </si>
  <si>
    <t>Скоби за тръба РVС ф315</t>
  </si>
  <si>
    <t>WC КЪМ СЪБЛЕКАЛНЯ ЖЕНИ</t>
  </si>
  <si>
    <t>Канален вентилатор V=1100м3/ч, H=250Pa</t>
  </si>
  <si>
    <t>Канален вентилатор V=510м3/ч, H=250Pa</t>
  </si>
  <si>
    <t>Битов вентилатор за бани с автоматични жалузи с V=90м3/ч</t>
  </si>
  <si>
    <t>Шапка /зонт/ ШК110</t>
  </si>
  <si>
    <t>Клапи регулиращи уплътнени ф160</t>
  </si>
  <si>
    <t>Коляно ф110</t>
  </si>
  <si>
    <t>Коляно ф160</t>
  </si>
  <si>
    <t>Коляно ф250</t>
  </si>
  <si>
    <t>Тройник ф160/ф160/ф160</t>
  </si>
  <si>
    <t>Тройник ф110/ф110/ф110</t>
  </si>
  <si>
    <t>РVС тръба ф110</t>
  </si>
  <si>
    <t>РVС тръба ф160</t>
  </si>
  <si>
    <t>Скоби за тръба РVС ф110</t>
  </si>
  <si>
    <t>Скоби за тръба РVС ф160</t>
  </si>
  <si>
    <t>WC МЪЖЕ КЪМ ВЪНШЕН БАСЕЙН</t>
  </si>
  <si>
    <t>Меки връзки за канален вентилатор ф200</t>
  </si>
  <si>
    <t>Решетка смукателна Ф200</t>
  </si>
  <si>
    <t>Тройник РVС ф200/ф200/ф200</t>
  </si>
  <si>
    <t>Коляно РVС ф200</t>
  </si>
  <si>
    <t>Шапка /зонт/ ШК 200</t>
  </si>
  <si>
    <t>Комплексни изпитания на вентилационна инсталация</t>
  </si>
  <si>
    <t>72-часова проба на вентилационна инсталация</t>
  </si>
  <si>
    <t>Механична наладка и ефективни измервания на вентилационна инсталация</t>
  </si>
  <si>
    <t>КОМПРЕСОРНО И ПОМПЕНО ВЪНШЕН БАСЕЙН</t>
  </si>
  <si>
    <t>Канален вентилатор V=2600м3/ч, H=250Pa</t>
  </si>
  <si>
    <t>Меки връзки за канален вентилатор ф400</t>
  </si>
  <si>
    <t>Решетка ф250</t>
  </si>
  <si>
    <t>Решетка ф315</t>
  </si>
  <si>
    <t>Решетка ф400</t>
  </si>
  <si>
    <t>РVС тръба ф400</t>
  </si>
  <si>
    <t>Тройник  ф315/ф315/ф315</t>
  </si>
  <si>
    <t>Тройник  ф315/ф250/ф315</t>
  </si>
  <si>
    <t>Тройник  ф400/ф250/ф400</t>
  </si>
  <si>
    <t>Шапка/сонт/ ШК  ф400</t>
  </si>
  <si>
    <t>Скоби за тръба ф250</t>
  </si>
  <si>
    <t>Скоби за тръба  ф315</t>
  </si>
  <si>
    <t>Скоби за тръба  ф400</t>
  </si>
  <si>
    <t>КОМПРЕСОРНО И ПОМПЕНО ВЪВЪТРЕШЕН БАСЕЙН</t>
  </si>
  <si>
    <t>Канален вентилатор V=1600м3/ч, H=250Pa</t>
  </si>
  <si>
    <t>Меки връзки за канален вентилатор ф315</t>
  </si>
  <si>
    <t>Решетка ф200</t>
  </si>
  <si>
    <t>Тройник  ф200/ф200/ф200</t>
  </si>
  <si>
    <t>Тройник  ф200/ф250/ф250</t>
  </si>
  <si>
    <t>Тройник  ф250/ф250/ф315</t>
  </si>
  <si>
    <t>Тройник  ф315/ф200/ф315</t>
  </si>
  <si>
    <t>Шапка/зонт/ ШК  ф315</t>
  </si>
  <si>
    <t>Преход ф200/ф250</t>
  </si>
  <si>
    <t>Преход ф220/ф315</t>
  </si>
  <si>
    <t>Скоби за тръба ф200</t>
  </si>
  <si>
    <t>КОМПРЕСОРНО И ПОМПЕНО ДЕТСКИ  БАСЕЙН</t>
  </si>
  <si>
    <t>Канален вентилатор V=360м3/ч, H=200Pa</t>
  </si>
  <si>
    <t>Осов вентилатор V=180м3/ч, H=150Pa</t>
  </si>
  <si>
    <t>Шапка/зонт/ ШК  ф200</t>
  </si>
  <si>
    <t>ПОДОВО ОТОПЛЕНИЕ ЗАКРИТ БАСЕЙН</t>
  </si>
  <si>
    <t>Термопомпа тип въздух-вода Q=30kW</t>
  </si>
  <si>
    <t>Буферен съд-акумулатор за топла вода V=120л</t>
  </si>
  <si>
    <t>Затворен разширителен съд 30л с предпазен клапан ПК3/4"</t>
  </si>
  <si>
    <t>Центробежна помпа инвенторна G=1,67л/сек, H=6 м.в.ст</t>
  </si>
  <si>
    <t>Колектор 1" спет извода, монтиран осово от пода на 30см в колекторна кутия</t>
  </si>
  <si>
    <t>Колектор 1" с шест извода, монтиран осово от пода на 30см в колекторна кутия</t>
  </si>
  <si>
    <t>Доставка и монтаж на тръба поцинкована  пресована 1/2" с фитинги и топлоизолация</t>
  </si>
  <si>
    <t>Доставка и монтаж на тръба поцинкована  пресована 1" с фитинги и топлоизолация</t>
  </si>
  <si>
    <t>Доставка и монтаж на тръба поцинкована  пресована 2" с фитинги и топлоизолация</t>
  </si>
  <si>
    <t>Доставка и монтаж коляно 1/2"</t>
  </si>
  <si>
    <t>Доставка и монтаж коляно 1"</t>
  </si>
  <si>
    <t>Доставка и монтаж коляно 2"</t>
  </si>
  <si>
    <t>Доставка и монтаж филтър 2"</t>
  </si>
  <si>
    <t>Доставка и монтаж трипътен вентил  2"</t>
  </si>
  <si>
    <t>Доставка и монтаж на възнратна клапа 2"</t>
  </si>
  <si>
    <t>Доставка и монтаж вентил спирателен 1/ 2"</t>
  </si>
  <si>
    <t>Доставка и монтаж вентил спирателен 1"</t>
  </si>
  <si>
    <t>Доставка и монтаж вентил вентил с изпразнител 3/4"</t>
  </si>
  <si>
    <t>Доставка и монтаж на ел. конвектор противовлажен N=0,8kW</t>
  </si>
  <si>
    <t>Доставка и монтаж на ел. конвектор противовлажен N=0,5kW</t>
  </si>
  <si>
    <t>Доставка и монтаж на ел. конвектор противовлажен N=1,5kW</t>
  </si>
  <si>
    <t>Доставка и монтаж на ел. конвектор противовлажен N=2,0kW</t>
  </si>
  <si>
    <t>Доставка и монтаж на ел. конвектор противовлажен N=2,5kW</t>
  </si>
  <si>
    <t>Полипропиленова тръба тип РЕ-Х/Al ф 20/2</t>
  </si>
  <si>
    <t>Гофрирана тръба</t>
  </si>
  <si>
    <t>Метална канструкция за бойлера</t>
  </si>
  <si>
    <t xml:space="preserve">БОЙЛЕРНО </t>
  </si>
  <si>
    <t>Доставка и монтаж бойлер, вертикален с две двойни серпентини V1000л</t>
  </si>
  <si>
    <t>Доставка и монтаж предпазен баланс 6 bar</t>
  </si>
  <si>
    <t>Доставка и монтаж на автоматичен обезвъздушител</t>
  </si>
  <si>
    <t>Доставка и монтаж на термопомпа въздух-вода 30kW</t>
  </si>
  <si>
    <t>Доставка и монтаж на тръба поцинкована  пресована 11/2" с фитинги и топлоизолация</t>
  </si>
  <si>
    <t>Доставка и монтаж коляно 11/2"</t>
  </si>
  <si>
    <t>Доставка и монтаж вентил спирателен 11/2"</t>
  </si>
  <si>
    <t xml:space="preserve">Доставка и монтаж айстоп вентил Ду 11/2" </t>
  </si>
  <si>
    <t>КЛИМАТИЦИ И ОТОПЛЕНИЕ</t>
  </si>
  <si>
    <t>Доставка и монтаж на климатик стенен 9000 BTU  вътрешно и външно тяло Qохл.=2,7kW, Qот=2,8 Kw</t>
  </si>
  <si>
    <t>Доставка и монтаж на климатик стенен 12000 BTU  вътрешно и външно тяло Qохл.=3,5kW, Qот=4,2 Kw</t>
  </si>
  <si>
    <t>Доставка и монтаж на климатик стенен 24000 BTU  вътрешно и външно тяло Qохл.=7,1kW, Qот=8,0 Kw</t>
  </si>
  <si>
    <t>Доставка и монтаж на климатик колонен 55000 BTU  вътрешно и външно тяло Qохл.=17,2kW, Qот=19,0 Kw</t>
  </si>
  <si>
    <t>Доставка и монтаж на окомплектовка на климатици</t>
  </si>
  <si>
    <t>Доставка и монтаж на допълнителен тръбен сноп за климатици</t>
  </si>
  <si>
    <t>Съставил:</t>
  </si>
  <si>
    <t>част: ОВК</t>
  </si>
  <si>
    <t>КОЛИЧЕСТВЕНА СМЕТКА</t>
  </si>
  <si>
    <t>Видове СМР</t>
  </si>
  <si>
    <t xml:space="preserve">мярка </t>
  </si>
  <si>
    <t>колич.</t>
  </si>
  <si>
    <t>Вътрешни ел. инсталации</t>
  </si>
  <si>
    <t xml:space="preserve">Доставка ел. табла Тглавно, Трест.,Тфитн., Тсъбл. ,Тадм., Тбюф. , Тбар, Тосв.бас., Тп.асанс. </t>
  </si>
  <si>
    <t>Доставка ел. табла Твент.1, Твент.2, Твент.3, Ттехн.</t>
  </si>
  <si>
    <t xml:space="preserve">Монтаж на ел. табла в ниша                   </t>
  </si>
  <si>
    <t xml:space="preserve">Монтаж на ел. табла на стена               </t>
  </si>
  <si>
    <t xml:space="preserve">Монтаж на ел. табло стоящо      </t>
  </si>
  <si>
    <t xml:space="preserve">Доставка и монтаж на аплик LED 10W, противовлажен       </t>
  </si>
  <si>
    <t xml:space="preserve">Доставка и монтаж на аплик LED 10W /по избор/     </t>
  </si>
  <si>
    <t xml:space="preserve">Доставка и монтажна аплик двустранен противовлажен LED 2х10W - фасадно осветл.             </t>
  </si>
  <si>
    <t>Доставка и монтажна лумин. освет. тяло 6W с вграден акумулатор за евакуационно осветление-посока</t>
  </si>
  <si>
    <t>Доставка и монтаж на лумин. освет. тяло 6W с вграден акумулатор за евакуационно осветление-посока, IP40</t>
  </si>
  <si>
    <t>Доставка и монтажна лумин. освет. тяло 6W с вграден акумулатор за евакуационно осветление "изход", IP40</t>
  </si>
  <si>
    <t>Доставка и монтаж на светеща реклама, IP65</t>
  </si>
  <si>
    <t>Доставка и монтаж на  на контакт "Шуко",моноф., скрит</t>
  </si>
  <si>
    <t>Доставка и монтажна контакт "Шуко",моноф.,скрит, IP44</t>
  </si>
  <si>
    <t>Доставка и монтажна контакт "Шуко",моноф.,открит, IP44</t>
  </si>
  <si>
    <t>Доставка и монтажна контакт "Шуко",трифазен,открит,16А,IP44</t>
  </si>
  <si>
    <t xml:space="preserve">Доставка и монтаж на ключ за осветление обикновен </t>
  </si>
  <si>
    <t>Доставка и монтаж на ключ за осветление сериен</t>
  </si>
  <si>
    <t>Доставка и монтаж на ключ за осветление девиаторен</t>
  </si>
  <si>
    <t>Доставка и монтаж на ключ за осветление кръстат</t>
  </si>
  <si>
    <t>Доставка и монтаж на ключ за осветление обикновен,противовл.</t>
  </si>
  <si>
    <t>Доставка  и монтаж на ключ за осветление сериен,противовл.</t>
  </si>
  <si>
    <t>Доставка  и монтаж на ключ за осветление девиаторен,противовл.</t>
  </si>
  <si>
    <t>Доставка  и монтаж на бойлерно ел. табло</t>
  </si>
  <si>
    <t>Доставка и монтаж на фотоелемент "стенен монтаж"</t>
  </si>
  <si>
    <t>Доставка и монтаж на сензор движение/влага с регулируемо време,IP65</t>
  </si>
  <si>
    <t>Доставка и монтаж на ДКУ</t>
  </si>
  <si>
    <t xml:space="preserve">Лампен излаз със СВТ 3х1,5мм2 открито - до 8м                      </t>
  </si>
  <si>
    <t xml:space="preserve">Лампен излаз със СВТ 3х1,5мм2 в PVCтр - до 8м                      </t>
  </si>
  <si>
    <t xml:space="preserve">Лампен излаз с ПВВ-МБ1 3х2,5мм2 скрито- до 20м                      </t>
  </si>
  <si>
    <t xml:space="preserve">Лампен излаз с ПВВ-МБ1 3х1,5мм2 скрито- до 10м                      </t>
  </si>
  <si>
    <t xml:space="preserve">Лампен излаз с ПВВ-МБ1 3х1,5мм2 скрито и в PVCтр над окач. таван- до 10м                      </t>
  </si>
  <si>
    <t xml:space="preserve">Лампен излаз със СВТ 3х2,5мм2 отрито и на каб.скара - до 10м                      </t>
  </si>
  <si>
    <t xml:space="preserve">Лампен излаз със СВТ 3х2,5мм2 отрито и в PVCтр в гипсокартон - до 10м                      </t>
  </si>
  <si>
    <t>Лампен излаз с NHXMH-J 3x1,5° скрито - до 10м</t>
  </si>
  <si>
    <t>Лампен излаз с NHXMH-J 3x1,5° в PVCтр над ок. таван и в гипсокартон - до 20м</t>
  </si>
  <si>
    <t xml:space="preserve">Контактен излаз с ПВВ-МБ1 3х2,5мм2 скрито- до 10м       </t>
  </si>
  <si>
    <t xml:space="preserve">Контактен излаз, бойлер със СВТ 3х2,5мм2 в PVCтр скрито- до 8м       </t>
  </si>
  <si>
    <t xml:space="preserve">Контактен излаз със СВТ 5х2,5мм2  открито- до 8м       </t>
  </si>
  <si>
    <t>Излаз за светещи рекламни пана с ПВВ-МБ1 3х4мм2 скрито и в РVСф19 - до 25м</t>
  </si>
  <si>
    <t xml:space="preserve">Излаз за вентилатор с ПВВ-МБ1 3х1,5мм2 скрито- до 10м                 </t>
  </si>
  <si>
    <t xml:space="preserve">Излаз за сешоар за ръце с ПВВ-МБ1 3х2,5мм2 скрито- до 10м                 </t>
  </si>
  <si>
    <t xml:space="preserve">Излаз за сешоар за ръце с ПВВ-МБ1 3х2,5мм2 скрито- до 30м                 </t>
  </si>
  <si>
    <t xml:space="preserve">Излаз за ел. конвектор с ПВВ-МБ1 3х2,5мм2 скрито- до 10м                 </t>
  </si>
  <si>
    <t xml:space="preserve">Излаз за ел. конвектор с ПВВ-МБ1 3х2,5мм2 скрито- до 30м                 </t>
  </si>
  <si>
    <t>Изтегляне ПВВ-МБ1 в PVC тръба</t>
  </si>
  <si>
    <t>Полагане ПВВ-МБ1 скрито</t>
  </si>
  <si>
    <t xml:space="preserve">Доставка ПВВ-МБ1 3х2,5мм2 </t>
  </si>
  <si>
    <t xml:space="preserve">Доставка ПВВ-МБ1 3х4мм2 </t>
  </si>
  <si>
    <t>Доставка на СВТ 2х0,75мм2</t>
  </si>
  <si>
    <t>Доставка на СВТ 2х1,5мм2</t>
  </si>
  <si>
    <t>Доставка на СВТ 3х1,5мм2</t>
  </si>
  <si>
    <t>Доставка на СВТ 3х2,5мм2</t>
  </si>
  <si>
    <t>Доставка на СВТ 5х6мм2</t>
  </si>
  <si>
    <t>Доставка на СВТ 5х10мм2</t>
  </si>
  <si>
    <t>Доставка на СВТ 5х16мм2</t>
  </si>
  <si>
    <t>Доставка на СВТ 5х35мм2</t>
  </si>
  <si>
    <t>Полагане СВТ на каб. скара - до 2,5мм2</t>
  </si>
  <si>
    <t>Полагане СВТ на скоби открито- до 2,5мм2</t>
  </si>
  <si>
    <t>Изтегляне СВТ в тръба - до 2,5мм3</t>
  </si>
  <si>
    <t>Полагане СВТ на каб. скара - до 16мм2</t>
  </si>
  <si>
    <t>Полагане СВТ на скоби открито- до 16мм2</t>
  </si>
  <si>
    <t>Изтегляне СВТ в тръба - до 16мм2</t>
  </si>
  <si>
    <t>Изтегляне СВТ в тръба - до 35мм2</t>
  </si>
  <si>
    <t>Изтегляне СВТ 3х1,5мм2+СВТ 2х0,75мм2 в тръба</t>
  </si>
  <si>
    <t>Полагане ст.тр. 1 1/4" открито</t>
  </si>
  <si>
    <t>Полагане ст.тр. 1/2" открито</t>
  </si>
  <si>
    <t>Полагане РVСф15 скрито</t>
  </si>
  <si>
    <t>Полагане РVСф15 на каб. скара</t>
  </si>
  <si>
    <t>Полагане РVСф25 открито</t>
  </si>
  <si>
    <t>Полагане РVСф25 скрито</t>
  </si>
  <si>
    <t>Полагане РVСф29 скрито</t>
  </si>
  <si>
    <t>Полагане РVСф32 скрито</t>
  </si>
  <si>
    <t>Полагане РVС ф50 скрито</t>
  </si>
  <si>
    <t>Доставка и монтаж кабелна скара</t>
  </si>
  <si>
    <t>Свръзки  до 4мм2</t>
  </si>
  <si>
    <t>Свръзки  до 16мм2</t>
  </si>
  <si>
    <t>Свръзки  до 35мм2</t>
  </si>
  <si>
    <t>Суха разделка  до 4мм2</t>
  </si>
  <si>
    <t>Суха разделка  до 16мм2</t>
  </si>
  <si>
    <t>Суха разделка  до 35мм2</t>
  </si>
  <si>
    <t>Доставка ТЧП 2х0,5мм2</t>
  </si>
  <si>
    <t>Изтегляне ТЧП 2х0,5мм2</t>
  </si>
  <si>
    <t>Доставка ШВПС 3х1,5мм2</t>
  </si>
  <si>
    <t>Изтегляне ШВПС 3х1,5мм2</t>
  </si>
  <si>
    <t>Доставка и монтаж пътнически асансьор, електрически  без машинно, 630кг - 8 лица, 2 спирки</t>
  </si>
  <si>
    <t>Мълниезащитна и заземителна инсталации</t>
  </si>
  <si>
    <t>Полагане на неизолиран, полутвърд алумин.проводник ф8мм - ЕЕ/05/0035/А01/Al Mn Si на дистанционен носач открито</t>
  </si>
  <si>
    <t>Полагане на токоотвод от екструдиран, изолиран, полутвърд алумин. проводник ф8мм -ЕЕ/05/0045/А01/Al Mn Si - скрито в противопожарни ивици от минерална вата</t>
  </si>
  <si>
    <t>Доставка и монтаж мълниеприемник с изпреварващо действие - 60μs</t>
  </si>
  <si>
    <t>Доставка и монтаж на мачта с Н=3м</t>
  </si>
  <si>
    <t xml:space="preserve">Полагане на поцинкована шина 40/4 скрито       </t>
  </si>
  <si>
    <t xml:space="preserve">Полагане на поцинкована шина 40/4 открито           </t>
  </si>
  <si>
    <t xml:space="preserve">Полагане на поцинкована шина 40/4 в изкоп             </t>
  </si>
  <si>
    <t xml:space="preserve">Доставка и монтаж на контр.-ревизионна кутия </t>
  </si>
  <si>
    <t>Доставка и монтаж на контр. съединител-двупътен</t>
  </si>
  <si>
    <t>компл.</t>
  </si>
  <si>
    <t xml:space="preserve">Направа изкоп за заземление                                                                 </t>
  </si>
  <si>
    <t>Наладка на зазем. инсталация</t>
  </si>
  <si>
    <t>Измерване спец. съпротивление на почва</t>
  </si>
  <si>
    <t>Кабели НН от Тмерене до ел. табло ГРТ и от ГРТ до подтабла. Районно осветление.</t>
  </si>
  <si>
    <t>Трасиране кабелна линия с колчета</t>
  </si>
  <si>
    <t>км</t>
  </si>
  <si>
    <t>Направа изкоп 0,8/0,4м-ІІІкат. със зариване</t>
  </si>
  <si>
    <t>Направа подложка за кабел</t>
  </si>
  <si>
    <t>Покриване на кабел с РVС лента</t>
  </si>
  <si>
    <t>Полагане РVС тр.ф15 скрито</t>
  </si>
  <si>
    <t>Полагане РVС тр.ф15 в изкоп</t>
  </si>
  <si>
    <t>Полагане РVС тр.ф29 скрито</t>
  </si>
  <si>
    <t>Полагане РVС тр.ф32 в изкоп</t>
  </si>
  <si>
    <t>Полагане РVС тр.ф32 скрито</t>
  </si>
  <si>
    <t>Полагане РVС тр.ф40 скрито</t>
  </si>
  <si>
    <t>Полагане РVС тр.ф70 в изкоп</t>
  </si>
  <si>
    <t>Полагане тв.РVС тр.ф70 скрито</t>
  </si>
  <si>
    <t>Доставка СВТ 3х1,5мм2</t>
  </si>
  <si>
    <t>Доставка СВТ 3х2,5мм2</t>
  </si>
  <si>
    <t>Доставка СВТ 5х4мм2</t>
  </si>
  <si>
    <t>Доставка СВТ 5х6мм2</t>
  </si>
  <si>
    <t>Доставка СВТ 5х10мм2</t>
  </si>
  <si>
    <t>Доставка СВТ 3х10мм2</t>
  </si>
  <si>
    <t>Доставка СВТ 5х16мм2</t>
  </si>
  <si>
    <t>Доставка СВТ 5х25мм2</t>
  </si>
  <si>
    <t>Доставка СВТ 5х35мм2</t>
  </si>
  <si>
    <t>Доставка СВТ 5х70мм2</t>
  </si>
  <si>
    <t>Доставка СВТ 5х95мм3</t>
  </si>
  <si>
    <t>Доставка СВТ 4х185мм2</t>
  </si>
  <si>
    <t>Изтегляне СВТ 4х185мм2 в тръба</t>
  </si>
  <si>
    <t>Полагане СВТ 4х185мм2 в изкоп</t>
  </si>
  <si>
    <t>Полагане СВТ 4х185мм2 на каб. скара</t>
  </si>
  <si>
    <t xml:space="preserve">Полагане СВТ в окач. таван - до 95мм2 </t>
  </si>
  <si>
    <t xml:space="preserve">Полагане СВТ на каб. скара - до 95мм2 </t>
  </si>
  <si>
    <t xml:space="preserve">Изтегляне СВТ в тръба - до 95мм2 </t>
  </si>
  <si>
    <t xml:space="preserve">Полагане СВТ на каб. скара - до 35мм2 </t>
  </si>
  <si>
    <t xml:space="preserve">Изтегляне СВТ в тръба - до 35мм2 </t>
  </si>
  <si>
    <t xml:space="preserve">Полагане СВТ на каб. скара - до 16мм2 </t>
  </si>
  <si>
    <t xml:space="preserve">Изтегляне СВТ в тръба - до16мм2 </t>
  </si>
  <si>
    <t xml:space="preserve">Полагане СВТ в окач. таван - до16мм2 </t>
  </si>
  <si>
    <t>Полагане СВТ на скоби до 16мм2</t>
  </si>
  <si>
    <t>Полагане СВТ в окач. таван до 4мм2</t>
  </si>
  <si>
    <t>Полагане СВТ в изкоп до 4мм2</t>
  </si>
  <si>
    <t>Изтегляне СВТ в тръба до 4мм2</t>
  </si>
  <si>
    <t>Изтегляне СВТ в стълб до 4мм3</t>
  </si>
  <si>
    <t xml:space="preserve">Полагане СВТ на каб. скара - до 4мм2 </t>
  </si>
  <si>
    <t>Направа на суха разделка до 4мм2</t>
  </si>
  <si>
    <t>Направа на суха разделка до16мм2</t>
  </si>
  <si>
    <t>Направа на суха разделка до 35мм2</t>
  </si>
  <si>
    <t>Направа на суха разделка до 70мм2</t>
  </si>
  <si>
    <t>Направа на суха разделка до 185мм2</t>
  </si>
  <si>
    <t>Свръзки до 4мм2</t>
  </si>
  <si>
    <t>Свръзки до 16мм2</t>
  </si>
  <si>
    <t>Свръзки до 35мм2</t>
  </si>
  <si>
    <t>Свръзки до 95мм2</t>
  </si>
  <si>
    <t>Свръзки до 185мм2</t>
  </si>
  <si>
    <t>Доставка и монтаж на градинско осв. тяло LED 10W, 4000К, IP65</t>
  </si>
  <si>
    <t>Доставка и монтаж на парково освет. тяло на стълбче 0,6м с LED 10вт, IP65</t>
  </si>
  <si>
    <t>Доставка и монтаж парково на осв. тяло с  LED 10вт,ІР-65 и стом.-тръбен стълб с Н=2,0м</t>
  </si>
  <si>
    <t>Доставка и монтаж на ел. табло в стълб</t>
  </si>
  <si>
    <t xml:space="preserve">Доставка и монтаж на  заземители -с 2 бр. поц.кол L 63/63/6-3м                         </t>
  </si>
  <si>
    <t>Полагане поц. шина 40/4мм в изкоп</t>
  </si>
  <si>
    <t>Полагане поц. шина 40/4мм открито</t>
  </si>
  <si>
    <t>Пожароизвестителна инсталация</t>
  </si>
  <si>
    <t>Доставка на адресируема пожароизвестит. централа</t>
  </si>
  <si>
    <t xml:space="preserve">Доставка на адресируем пожароизв. датчик, оптично-димен             </t>
  </si>
  <si>
    <t xml:space="preserve">Доставка на адресируем пожароизв. датчик, ръчен с вграден изолатор                             </t>
  </si>
  <si>
    <t xml:space="preserve">Доставка изолатор на късо съединение-четворен /до ПИЦ/                                             </t>
  </si>
  <si>
    <t xml:space="preserve">Доставка сигнализатор звуков /сирена/ вътрешен                                                                    </t>
  </si>
  <si>
    <t xml:space="preserve">Доставка сигнализатор светлинно-звуков /сирена/ външен                                                                    </t>
  </si>
  <si>
    <t xml:space="preserve">Доставка основа за пожароизвестител                                                                  </t>
  </si>
  <si>
    <t xml:space="preserve">Монтаж на основа за пожароизвестител   </t>
  </si>
  <si>
    <t>Монтаж и привеждане в работно състояние ПИЦ</t>
  </si>
  <si>
    <t>Монтаж и привеждане в раб. състояние датчици</t>
  </si>
  <si>
    <t>Монтаж и привеждане в раб. състояние ръчен датчик</t>
  </si>
  <si>
    <t>Монтаж и привеждане в раб. състояние сирена</t>
  </si>
  <si>
    <t>Доставка на JE-H(St)H 2x0,8°,червен</t>
  </si>
  <si>
    <t xml:space="preserve">Изтегляне на JE-H(St)H 2x0,8°,червен в РVС тр. </t>
  </si>
  <si>
    <t>Доставка на NHXH  3x2,5мм2</t>
  </si>
  <si>
    <t>Изтегляне на NHXH 3x2,5мм2</t>
  </si>
  <si>
    <t>Изтегляне на ПВ-А2 4мм2 в РVС тр.</t>
  </si>
  <si>
    <t>Полагане РVС ф15 скрито</t>
  </si>
  <si>
    <t>Полагане РVС ф19 скрито</t>
  </si>
  <si>
    <t>Свръзки до 2,5мм2</t>
  </si>
  <si>
    <t>Инсталация СОТ и контрол на достъпа</t>
  </si>
  <si>
    <t>Доставка и монтаж охранителна централа</t>
  </si>
  <si>
    <t>Доставка и монтаж обемен датчик</t>
  </si>
  <si>
    <t>Доставкаи монтаж  магнитно контактен датчик</t>
  </si>
  <si>
    <t>Доставка и монтаж клавиатура</t>
  </si>
  <si>
    <t>Доставка на 96OHMS/KM Elan 8x0,22мм2</t>
  </si>
  <si>
    <t xml:space="preserve">Изтегляне на 96OHMS/KM Elan 8x0,22мм2 в РVС тр.                                          </t>
  </si>
  <si>
    <t xml:space="preserve">Полагане ПВВ-МБ1 3x1,5мм2  скрито                                   </t>
  </si>
  <si>
    <t>Доставка  на  ПВВ-МБ1 3x1,5мм2</t>
  </si>
  <si>
    <t>Тестове и настройки на системата за сигурност</t>
  </si>
  <si>
    <t>Инсталации структурно окабеляване, ТV и система за видеонаблюдение</t>
  </si>
  <si>
    <t xml:space="preserve">Доставка и монтажна комуникац. шкаф, комплект  със система за записване на видеосигнали с 16-канален NVR с меню на бълг. език /по задание на Възложителя/ и електронни модули с подвързването им </t>
  </si>
  <si>
    <t>Доставка и монтаж на камера за външен монтаж с ІР-65, със стойка за скрито водене на кабелите</t>
  </si>
  <si>
    <t xml:space="preserve">Доставка и монтаж на камера куполна за вътрешен монтаж </t>
  </si>
  <si>
    <t>Доставка и монтаж комплект контактни и крепежни елементи за външни камери</t>
  </si>
  <si>
    <t>Доставка и монтаж комплект контактни и крепежни елементи за вътрешни камери</t>
  </si>
  <si>
    <t xml:space="preserve">Доставка на FTP 4х2х0,5мм2 -кат.5е,мед,24AWG                                              </t>
  </si>
  <si>
    <t xml:space="preserve">Изтегляне на FTP 4х2х0,5мм2 в РVС тр.                                                </t>
  </si>
  <si>
    <t xml:space="preserve">Изтегляне на 2FTP 4х2х0,5мм2 в РVС тр.                                                </t>
  </si>
  <si>
    <t>Изтегляне на ПВ-А2 6мм2 в РVС тр.</t>
  </si>
  <si>
    <t>Полагане РVС ф15 открито</t>
  </si>
  <si>
    <t>Полагане РVС ф15 в окач. таван</t>
  </si>
  <si>
    <t>Полагане РVС ф25 скрито</t>
  </si>
  <si>
    <t>Полагане РVС ф25 в окач. таван</t>
  </si>
  <si>
    <t>Доставка монитор</t>
  </si>
  <si>
    <t xml:space="preserve">Софтуер за централизирано видеонаблюдение </t>
  </si>
  <si>
    <t>Инсталация и настройка на софтуер за видеонаблюдение</t>
  </si>
  <si>
    <t>Тестове и настройки на системата за видеонаблюдение</t>
  </si>
  <si>
    <t xml:space="preserve">                                                     СЪСТАВИЛ:</t>
  </si>
  <si>
    <t>Доставка и монтаж на плафониер LED 12W, със сензор за движение, 4000К, IP44</t>
  </si>
  <si>
    <t>Доставка и монтаж на осв.тяло тип "луна" LED 8W, външен монтаж</t>
  </si>
  <si>
    <t xml:space="preserve">Доставка и монтаж на полилей LED 6x10вт </t>
  </si>
  <si>
    <t>Доставка и монтаж на противовлажно освет.тяло с решетка</t>
  </si>
  <si>
    <t xml:space="preserve">Доставка и монтаж на осв.тяло LED panel 48W, 1200/300мм, 4000К,
с рамка за външен монтаж </t>
  </si>
  <si>
    <t>Доставка и монтаж на осв.тяло с LED пура 22W, 1200мм, 4000К,
IP65, външен монтаж</t>
  </si>
  <si>
    <t>Доставка и монтаж на осв.тяло с 2бр. LED пура 22W, 1200мм, 4000К, IP65, външен монтаж</t>
  </si>
  <si>
    <t>Доставка и монтаж на LED линейно тяло - модул 10W, 868/22/37мм, 4000К, външен монтаж</t>
  </si>
  <si>
    <t>Доставка и монтаж на 3бр. контакт "Шуко",моноф.+информ.конт. RJ45/кат.5/- конзоли и рамки за 4 елемента</t>
  </si>
  <si>
    <t>Доставка и монтаж на разклонителна кутия противовлажна, IP 65
р.к 10/10 - осветл. рекламни пана</t>
  </si>
  <si>
    <t xml:space="preserve">Доставка и монтаж на  заземители - 2бр. поцинковани колове L63/63/6-3м                         </t>
  </si>
  <si>
    <t>Доставка и монтаж на информационен контакт RJ45/кат.5/</t>
  </si>
  <si>
    <t>Доставка и монтаж на 3 бр.контакт "Шуко",моноф.,цвят червен,Френски стандарт+ информ.конт. RJ45/кат.5/</t>
  </si>
  <si>
    <t>Доставка и монтаж на контакт ТV</t>
  </si>
  <si>
    <t>Количествена сметка №1</t>
  </si>
  <si>
    <t>Наименование</t>
  </si>
  <si>
    <t>мярка</t>
  </si>
  <si>
    <t>К-во</t>
  </si>
  <si>
    <t xml:space="preserve">Обща количествена сметка за голям закрит басейн </t>
  </si>
  <si>
    <t>Чувал кварцов пясък 0.6 - 0.8 mm</t>
  </si>
  <si>
    <t>6-пътен вентил 3" страничен монтаж</t>
  </si>
  <si>
    <t>Циркулационна помпа MAGNUS-4 300 [3.0 HP] 2,20kW</t>
  </si>
  <si>
    <t>Пластмасов специализиран фундамент за монтаж на</t>
  </si>
  <si>
    <t>циркулационни помпи. Размер 395х230х200(h)мм. Включва гумени антивибрационни подложки.</t>
  </si>
  <si>
    <t xml:space="preserve">Дюза дънна FLAT за керамика  </t>
  </si>
  <si>
    <t>Подов сифон ф 110</t>
  </si>
  <si>
    <t>Смукателна дюза за керамика HYDRODIF</t>
  </si>
  <si>
    <t>Автоматична дозаторна станция комплект, с регулатор DST-WDPHCL за регулиране на рН и дезинфектант (Свободен хлор) в басейн</t>
  </si>
  <si>
    <t>Бидон вертикален 500 л. H=1310mm ; D=730mm</t>
  </si>
  <si>
    <t xml:space="preserve">Помпа потопяема дренажна KONA 750PM [1.0 HP] [0.75 kW] </t>
  </si>
  <si>
    <t>[8 m3/h,H=5]</t>
  </si>
  <si>
    <t>Кран моторен BELIMO DN40-1 1/2", затваряне с пружина, норм.затворен, 24-230V за доливане на резервоара</t>
  </si>
  <si>
    <t>Редуцир-вентил 1 1/2"</t>
  </si>
  <si>
    <t xml:space="preserve">PVC инсталация – тръби за високо налягане /10 атм./, кранове, фитинги и консумативи. </t>
  </si>
  <si>
    <t>к-т</t>
  </si>
  <si>
    <t>Стълба SPECIAL OVERFLOW 4 мет. стъпала с неподхл. покритие + фланец, AISI 316L</t>
  </si>
  <si>
    <t>Стълба SPECIAL OVERFLOW 5 мет. стъпала с неподхл. покритие + фланец, AISI 316L</t>
  </si>
  <si>
    <t>Анкъри с фланец за монтаж на стълби без вкопаване - прав, SS.A-304. Комплект от 2 бр.</t>
  </si>
  <si>
    <t>Съставил: ……………………..</t>
  </si>
  <si>
    <t xml:space="preserve">                                                                                                                 / инж. Д. Мешков /</t>
  </si>
  <si>
    <t>Количествена сметка №2</t>
  </si>
  <si>
    <t>Обща количествена сметка за външен басейн за възрастни с водни и въздушни ефекти</t>
  </si>
  <si>
    <t>Батерия за ръчно управление на пясъчен филтър с 5 крана, d=110mm</t>
  </si>
  <si>
    <t>Циркулационна помпа MAGNUS-4 400 [4.0 HP] 3,0kW</t>
  </si>
  <si>
    <t>Подов сифон ф 63</t>
  </si>
  <si>
    <t>Кресло масаж вграждане единично, А-316, [120мм] (единично) (бетон)</t>
  </si>
  <si>
    <t>Компресор HSC0210-MA151  1,5 kW, трифазен</t>
  </si>
  <si>
    <t>Въздушен филтър (106 - 63 - 150)</t>
  </si>
  <si>
    <t>Дюза комбин. MAGNA въртяща двойна [вода ф50 въздух ф32] бял</t>
  </si>
  <si>
    <t>Помпа бустерна NADORSELF 300  [~3] [3.0 HP] [2.3 kW]</t>
  </si>
  <si>
    <t>Решетка смукател инокс AQUATEC [ф 190]</t>
  </si>
  <si>
    <t>Количествена сметка №3</t>
  </si>
  <si>
    <t>Обща количествена сметка за детски басейн</t>
  </si>
  <si>
    <t>Пясъчен филтър DELICA 1000 ( 28 м 3 / час ), с 6-пътен вентил, манометър.</t>
  </si>
  <si>
    <t>Помпа SILEN S2 150 с предфилтър Q = 28.00 m3/h  ( H = 10 м )</t>
  </si>
  <si>
    <t>Електролизатор  SMC 30, произв. 30 g/h</t>
  </si>
  <si>
    <t>Система за pH и Redox контрол. Дозаторна помпа, датчик за поток</t>
  </si>
  <si>
    <t>Хидроджет JET SWIM 2000 компл. с ниша за бетон</t>
  </si>
  <si>
    <t>Помпа бустерна NADORSELF 200  [~3] [2.0 HP] [1,5 kW]</t>
  </si>
  <si>
    <t>Помпа потопяема дренажна KONA 400PM [0.55 HP] [0.4 kW] [4.8 m3/h,H=5]</t>
  </si>
  <si>
    <t>Кран моторен BELIMO DN40-1", затваряне с пружина, норм.затворен, 24-230V за доливане на резервоара</t>
  </si>
  <si>
    <t xml:space="preserve">                                                                                               Съставил: …………………….</t>
  </si>
  <si>
    <t>КОЛИЧЕСТВЕНА  СМЕТКА</t>
  </si>
  <si>
    <t xml:space="preserve">Обект : Градски минерален и развлекателно рекреационен комплекс, находящ се </t>
  </si>
  <si>
    <t xml:space="preserve">            в УПИ IХ-1161, кв. 97 по плана на гр. Хисаря,Община Хисаря, Област Пловдив</t>
  </si>
  <si>
    <t xml:space="preserve">            ПИ 77270.504.1161 по КККР на гр. Хисаря</t>
  </si>
  <si>
    <t xml:space="preserve">Част :   В и К </t>
  </si>
  <si>
    <t>Фаза :  Технически проект</t>
  </si>
  <si>
    <t xml:space="preserve">       Водопроводно отклонение</t>
  </si>
  <si>
    <t xml:space="preserve"> N</t>
  </si>
  <si>
    <t xml:space="preserve"> Вид  СМР</t>
  </si>
  <si>
    <t>ед.м.</t>
  </si>
  <si>
    <t>дъл.</t>
  </si>
  <si>
    <t>шир.</t>
  </si>
  <si>
    <t>вис.</t>
  </si>
  <si>
    <t>п. ч.</t>
  </si>
  <si>
    <t>кол.</t>
  </si>
  <si>
    <t>1</t>
  </si>
  <si>
    <t xml:space="preserve">Ръчен изкоп с шир. до 1,20 и дъл. до 2 м. </t>
  </si>
  <si>
    <t>2</t>
  </si>
  <si>
    <t xml:space="preserve"> Дост.и полагане на непром. пъсък за подложка</t>
  </si>
  <si>
    <t>м3.</t>
  </si>
  <si>
    <t>3</t>
  </si>
  <si>
    <t xml:space="preserve"> Досавка на отсевки и засипване с уплътняване </t>
  </si>
  <si>
    <t>4</t>
  </si>
  <si>
    <t xml:space="preserve"> Засипване и уплътняване на обратен насип </t>
  </si>
  <si>
    <t>5</t>
  </si>
  <si>
    <t xml:space="preserve"> Дост. и монт. на  тр. СК Ф75 с охр. гарн. и чун. гърне</t>
  </si>
  <si>
    <t>6</t>
  </si>
  <si>
    <t xml:space="preserve"> Доставка и монтаж на  намалител 75/50 РЕ-100</t>
  </si>
  <si>
    <t>7</t>
  </si>
  <si>
    <t xml:space="preserve"> Доставка и монтаж на  намалител 90/75 РЕ-100</t>
  </si>
  <si>
    <t>8</t>
  </si>
  <si>
    <t xml:space="preserve"> Доставка и монтаж на универсално Ж Ф80</t>
  </si>
  <si>
    <t>9</t>
  </si>
  <si>
    <t xml:space="preserve"> Доставка и монтаж на тръби Ф75/4.5 РЕ-100 PN10</t>
  </si>
  <si>
    <t>10</t>
  </si>
  <si>
    <t xml:space="preserve"> Доставка и монтаж на тръби Ф90/5.4 РЕ-100 PN10</t>
  </si>
  <si>
    <t>11</t>
  </si>
  <si>
    <t xml:space="preserve"> Дезинфекция и изпитване на външен водопровод</t>
  </si>
  <si>
    <t>м.</t>
  </si>
  <si>
    <t>Водомерна шахта</t>
  </si>
  <si>
    <t>СМР</t>
  </si>
  <si>
    <t>Ед.м.</t>
  </si>
  <si>
    <t xml:space="preserve">  Кол-во</t>
  </si>
  <si>
    <t>Ръчен изкоп за строит. конструкция</t>
  </si>
  <si>
    <t>Направа на кофраж за стени с деб. над 15 см</t>
  </si>
  <si>
    <t>м2.</t>
  </si>
  <si>
    <t xml:space="preserve"> Бет. Кл.7.5 за дъно</t>
  </si>
  <si>
    <t xml:space="preserve"> Бет. Кл.20 за дъно</t>
  </si>
  <si>
    <t xml:space="preserve"> Бет. Кл.20 за стени</t>
  </si>
  <si>
    <t xml:space="preserve"> Цим. замазка в два пласта по стени</t>
  </si>
  <si>
    <t xml:space="preserve"> Стом. стъпала Ф25</t>
  </si>
  <si>
    <t>Доставка и монтаж арматура Ст.АI</t>
  </si>
  <si>
    <t>кг.</t>
  </si>
  <si>
    <t>Доставка и монтаж СК Ф 2 " с изпразн.</t>
  </si>
  <si>
    <t xml:space="preserve">Доставка и монтаж СК  Ф 2 " </t>
  </si>
  <si>
    <t>Доставка и монтаж ВК  2 "</t>
  </si>
  <si>
    <t>12</t>
  </si>
  <si>
    <t>Доставка и монтаж  филтър Ф 2 "</t>
  </si>
  <si>
    <t>13</t>
  </si>
  <si>
    <t>14</t>
  </si>
  <si>
    <t xml:space="preserve"> Доставка и монтаж на HL90 за отвод. на вод. ш.</t>
  </si>
  <si>
    <t>15</t>
  </si>
  <si>
    <t xml:space="preserve"> Направа на дренажна призма 50/50</t>
  </si>
  <si>
    <t>16</t>
  </si>
  <si>
    <t xml:space="preserve"> Доставка и монтаж на PVC тр. Ф50</t>
  </si>
  <si>
    <t>17</t>
  </si>
  <si>
    <t xml:space="preserve"> Доставка и монтаж на ст. капак 100/100 - по детайл</t>
  </si>
  <si>
    <t xml:space="preserve">Вътрешно водоснабдяване </t>
  </si>
  <si>
    <t>Вътрешно водоснабдяване - част I , западна</t>
  </si>
  <si>
    <t>Дост.и монтаж на полипроп. тръби - F20</t>
  </si>
  <si>
    <t>Дост.и монтаж на полипроп. тръби - F25</t>
  </si>
  <si>
    <t>Дост.и монтаж на полипроп. тръби - F32</t>
  </si>
  <si>
    <t>Дост.и монтаж на полипроп. тръби - F63</t>
  </si>
  <si>
    <t>Дост.и монтаж на топлоизол. тип "MIRELON" F20</t>
  </si>
  <si>
    <t>Дост.и монтаж на топлоизол. тип "MIRELON" F25</t>
  </si>
  <si>
    <t>Дост.и монтаж на топлоизол. тип "MIRELON" F32</t>
  </si>
  <si>
    <t>Дост.и монтаж на топлоизол. тип "MIRELON" F63</t>
  </si>
  <si>
    <t>Направа на улейв тухл. стени 15/5</t>
  </si>
  <si>
    <t>Измазване на улеите</t>
  </si>
  <si>
    <t xml:space="preserve"> Дост. и монтаж на бойлер V=120- вертикални</t>
  </si>
  <si>
    <t xml:space="preserve"> Дост. и монтаж на бойлер V=80- вертикални</t>
  </si>
  <si>
    <t xml:space="preserve"> Дост. и монтаж на бойлер V=10</t>
  </si>
  <si>
    <t xml:space="preserve">Доставка и монтаж СК Ф20 </t>
  </si>
  <si>
    <t>Доставка и монтаж СК Ф20 с изпразнител</t>
  </si>
  <si>
    <t xml:space="preserve">Доставка и монтаж СК Ф63 с изпразнител </t>
  </si>
  <si>
    <t>Доставка и монтаж  ВК Ф63</t>
  </si>
  <si>
    <t xml:space="preserve">Доставка и монтаж на смес. батерии за мивки </t>
  </si>
  <si>
    <t>18</t>
  </si>
  <si>
    <t>Доставка и монтаж на смес. батерии за душ</t>
  </si>
  <si>
    <t>Вътрешно водоснабдяване - част II , източна</t>
  </si>
  <si>
    <t>Дост.и монтаж на полипроп. тръби - F40</t>
  </si>
  <si>
    <t>Дост.и монтаж на полипроп. тръби - F50</t>
  </si>
  <si>
    <t>Дост.и монтаж на полипроп. тръби - F75</t>
  </si>
  <si>
    <t>Дост.и монтаж на топлоизол. тип "MIRELON" F40</t>
  </si>
  <si>
    <t>Дост.и монтаж на топлоизол. тип "MIRELON" F50</t>
  </si>
  <si>
    <t>Дост.и монтаж на топлоизол. тип "MIRELON" F75</t>
  </si>
  <si>
    <t xml:space="preserve"> Укрепване на ВиК пакет по вертик. клонове</t>
  </si>
  <si>
    <t xml:space="preserve"> Укрепване на ВиК пакет по хор. клонове </t>
  </si>
  <si>
    <t>19</t>
  </si>
  <si>
    <t xml:space="preserve"> Пробиване на отвор10/5 в стб. плоча деб. 25см </t>
  </si>
  <si>
    <t>20</t>
  </si>
  <si>
    <t xml:space="preserve"> Пробиване на отвор в стена 1 тухла</t>
  </si>
  <si>
    <t>21</t>
  </si>
  <si>
    <t xml:space="preserve"> Пробиване на отвор в стена 1/2 тухла</t>
  </si>
  <si>
    <t>22</t>
  </si>
  <si>
    <t xml:space="preserve"> Дост. и монтаж  на циркул. Помпа - WILO Star-RSG</t>
  </si>
  <si>
    <t>23</t>
  </si>
  <si>
    <t>24</t>
  </si>
  <si>
    <t xml:space="preserve">Доставка и монтаж СК Ф20 шибърен </t>
  </si>
  <si>
    <t>25</t>
  </si>
  <si>
    <t xml:space="preserve">Доставка и монтаж СК Ф25 </t>
  </si>
  <si>
    <t>26</t>
  </si>
  <si>
    <t xml:space="preserve">Доставка и монтаж СК Ф32 шибърен </t>
  </si>
  <si>
    <t>27</t>
  </si>
  <si>
    <t xml:space="preserve">Доставка и монтаж СК Ф32  </t>
  </si>
  <si>
    <t>28</t>
  </si>
  <si>
    <t xml:space="preserve">Доставка и монтаж СК Ф40 шибърен </t>
  </si>
  <si>
    <t>29</t>
  </si>
  <si>
    <t xml:space="preserve">Доставка и монтаж СК Ф50  </t>
  </si>
  <si>
    <t>30</t>
  </si>
  <si>
    <t xml:space="preserve">Доставка и монтаж СК Ф63  </t>
  </si>
  <si>
    <t>31</t>
  </si>
  <si>
    <t xml:space="preserve">Доставка и монтаж СК Ф75 </t>
  </si>
  <si>
    <t>32</t>
  </si>
  <si>
    <t xml:space="preserve">Доставка и монтаж ВК Ф32  </t>
  </si>
  <si>
    <t>33</t>
  </si>
  <si>
    <t>Доставка и монтаж ВК Ф50</t>
  </si>
  <si>
    <t>34</t>
  </si>
  <si>
    <t xml:space="preserve">Доставка и монтаж ВК Ф75  </t>
  </si>
  <si>
    <t>35</t>
  </si>
  <si>
    <t>36</t>
  </si>
  <si>
    <t xml:space="preserve">       Площадков водопровод </t>
  </si>
  <si>
    <t>Ръчен изкоп с шир. до 0,80 и дъл. до 1,40 м. на отвал</t>
  </si>
  <si>
    <t xml:space="preserve">Разриване  с булдозер на до 20 м . на земни маси </t>
  </si>
  <si>
    <t xml:space="preserve">Доставка и монтаж тръби Ф 75 РЕ-100 </t>
  </si>
  <si>
    <t xml:space="preserve">Доставка и монтаж тръби Ф 63 РЕ-100 </t>
  </si>
  <si>
    <t>Доставка и монтаж на детекторна лента</t>
  </si>
  <si>
    <t>Доставка и монтаж на сигнарна  лента</t>
  </si>
  <si>
    <t>Дос. и мон. на трот. СК Ф75 с охран .гарн. и чуг.гърне</t>
  </si>
  <si>
    <t xml:space="preserve"> Дезинфекция и изпитване на площадков водопровод</t>
  </si>
  <si>
    <t xml:space="preserve"> Доставка и монтаж на PVC тр. Ф50 - SN4</t>
  </si>
  <si>
    <t xml:space="preserve"> Доставка и монтаж на PVC тр. Ф110- SN8</t>
  </si>
  <si>
    <t xml:space="preserve"> Доставка и монтаж на PVC тр. Ф160- SN8</t>
  </si>
  <si>
    <t>Направа на улейв тухл. стени 10/5</t>
  </si>
  <si>
    <t xml:space="preserve"> Доставка и монтаж на ПС Ф50 </t>
  </si>
  <si>
    <t xml:space="preserve"> Доставка и монтаж на ПС Ф100 </t>
  </si>
  <si>
    <t xml:space="preserve"> Доставка и монтаж на вакуум крапа HL900 Ф110</t>
  </si>
  <si>
    <t xml:space="preserve"> Доставка и монтаж на мазнино задържател тип:ECO </t>
  </si>
  <si>
    <t xml:space="preserve"> Доставка и монтаж на HL64</t>
  </si>
  <si>
    <t xml:space="preserve"> Доставка и монтаж на HL5100T</t>
  </si>
  <si>
    <t xml:space="preserve"> Направа на РШ 60/60 </t>
  </si>
  <si>
    <t xml:space="preserve"> Дост. и монт. на тоалетно седало с долно оттичане</t>
  </si>
  <si>
    <t xml:space="preserve"> Дост. и монт. на душово корито</t>
  </si>
  <si>
    <t xml:space="preserve"> Дост. и монт. на тоалетни мивки</t>
  </si>
  <si>
    <t xml:space="preserve"> Дост. и монт. на кухненски мивки</t>
  </si>
  <si>
    <t xml:space="preserve"> Доставка и монтаж на PVC тр. Ф75 - SN4</t>
  </si>
  <si>
    <t xml:space="preserve"> Доставка и монтаж на PVC тр. Ф200- SN8</t>
  </si>
  <si>
    <t xml:space="preserve"> Доставка и монтаж на ПС Ф50 рогов </t>
  </si>
  <si>
    <t xml:space="preserve"> Доставка и монтаж на HL80</t>
  </si>
  <si>
    <t xml:space="preserve"> Доставка и монтаж на вентил. шапка Ф100 </t>
  </si>
  <si>
    <t xml:space="preserve"> Доставка и монтаж на вентил. шапка Ф75 </t>
  </si>
  <si>
    <t xml:space="preserve"> Дост. и монт. на тоалетно седало със задно оттичане</t>
  </si>
  <si>
    <t xml:space="preserve"> Дост. и монт. на писоар</t>
  </si>
  <si>
    <t xml:space="preserve">        Площадкова  канализация     </t>
  </si>
  <si>
    <t>ед. м.</t>
  </si>
  <si>
    <t>дълж.</t>
  </si>
  <si>
    <t>битова канализация</t>
  </si>
  <si>
    <t>Общо :</t>
  </si>
  <si>
    <t xml:space="preserve"> Засипване с изопана земна маса </t>
  </si>
  <si>
    <t xml:space="preserve"> Уплътневане на пластове през 20 см-</t>
  </si>
  <si>
    <t xml:space="preserve"> Доставка и монтаж на   DN/OD 200  SN8</t>
  </si>
  <si>
    <t xml:space="preserve"> Доставка и монтаж на   DN/OD 250  SN8</t>
  </si>
  <si>
    <t xml:space="preserve"> Доставка и монтаж на  PVC тръби Ф200 SN8</t>
  </si>
  <si>
    <t xml:space="preserve"> Доставка и монтаж на  PVC тръби Ф160 SN8</t>
  </si>
  <si>
    <t xml:space="preserve"> Дост. и монт. на лин. оттоци тип: АCO MultiDrain V150</t>
  </si>
  <si>
    <t xml:space="preserve"> Дост. и монт. на двуставен отток</t>
  </si>
  <si>
    <t xml:space="preserve"> Доставка и монтаж на РШ PRO -ID600 PN - тип PipeLife</t>
  </si>
  <si>
    <t xml:space="preserve"> Дост. и направа на седлова връзка 600/ 200 тип PipeLife</t>
  </si>
  <si>
    <t xml:space="preserve"> Изпробване на канализацията</t>
  </si>
  <si>
    <t>Проектант :</t>
  </si>
  <si>
    <t>инж. З. Златев</t>
  </si>
  <si>
    <t>Дост. и монтаж на водом. с дистанц. отчитане -BТV R 
Q р.= 25  m3/h,  Qmax = 31.25 m3/h</t>
  </si>
  <si>
    <t>Вътрешна канализация - част I западна</t>
  </si>
  <si>
    <t>Вътрешна канализация - част II  източна</t>
  </si>
  <si>
    <t>Изкоп в земни  почви  с с ширина над 1,20 и дълбочина до 2  - ръчно изхвърляне на отвал</t>
  </si>
  <si>
    <t>Доставка и монтаж на шкаф за  дезинфекционни  материали</t>
  </si>
  <si>
    <t xml:space="preserve">Топлоизолационна система с експандиран полистирен EPS с d= 100 мм, и коефициент на топлопроводност върху външни стени,  вкл.лепилен слой , шпахловка, укрепваща мрежа и дюбелиране </t>
  </si>
  <si>
    <t>Обръщане на фасадна дограма с ХPS 3см, вкл. укрепваща мрежа, дюбелиране и шпахловка</t>
  </si>
  <si>
    <r>
      <t xml:space="preserve">Топлоизолационна система с екструдиран полистирен ХPS с d= 120 мм,  вкл.лепилен слой , шпахловка, укрепваща мрежа и дюбелиране 
- </t>
    </r>
    <r>
      <rPr>
        <sz val="12"/>
        <rFont val="Tahoma"/>
        <family val="2"/>
        <charset val="204"/>
      </rPr>
      <t xml:space="preserve">по еркери </t>
    </r>
  </si>
  <si>
    <t>Шпакловка по дъно и стени  - компенсаторно</t>
  </si>
  <si>
    <t>Шпакловка по дъно и стени басейн и преливни улеи</t>
  </si>
  <si>
    <t>Шпакловка по дъно и стени компенсаторно</t>
  </si>
  <si>
    <t xml:space="preserve">Шпакловка по дъно и стени - компенсаторно </t>
  </si>
  <si>
    <r>
      <rPr>
        <sz val="12"/>
        <rFont val="Tahoma"/>
        <family val="2"/>
        <charset val="204"/>
      </rPr>
      <t>Обект:</t>
    </r>
    <r>
      <rPr>
        <b/>
        <sz val="12"/>
        <rFont val="Tahoma"/>
        <family val="2"/>
        <charset val="204"/>
      </rPr>
      <t xml:space="preserve"> Градски минерален и развлекателно рекреационен комплекс, находящ се в УПИ IX-1161, кв. 97 по плана на гр. Хисаря, Община Хисаря, Област Пловдив,
ПИ 77270.504.1161 по КККР на гр. Хисаря 
</t>
    </r>
  </si>
  <si>
    <r>
      <t xml:space="preserve">                                                              /</t>
    </r>
    <r>
      <rPr>
        <b/>
        <sz val="11"/>
        <rFont val="Tahoma"/>
        <family val="2"/>
        <charset val="204"/>
      </rPr>
      <t>инж. Р.Манолова</t>
    </r>
    <r>
      <rPr>
        <sz val="11"/>
        <rFont val="Tahoma"/>
        <family val="2"/>
        <charset val="204"/>
      </rPr>
      <t>/</t>
    </r>
  </si>
  <si>
    <t>Част: Електро</t>
  </si>
  <si>
    <r>
      <t>Проф. ламиниран пясъчен филтър TEIDE</t>
    </r>
    <r>
      <rPr>
        <sz val="11"/>
        <color indexed="63"/>
        <rFont val="Tahoma"/>
        <family val="2"/>
        <charset val="204"/>
      </rPr>
      <t xml:space="preserve"> PROFI LIGHT 1200; 30 m3/h/m2 , </t>
    </r>
    <r>
      <rPr>
        <sz val="11"/>
        <color indexed="8"/>
        <rFont val="Tahoma"/>
        <family val="2"/>
        <charset val="204"/>
      </rPr>
      <t>дебит 43 m3/h, св. d=90mm</t>
    </r>
  </si>
  <si>
    <r>
      <t>Термопомпа модел iMAX 125 Inverter</t>
    </r>
    <r>
      <rPr>
        <sz val="11"/>
        <color indexed="63"/>
        <rFont val="Tahoma"/>
        <family val="2"/>
        <charset val="204"/>
      </rPr>
      <t> </t>
    </r>
  </si>
  <si>
    <r>
      <t>Проф. ламиниран пясъчен филтър TEIDE</t>
    </r>
    <r>
      <rPr>
        <sz val="11"/>
        <color indexed="63"/>
        <rFont val="Tahoma"/>
        <family val="2"/>
        <charset val="204"/>
      </rPr>
      <t xml:space="preserve"> PROFI 1200; 50 m3/h/m2 , </t>
    </r>
    <r>
      <rPr>
        <sz val="11"/>
        <color indexed="8"/>
        <rFont val="Tahoma"/>
        <family val="2"/>
        <charset val="204"/>
      </rPr>
      <t>дебит 55m3/h, св. d=90mm</t>
    </r>
  </si>
  <si>
    <r>
      <t xml:space="preserve">                                                                                                                 / инж. Д. Мешков /  </t>
    </r>
    <r>
      <rPr>
        <b/>
        <sz val="10"/>
        <color indexed="8"/>
        <rFont val="Tahoma"/>
        <family val="2"/>
        <charset val="204"/>
      </rPr>
      <t xml:space="preserve">  </t>
    </r>
  </si>
  <si>
    <r>
      <t>Част:</t>
    </r>
    <r>
      <rPr>
        <b/>
        <sz val="14"/>
        <color indexed="8"/>
        <rFont val="Tahoma"/>
        <family val="2"/>
        <charset val="204"/>
      </rPr>
      <t xml:space="preserve"> </t>
    </r>
    <r>
      <rPr>
        <b/>
        <sz val="14"/>
        <rFont val="Tahoma"/>
        <family val="2"/>
        <charset val="204"/>
      </rPr>
      <t>Технология - басейни</t>
    </r>
  </si>
  <si>
    <t>Пластмасов специализиран фундамент за монтаж на циркулационни помпи. Размер 395х230х200(h)мм. Включва гумени антивибрационни подложки.</t>
  </si>
  <si>
    <t>Кран моторен BELIMO DN40-1", затваряне с пружина, норм.затворен, 24-230V за доливане на резервоара 24-230V за доливане на резервоара</t>
  </si>
  <si>
    <t>Пластмасов специализиран фундамент за монтаж нациркулационни помпи. Размер 395х230х200(h)мм. Включва гумени антивибрационни подложки.</t>
  </si>
  <si>
    <t>Помпа потопяема дренажна KONA 750PM [1.0 HP] [0.75 kW] [8 m3/h,H=5]</t>
  </si>
  <si>
    <t>Част: Строителни конструкции</t>
  </si>
  <si>
    <t>За хале с басейн:</t>
  </si>
  <si>
    <t>Изкоп – 1356м3</t>
  </si>
  <si>
    <t>Кофражни работи фундаменти и настилка – 893 м2</t>
  </si>
  <si>
    <t>Бетон фундаменти и настилка C20/25 –414 м3</t>
  </si>
  <si>
    <t>Армировка</t>
  </si>
  <si>
    <t>ф6.5 – N25–13 560 кг</t>
  </si>
  <si>
    <t>Стомана S235JR- 39407.6 кг</t>
  </si>
  <si>
    <t>Анкерна група 1 – 7х8 бр.</t>
  </si>
  <si>
    <t>За външен басейн и бар:</t>
  </si>
  <si>
    <t>Изкоп – 1578м3</t>
  </si>
  <si>
    <t>Кофражни работи– 542 м2</t>
  </si>
  <si>
    <t>Бетон C20/25 –255.5 м3</t>
  </si>
  <si>
    <t>ф6.5 – N25–11835 кг</t>
  </si>
  <si>
    <t>За външен детски басей:</t>
  </si>
  <si>
    <t>Изкоп – 352.5м3</t>
  </si>
  <si>
    <t>Кофражни работи– 161.5 м2</t>
  </si>
  <si>
    <t>Бетон C20/25 –80.5 м3</t>
  </si>
  <si>
    <t>ф6.5 – N25–3519 кг</t>
  </si>
  <si>
    <t>За сграда:</t>
  </si>
  <si>
    <t>Изкоп – 961.5м3</t>
  </si>
  <si>
    <t>Кофражни работи фундаменти и настилка – 500 м2</t>
  </si>
  <si>
    <t>Бетон фундаменти и настилка C20/25 –420 м3</t>
  </si>
  <si>
    <t>Кофражни работи к.+3.40– 1390 м2</t>
  </si>
  <si>
    <t>Бетон к.+3.40 C20/25 – 235.7 м3</t>
  </si>
  <si>
    <t>Кофражни работи к.+6.80– 1237.5 м2</t>
  </si>
  <si>
    <t>Бетон к.+6.80 C20/25 – 169.4 м3</t>
  </si>
  <si>
    <t>Армировка фундаменти</t>
  </si>
  <si>
    <t>ф6.5 – N25–25 640кг</t>
  </si>
  <si>
    <t>ф6.5 – N25–37 337кг</t>
  </si>
  <si>
    <t>Армировка за стоманобетонова настилка - N8 -2750кг</t>
  </si>
  <si>
    <t xml:space="preserve">Изкоп </t>
  </si>
  <si>
    <t xml:space="preserve">Кофражни работи фундаменти и настилка </t>
  </si>
  <si>
    <t xml:space="preserve">Бетон фундаменти и настилка C20/25 </t>
  </si>
  <si>
    <t xml:space="preserve">Бетон кота +3.40 C20/25 </t>
  </si>
  <si>
    <t>Кофражни работи кота+3.40</t>
  </si>
  <si>
    <t>Кофражни работи кота +6.80</t>
  </si>
  <si>
    <t xml:space="preserve">Бетон кота +6.80 C20/25 </t>
  </si>
  <si>
    <t>Армировка фундаменти - ф6.5 – N25–25</t>
  </si>
  <si>
    <t xml:space="preserve">Армировка - ф6.5 – N25–37 </t>
  </si>
  <si>
    <t xml:space="preserve">Армировка ф6.5 – N25–13 </t>
  </si>
  <si>
    <t>Стомана S235JR</t>
  </si>
  <si>
    <t>Кофражни работи</t>
  </si>
  <si>
    <t xml:space="preserve">Бетон C20/25 </t>
  </si>
  <si>
    <t>Армировка - ф6.5 – N25</t>
  </si>
  <si>
    <t>За външен детски басейн :</t>
  </si>
  <si>
    <t>За хале с басейн :</t>
  </si>
  <si>
    <t>За външен басейн и бар :</t>
  </si>
  <si>
    <t xml:space="preserve">Армировка ф6.5 </t>
  </si>
  <si>
    <t>Част:    ПАРКОУСТРОЙСТВО И БЛАГОУСТРОЙСТВО</t>
  </si>
  <si>
    <t>ед. мярка</t>
  </si>
  <si>
    <t>количество</t>
  </si>
  <si>
    <t>НАСТИЛКИ И СЪОРЪЖЕНИЯ</t>
  </si>
  <si>
    <t>Подготовка на земната основа за настилки (подравняване и уплътняване)</t>
  </si>
  <si>
    <t>Доставка на материали и полагане на основа от трошен камък с уплътняване</t>
  </si>
  <si>
    <t>Доставка на материали и изграждане на декоративни пешеходни настилки</t>
  </si>
  <si>
    <t>Доставка на материали и изграждане на тротоарни настилки</t>
  </si>
  <si>
    <t>Доставка на материали и изграждане на настилки на тревна фуга</t>
  </si>
  <si>
    <t>Доставка на материали и изграждане на усилени автомобилни настилки</t>
  </si>
  <si>
    <t>Доставка и монтаж на градински бордюри на бетонова основа</t>
  </si>
  <si>
    <t>м'</t>
  </si>
  <si>
    <t>Доставка и монтаж на пътни бордюри на бетонова основа</t>
  </si>
  <si>
    <t>Доставка на материали и изграждане на ударопоглъщащи настилки</t>
  </si>
  <si>
    <t>Доставка и монтаж на съоръжения за детска площадка</t>
  </si>
  <si>
    <t>Изграждане на волейболно игрище</t>
  </si>
  <si>
    <t>Изграждане на плувни басейни</t>
  </si>
  <si>
    <t>СЪЩЕСТВУВАЩА РАСТИТЕЛНОСТ</t>
  </si>
  <si>
    <t>Санитарни и оформящи резитби на съществуващи дървета (повдигане и оформяне на корони)</t>
  </si>
  <si>
    <t>Подмладителни резитби на съществуваща дървесна и храстова растителност</t>
  </si>
  <si>
    <t>Отсичане и премахване на дървета в лошо санитарно състояние с автовишка</t>
  </si>
  <si>
    <t>Събиране, временно складиране и изнасяне на растителните отпадъци от резитби и отсичане</t>
  </si>
  <si>
    <t xml:space="preserve">Транспорт и депониране на растителни отпадъци до депо за биоразградими отпадъци </t>
  </si>
  <si>
    <t xml:space="preserve">ПОЧВОПОДГОТОВКА, ДЕЙНОСТИ ПО ОЗЕЛЕНЯВАНЕТО </t>
  </si>
  <si>
    <t>Фино планиране и почистване на терена от плевели и камъни</t>
  </si>
  <si>
    <t>Доставка на хумусна почва d=10 см</t>
  </si>
  <si>
    <t>куб.м</t>
  </si>
  <si>
    <t>Разстилане на хумусна почва – механизирано</t>
  </si>
  <si>
    <t>Разстилане на хумусна почва – ръчно (в труднодостъпни зони)</t>
  </si>
  <si>
    <t>Затревяване (доставка на тревна смеска, засяване, валиране и първоначално поливане)</t>
  </si>
  <si>
    <t>Засаждане на широколистна дървесна растителност</t>
  </si>
  <si>
    <t>Засаждане на иглолистна дървесна растителност</t>
  </si>
  <si>
    <t>Засаждане на храсти, треви и цветя</t>
  </si>
  <si>
    <t>Укрепване на дървесна растителност</t>
  </si>
  <si>
    <t>Доставка и полагане на борови кори (мулч) под жив плет, Н=4 см</t>
  </si>
  <si>
    <t>Изграждане на автоматизирана поливна система (АПС)</t>
  </si>
  <si>
    <t>ДЕКОРАТИВНА РАСТИТЕЛНОСТ (ДОСТАВКА)</t>
  </si>
  <si>
    <t>Cupressocyparis leylandii (лейланд), 100/120 см</t>
  </si>
  <si>
    <t>Pinus pinea (пиния), 180/220 см</t>
  </si>
  <si>
    <t>Albizia julibrissin "Summer chocolate" (шоколадова албиция), 180/220 см</t>
  </si>
  <si>
    <t>Acer platanoides "Globosum" (кълбовиден шестил) 300/350 см</t>
  </si>
  <si>
    <t>Acer platanoides "Crimson's king" (червенолистен явор) 200/250 см</t>
  </si>
  <si>
    <t>Carpinus betulus "Fastigiata" (Колоновиден габър), 250/300 см</t>
  </si>
  <si>
    <t>Catalpa bignoides "Nana" (кълбовидна каталпа) 180/220 см</t>
  </si>
  <si>
    <t>Fraxinus ornus "Meczek" (Кълбовиден ясен), 200/250 см.</t>
  </si>
  <si>
    <t xml:space="preserve">Liriodendron tulipifera (лирово дърво) 200/250 см </t>
  </si>
  <si>
    <t>Magnolia stelata (звездовидна магнолия), 120/150 см</t>
  </si>
  <si>
    <t>Lagerstroemia indica (индийски люляк), со 5l, 40/60 см</t>
  </si>
  <si>
    <t>Prunus cerasifera Nigra (червенолистна слива), 180-220 см</t>
  </si>
  <si>
    <t>Prunus serrulata "Kanzan" (японска вишна), 200/250 см</t>
  </si>
  <si>
    <t>Ligustrum ovalifolium (лигуструм)</t>
  </si>
  <si>
    <t>ЧАСТ:    ПАРКОУСТРОЙСТВО И БЛАГОУСТРОЙСТВО</t>
  </si>
  <si>
    <t>Наименование на материала / оборудването</t>
  </si>
  <si>
    <t>Количество</t>
  </si>
  <si>
    <t>I.</t>
  </si>
  <si>
    <t>Основно оборудване</t>
  </si>
  <si>
    <t>Доставка и монтаж на фотоволтаичен панел 540Wp (Monocrystalline) Jinko, Longi, JA Solar</t>
  </si>
  <si>
    <t>Доставка и монтаж на мрежов инвертор Huawei SUN2000-50KTL-M3</t>
  </si>
  <si>
    <t>Доставка и монтаж на дата логер / Контролер Huawei SmartLogger 3000A</t>
  </si>
  <si>
    <t>Доставка и монтаж на смарт трифазен електромер Huawei DTSU666-H . В комплект с токови трансформатори (CT) 250A</t>
  </si>
  <si>
    <t>II.</t>
  </si>
  <si>
    <t>Кабелни изделия и връзки</t>
  </si>
  <si>
    <t>Доставка и изтегляне  на соларен кабел 6 mm² – Червен (Плюс)- UV и термоустойчив за външен монтаж</t>
  </si>
  <si>
    <t>Доставка  и изтегляне на соларен кабел 6 mm² – Черен (Минус)-UV и термоустойчив за външен монтаж</t>
  </si>
  <si>
    <t>Доставка и и изтегляне на силов меден кабел CBT-c (NYY) 5x35 mm²-За AC връзка от инверторите до ГРТ</t>
  </si>
  <si>
    <t>Доставка и  и изтегляне на  комуникационен кабел FTP Cat6 (или LiYCY 2x2x0.75)-За RS485 връзка инвертори - SmartLogger - Метер</t>
  </si>
  <si>
    <t>Доставка  и изтегляне на заземителен меден проводник H07V-K 16 mm² (жълто-зелен)-За допълнително локално заземяване на инверторите</t>
  </si>
  <si>
    <t>Доставка и  монтаж на соларни конектори MC4 (комплект мъжки + женски)-За кримпване на стринговете към инверторите (+резерва)</t>
  </si>
  <si>
    <t>чифт</t>
  </si>
  <si>
    <t>III.</t>
  </si>
  <si>
    <t>Електроапаратура и Табла (в ГРТ)</t>
  </si>
  <si>
    <t>Доставка и монтаж на автоматичен прекъсвач 3P 100A, Крива C (10kA)-За защита на AC линията на всеки инвертор</t>
  </si>
  <si>
    <t xml:space="preserve">Доставка и монтаж на автоматичен прекъсвач NSX 3P 250A </t>
  </si>
  <si>
    <t>Доставка и монтаж на клеморед, шини и аксесоари за монтаж в ГРТ</t>
  </si>
  <si>
    <t>IV.</t>
  </si>
  <si>
    <t>Тръбни трасета, крепежи и маркировка</t>
  </si>
  <si>
    <t>Доставка и  монтаж  перфорирана кабелна скара горещопоцинкована СП 3000/60мм</t>
  </si>
  <si>
    <t>Доставка и монтаж на гофрирана тръба със защита от UV лъчи Ф32 -За защита на соларните кабели по покрив/стена</t>
  </si>
  <si>
    <t>Доставка и монтаж на твърда ПВЦ тръба (сива, UV защитена) Ф50/Ф63-За полагане на AC кабелите 5х35 по фасадата/стената</t>
  </si>
  <si>
    <t>Направа на суха разделка на силов кабел за сечение до 5х35мм2</t>
  </si>
  <si>
    <t>Свързване на проводник към съоръжение дo 35мм2</t>
  </si>
  <si>
    <t>Доставка и монтаж на скоби, крепежи и дюбели за тръбни трасета-За фиксиране на тръбите по термопанел</t>
  </si>
  <si>
    <t>к-кт</t>
  </si>
  <si>
    <t>Доставка и монтаж на кабелни превръзки (свински опашки) - UV защитени (черни)-За привързване на кабелите под конструкцията на покрива</t>
  </si>
  <si>
    <t xml:space="preserve">Прозвъняване и подсъединяване жилата на соларни кабели за сечение до 6мм2 </t>
  </si>
  <si>
    <t xml:space="preserve">Доставка и монтаж на кабелни маркери (ПВЦ клипси с цифри/букви)-За етикетиране на стринговете </t>
  </si>
  <si>
    <t>Заземителна инсталация</t>
  </si>
  <si>
    <t>Доставка и монтаж на заземително въже AlMgSi ф8мм откритос крепежни елементи по покривна конструкция</t>
  </si>
  <si>
    <t>Направа на заземление  с 2 броя зазем. колове 63/63/6 мм, L=1,54м за конструкцията на покривна соларна система</t>
  </si>
  <si>
    <t>Направа на заземление с 2 броя зазем. колове  63/63/6 мм, L=1,54м за соларни инвертори</t>
  </si>
  <si>
    <t>V.</t>
  </si>
  <si>
    <t>Контролни измервания</t>
  </si>
  <si>
    <t>Контролнии измервания на заземление</t>
  </si>
  <si>
    <t>Проверка изолацията на кабели с повишено напрежение посредством мегер</t>
  </si>
  <si>
    <t>Функционален пуск и настройка на системата</t>
  </si>
  <si>
    <t>чч</t>
  </si>
  <si>
    <t>72-часови проби на соларната инсталация</t>
  </si>
  <si>
    <t>септември 2026г.                                            Проектант:</t>
  </si>
  <si>
    <t>част : Фотоволтаична система</t>
  </si>
  <si>
    <t>Подобект: Фотоволтаична система</t>
  </si>
  <si>
    <t xml:space="preserve"> /инж. Ат. Костадинов/</t>
  </si>
  <si>
    <t>Фаза: ТП</t>
  </si>
  <si>
    <t>част: ТЕХНОЛОГИЯ : БИСТРО -ТОПЛА КУХНЯ И ВЪНШЕН МОКЪР БЮФЕТ</t>
  </si>
  <si>
    <t>БИСТРО -ТОПЛА КУХНЯ</t>
  </si>
  <si>
    <t xml:space="preserve"> * Секция топлообменна с изпарител/кондензатор с капацитет на изсушаване 99кг/ч</t>
  </si>
  <si>
    <t>Климатична камера - конструкции от алуминиеви профили и изолирани страници с дебелина 45мм, прахово покритие, включваща термопомпен агрегат, Scroll компресор Copeland с</t>
  </si>
  <si>
    <t xml:space="preserve"> * Секция вентилаторна нагнетателна с дебит V=14500м3/ч, Нсв=400Ра, 
к-т с центробежен вентилатор с директно куплиран двигател тип Plug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</si>
</sst>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1" formatCode="0.0"/>
  </numFmts>
  <fonts count="56" x14ac:knownFonts="1">
    <font>
      <sz val="10"/>
      <name val="Arial"/>
      <charset val="204"/>
    </font>
    <font>
      <sz val="10"/>
      <name val="Arial"/>
      <charset val="204"/>
    </font>
    <font>
      <sz val="10"/>
      <name val="Arial"/>
      <family val="2"/>
    </font>
    <font>
      <sz val="10"/>
      <name val="Times New Roman"/>
      <family val="1"/>
      <charset val="204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b/>
      <sz val="10"/>
      <name val="Tahoma"/>
      <family val="2"/>
      <charset val="204"/>
    </font>
    <font>
      <sz val="10"/>
      <name val="Tahoma"/>
      <family val="2"/>
      <charset val="204"/>
    </font>
    <font>
      <b/>
      <sz val="12"/>
      <name val="Tahoma"/>
      <family val="2"/>
      <charset val="204"/>
    </font>
    <font>
      <sz val="12"/>
      <name val="Tahoma"/>
      <family val="2"/>
      <charset val="204"/>
    </font>
    <font>
      <sz val="10"/>
      <name val="Arial"/>
      <family val="2"/>
      <charset val="204"/>
    </font>
    <font>
      <b/>
      <sz val="11"/>
      <color indexed="8"/>
      <name val="Tahoma"/>
      <family val="2"/>
      <charset val="204"/>
    </font>
    <font>
      <b/>
      <u/>
      <sz val="11"/>
      <color indexed="8"/>
      <name val="Tahoma"/>
      <family val="2"/>
      <charset val="204"/>
    </font>
    <font>
      <b/>
      <sz val="11"/>
      <color indexed="10"/>
      <name val="Tahoma"/>
      <family val="2"/>
      <charset val="204"/>
    </font>
    <font>
      <b/>
      <sz val="11"/>
      <color indexed="10"/>
      <name val="Tahoma"/>
      <family val="2"/>
      <charset val="204"/>
    </font>
    <font>
      <b/>
      <sz val="11"/>
      <color indexed="10"/>
      <name val="Tahoma"/>
      <family val="2"/>
      <charset val="204"/>
    </font>
    <font>
      <b/>
      <sz val="11"/>
      <name val="Arial"/>
      <family val="2"/>
      <charset val="204"/>
    </font>
    <font>
      <b/>
      <sz val="11"/>
      <color indexed="10"/>
      <name val="Tahoma"/>
      <family val="2"/>
      <charset val="204"/>
    </font>
    <font>
      <sz val="11"/>
      <color indexed="8"/>
      <name val="Tahoma"/>
      <family val="2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0"/>
      <name val="Helv"/>
      <family val="2"/>
    </font>
    <font>
      <strike/>
      <sz val="10"/>
      <name val="Tahoma"/>
      <family val="2"/>
      <charset val="204"/>
    </font>
    <font>
      <b/>
      <sz val="14"/>
      <name val="Tahoma"/>
      <family val="2"/>
      <charset val="204"/>
    </font>
    <font>
      <b/>
      <sz val="16"/>
      <name val="Tahoma"/>
      <family val="2"/>
      <charset val="204"/>
    </font>
    <font>
      <b/>
      <sz val="12"/>
      <name val="Arial"/>
      <family val="2"/>
      <charset val="204"/>
    </font>
    <font>
      <b/>
      <i/>
      <sz val="11"/>
      <name val="Tahoma"/>
      <family val="2"/>
      <charset val="204"/>
    </font>
    <font>
      <sz val="11"/>
      <color indexed="8"/>
      <name val="Tahoma"/>
      <family val="2"/>
      <charset val="204"/>
    </font>
    <font>
      <b/>
      <sz val="14"/>
      <color indexed="8"/>
      <name val="Tahoma"/>
      <family val="2"/>
      <charset val="204"/>
    </font>
    <font>
      <sz val="11"/>
      <color indexed="63"/>
      <name val="Tahoma"/>
      <family val="2"/>
      <charset val="204"/>
    </font>
    <font>
      <b/>
      <sz val="10"/>
      <color indexed="8"/>
      <name val="Tahoma"/>
      <family val="2"/>
      <charset val="204"/>
    </font>
    <font>
      <b/>
      <sz val="9"/>
      <color indexed="81"/>
      <name val="Segoe UI"/>
      <family val="2"/>
      <charset val="204"/>
    </font>
    <font>
      <sz val="12"/>
      <color rgb="FFFF0000"/>
      <name val="Tahoma"/>
      <family val="2"/>
      <charset val="204"/>
    </font>
    <font>
      <sz val="11"/>
      <color rgb="FFFF0000"/>
      <name val="Tahoma"/>
      <family val="2"/>
      <charset val="204"/>
    </font>
    <font>
      <b/>
      <sz val="12"/>
      <color rgb="FFFF0000"/>
      <name val="Tahoma"/>
      <family val="2"/>
      <charset val="204"/>
    </font>
    <font>
      <sz val="10"/>
      <color rgb="FFFF0000"/>
      <name val="Tahoma"/>
      <family val="2"/>
      <charset val="204"/>
    </font>
    <font>
      <b/>
      <sz val="11"/>
      <color rgb="FFFF0000"/>
      <name val="Tahoma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Tahoma"/>
      <family val="2"/>
      <charset val="204"/>
    </font>
    <font>
      <b/>
      <sz val="12"/>
      <color theme="1"/>
      <name val="Tahoma"/>
      <family val="2"/>
      <charset val="204"/>
    </font>
    <font>
      <b/>
      <sz val="11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sz val="10"/>
      <color theme="1"/>
      <name val="Times New Roman"/>
      <family val="1"/>
      <charset val="204"/>
    </font>
    <font>
      <b/>
      <sz val="10"/>
      <color rgb="FFFF0000"/>
      <name val="Tahoma"/>
      <family val="2"/>
      <charset val="204"/>
    </font>
    <font>
      <b/>
      <sz val="16"/>
      <color theme="1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rgb="FF000000"/>
      <name val="Tahoma"/>
      <family val="2"/>
      <charset val="204"/>
    </font>
    <font>
      <sz val="10"/>
      <color rgb="FFC9211E"/>
      <name val="Tahoma"/>
      <family val="2"/>
      <charset val="204"/>
    </font>
    <font>
      <sz val="11"/>
      <color rgb="FF000000"/>
      <name val="Tahoma"/>
      <family val="2"/>
      <charset val="204"/>
    </font>
    <font>
      <b/>
      <sz val="12"/>
      <color rgb="FF000000"/>
      <name val="Tahoma"/>
      <family val="2"/>
      <charset val="204"/>
    </font>
    <font>
      <b/>
      <sz val="14"/>
      <color theme="1"/>
      <name val="Tahoma"/>
      <family val="2"/>
      <charset val="204"/>
    </font>
    <font>
      <b/>
      <sz val="11"/>
      <color rgb="FF000000"/>
      <name val="Tahoma"/>
      <family val="2"/>
      <charset val="204"/>
    </font>
    <font>
      <b/>
      <sz val="10.5"/>
      <color theme="1"/>
      <name val="Tahoma"/>
      <family val="2"/>
      <charset val="204"/>
    </font>
    <font>
      <b/>
      <sz val="14"/>
      <color rgb="FF000000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DFE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10" fillId="0" borderId="0"/>
    <xf numFmtId="0" fontId="19" fillId="0" borderId="0"/>
    <xf numFmtId="0" fontId="10" fillId="0" borderId="0"/>
    <xf numFmtId="9" fontId="1" fillId="0" borderId="0" applyFont="0" applyFill="0" applyBorder="0" applyAlignment="0" applyProtection="0"/>
  </cellStyleXfs>
  <cellXfs count="53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 wrapText="1"/>
    </xf>
    <xf numFmtId="1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right" vertical="center"/>
    </xf>
    <xf numFmtId="2" fontId="5" fillId="0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10" fillId="0" borderId="0" xfId="0" applyFont="1"/>
    <xf numFmtId="0" fontId="5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right" vertical="center" wrapText="1"/>
    </xf>
    <xf numFmtId="2" fontId="4" fillId="0" borderId="1" xfId="0" applyNumberFormat="1" applyFont="1" applyBorder="1" applyAlignment="1">
      <alignment vertical="center" wrapText="1"/>
    </xf>
    <xf numFmtId="0" fontId="4" fillId="0" borderId="1" xfId="8" applyFont="1" applyFill="1" applyBorder="1" applyAlignment="1">
      <alignment vertical="center" wrapText="1"/>
    </xf>
    <xf numFmtId="0" fontId="34" fillId="0" borderId="0" xfId="0" applyFont="1" applyAlignment="1">
      <alignment vertical="center" wrapText="1"/>
    </xf>
    <xf numFmtId="2" fontId="35" fillId="0" borderId="0" xfId="0" applyNumberFormat="1" applyFont="1" applyAlignment="1">
      <alignment vertical="center" wrapText="1"/>
    </xf>
    <xf numFmtId="2" fontId="35" fillId="0" borderId="0" xfId="0" applyNumberFormat="1" applyFont="1" applyAlignment="1">
      <alignment horizontal="right" vertical="center" wrapText="1"/>
    </xf>
    <xf numFmtId="0" fontId="36" fillId="0" borderId="0" xfId="0" applyFont="1" applyBorder="1" applyAlignment="1">
      <alignment vertical="center" wrapText="1"/>
    </xf>
    <xf numFmtId="0" fontId="37" fillId="0" borderId="1" xfId="0" applyFont="1" applyFill="1" applyBorder="1" applyAlignment="1">
      <alignment vertical="center" wrapText="1"/>
    </xf>
    <xf numFmtId="0" fontId="38" fillId="0" borderId="1" xfId="0" applyFont="1" applyFill="1" applyBorder="1" applyAlignment="1">
      <alignment vertical="center" wrapText="1"/>
    </xf>
    <xf numFmtId="1" fontId="35" fillId="0" borderId="1" xfId="0" applyNumberFormat="1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vertical="center" wrapText="1"/>
    </xf>
    <xf numFmtId="2" fontId="35" fillId="0" borderId="1" xfId="0" applyNumberFormat="1" applyFont="1" applyFill="1" applyBorder="1" applyAlignment="1">
      <alignment horizontal="center" vertical="center"/>
    </xf>
    <xf numFmtId="1" fontId="38" fillId="0" borderId="1" xfId="0" applyNumberFormat="1" applyFont="1" applyFill="1" applyBorder="1" applyAlignment="1">
      <alignment horizontal="center" vertical="center" wrapText="1"/>
    </xf>
    <xf numFmtId="2" fontId="38" fillId="0" borderId="1" xfId="0" applyNumberFormat="1" applyFont="1" applyFill="1" applyBorder="1" applyAlignment="1">
      <alignment horizontal="right" vertical="center" wrapText="1"/>
    </xf>
    <xf numFmtId="2" fontId="35" fillId="0" borderId="1" xfId="0" applyNumberFormat="1" applyFont="1" applyFill="1" applyBorder="1" applyAlignment="1">
      <alignment horizontal="right" vertical="center" wrapText="1"/>
    </xf>
    <xf numFmtId="1" fontId="38" fillId="0" borderId="1" xfId="0" applyNumberFormat="1" applyFont="1" applyFill="1" applyBorder="1" applyAlignment="1">
      <alignment horizontal="right" vertical="center"/>
    </xf>
    <xf numFmtId="0" fontId="38" fillId="0" borderId="1" xfId="8" applyFont="1" applyFill="1" applyBorder="1" applyAlignment="1">
      <alignment vertical="center" wrapText="1"/>
    </xf>
    <xf numFmtId="2" fontId="35" fillId="0" borderId="1" xfId="0" applyNumberFormat="1" applyFont="1" applyFill="1" applyBorder="1" applyAlignment="1">
      <alignment horizontal="right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2" fontId="38" fillId="0" borderId="1" xfId="0" applyNumberFormat="1" applyFont="1" applyFill="1" applyBorder="1" applyAlignment="1">
      <alignment horizontal="right" vertical="center"/>
    </xf>
    <xf numFmtId="2" fontId="38" fillId="0" borderId="1" xfId="0" applyNumberFormat="1" applyFont="1" applyFill="1" applyBorder="1" applyAlignment="1">
      <alignment horizontal="center" vertical="center"/>
    </xf>
    <xf numFmtId="1" fontId="35" fillId="0" borderId="1" xfId="0" applyNumberFormat="1" applyFont="1" applyFill="1" applyBorder="1" applyAlignment="1">
      <alignment horizontal="center" vertical="center"/>
    </xf>
    <xf numFmtId="1" fontId="38" fillId="0" borderId="1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Fill="1" applyAlignment="1">
      <alignment horizontal="center" vertical="center" wrapText="1"/>
    </xf>
    <xf numFmtId="2" fontId="35" fillId="0" borderId="0" xfId="0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2" fontId="35" fillId="0" borderId="0" xfId="0" applyNumberFormat="1" applyFont="1" applyFill="1" applyBorder="1" applyAlignment="1">
      <alignment horizontal="right" vertical="center"/>
    </xf>
    <xf numFmtId="0" fontId="39" fillId="0" borderId="0" xfId="0" applyFont="1" applyFill="1"/>
    <xf numFmtId="0" fontId="40" fillId="0" borderId="0" xfId="0" applyFont="1" applyAlignment="1">
      <alignment vertical="center" wrapText="1"/>
    </xf>
    <xf numFmtId="0" fontId="41" fillId="0" borderId="0" xfId="0" applyFont="1" applyBorder="1" applyAlignment="1">
      <alignment vertical="center" wrapText="1"/>
    </xf>
    <xf numFmtId="0" fontId="42" fillId="0" borderId="0" xfId="0" applyFont="1" applyBorder="1" applyAlignment="1">
      <alignment vertical="center" wrapText="1"/>
    </xf>
    <xf numFmtId="0" fontId="40" fillId="0" borderId="0" xfId="0" applyFont="1" applyFill="1" applyAlignment="1">
      <alignment vertical="center" wrapText="1"/>
    </xf>
    <xf numFmtId="0" fontId="43" fillId="0" borderId="0" xfId="0" applyFont="1" applyAlignment="1">
      <alignment horizontal="center" vertical="center" wrapText="1"/>
    </xf>
    <xf numFmtId="0" fontId="43" fillId="0" borderId="0" xfId="0" applyFont="1" applyFill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 wrapText="1"/>
    </xf>
    <xf numFmtId="2" fontId="43" fillId="0" borderId="0" xfId="0" applyNumberFormat="1" applyFont="1" applyBorder="1" applyAlignment="1">
      <alignment horizontal="center" vertical="center" wrapText="1"/>
    </xf>
    <xf numFmtId="1" fontId="43" fillId="0" borderId="0" xfId="0" applyNumberFormat="1" applyFont="1" applyBorder="1" applyAlignment="1">
      <alignment horizontal="center" vertical="center" wrapText="1"/>
    </xf>
    <xf numFmtId="2" fontId="43" fillId="0" borderId="0" xfId="0" applyNumberFormat="1" applyFont="1" applyFill="1" applyBorder="1" applyAlignment="1">
      <alignment horizontal="right" vertical="center" wrapText="1"/>
    </xf>
    <xf numFmtId="0" fontId="44" fillId="0" borderId="0" xfId="0" applyFont="1" applyAlignment="1">
      <alignment vertical="center" wrapText="1"/>
    </xf>
    <xf numFmtId="0" fontId="42" fillId="0" borderId="1" xfId="0" applyFont="1" applyFill="1" applyBorder="1" applyAlignment="1">
      <alignment horizontal="center" vertical="center" wrapText="1"/>
    </xf>
    <xf numFmtId="2" fontId="40" fillId="0" borderId="1" xfId="0" applyNumberFormat="1" applyFont="1" applyFill="1" applyBorder="1" applyAlignment="1">
      <alignment horizontal="center" vertical="center" wrapText="1"/>
    </xf>
    <xf numFmtId="1" fontId="40" fillId="0" borderId="1" xfId="0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5" fillId="0" borderId="1" xfId="8" applyFont="1" applyFill="1" applyBorder="1" applyAlignment="1">
      <alignment vertical="center" wrapText="1"/>
    </xf>
    <xf numFmtId="1" fontId="35" fillId="0" borderId="0" xfId="0" applyNumberFormat="1" applyFont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 wrapText="1"/>
    </xf>
    <xf numFmtId="0" fontId="42" fillId="4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8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49" fontId="8" fillId="3" borderId="1" xfId="0" applyNumberFormat="1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vertical="center" wrapText="1"/>
    </xf>
    <xf numFmtId="0" fontId="7" fillId="0" borderId="1" xfId="0" applyFont="1" applyBorder="1"/>
    <xf numFmtId="2" fontId="5" fillId="0" borderId="1" xfId="0" applyNumberFormat="1" applyFont="1" applyBorder="1" applyAlignment="1">
      <alignment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/>
    </xf>
    <xf numFmtId="2" fontId="35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vertical="center" wrapText="1"/>
    </xf>
    <xf numFmtId="2" fontId="5" fillId="0" borderId="1" xfId="0" applyNumberFormat="1" applyFont="1" applyFill="1" applyBorder="1" applyAlignment="1">
      <alignment vertical="center" wrapText="1"/>
    </xf>
    <xf numFmtId="0" fontId="46" fillId="2" borderId="0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vertical="center" wrapText="1"/>
    </xf>
    <xf numFmtId="0" fontId="41" fillId="0" borderId="0" xfId="0" applyFont="1" applyFill="1" applyBorder="1" applyAlignment="1">
      <alignment horizontal="left" vertical="center"/>
    </xf>
    <xf numFmtId="0" fontId="44" fillId="0" borderId="0" xfId="0" applyFont="1" applyFill="1" applyAlignment="1">
      <alignment vertical="center" wrapText="1"/>
    </xf>
    <xf numFmtId="0" fontId="10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37" fillId="0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2" fontId="4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vertical="center" wrapText="1"/>
    </xf>
    <xf numFmtId="0" fontId="43" fillId="0" borderId="1" xfId="0" applyFont="1" applyFill="1" applyBorder="1" applyAlignment="1">
      <alignment horizontal="center" vertical="center"/>
    </xf>
    <xf numFmtId="2" fontId="43" fillId="0" borderId="1" xfId="0" applyNumberFormat="1" applyFont="1" applyFill="1" applyBorder="1" applyAlignment="1">
      <alignment horizontal="right" vertical="center"/>
    </xf>
    <xf numFmtId="0" fontId="42" fillId="0" borderId="1" xfId="0" applyFont="1" applyFill="1" applyBorder="1" applyAlignment="1">
      <alignment horizontal="left" vertical="center"/>
    </xf>
    <xf numFmtId="2" fontId="42" fillId="0" borderId="1" xfId="0" applyNumberFormat="1" applyFont="1" applyFill="1" applyBorder="1" applyAlignment="1">
      <alignment horizontal="right" vertical="center"/>
    </xf>
    <xf numFmtId="0" fontId="41" fillId="4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left" vertical="center"/>
    </xf>
    <xf numFmtId="0" fontId="40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6" fillId="2" borderId="0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2" fontId="4" fillId="0" borderId="1" xfId="0" applyNumberFormat="1" applyFont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37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vertical="center"/>
    </xf>
    <xf numFmtId="0" fontId="5" fillId="0" borderId="1" xfId="0" applyFont="1" applyBorder="1"/>
    <xf numFmtId="2" fontId="5" fillId="0" borderId="1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horizontal="right" vertical="center"/>
    </xf>
    <xf numFmtId="0" fontId="9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justify" vertical="center"/>
    </xf>
    <xf numFmtId="0" fontId="45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7" fillId="0" borderId="1" xfId="0" applyFont="1" applyFill="1" applyBorder="1"/>
    <xf numFmtId="0" fontId="8" fillId="3" borderId="1" xfId="0" applyFont="1" applyFill="1" applyBorder="1" applyAlignment="1">
      <alignment horizontal="left" vertical="center"/>
    </xf>
    <xf numFmtId="0" fontId="45" fillId="3" borderId="1" xfId="0" applyFont="1" applyFill="1" applyBorder="1" applyAlignment="1">
      <alignment horizontal="center" vertical="center"/>
    </xf>
    <xf numFmtId="2" fontId="35" fillId="3" borderId="1" xfId="0" applyNumberFormat="1" applyFont="1" applyFill="1" applyBorder="1" applyAlignment="1">
      <alignment horizontal="center" vertical="center"/>
    </xf>
    <xf numFmtId="2" fontId="43" fillId="0" borderId="1" xfId="0" applyNumberFormat="1" applyFont="1" applyFill="1" applyBorder="1" applyAlignment="1">
      <alignment horizontal="center" vertical="center"/>
    </xf>
    <xf numFmtId="9" fontId="37" fillId="0" borderId="1" xfId="9" applyFont="1" applyFill="1" applyBorder="1" applyAlignment="1">
      <alignment horizontal="center" vertical="center" wrapText="1"/>
    </xf>
    <xf numFmtId="9" fontId="45" fillId="0" borderId="1" xfId="9" applyFont="1" applyBorder="1" applyAlignment="1">
      <alignment horizontal="center" vertical="center"/>
    </xf>
    <xf numFmtId="9" fontId="35" fillId="0" borderId="1" xfId="9" applyFont="1" applyBorder="1" applyAlignment="1">
      <alignment horizontal="center" vertical="center"/>
    </xf>
    <xf numFmtId="9" fontId="35" fillId="0" borderId="1" xfId="9" applyFont="1" applyFill="1" applyBorder="1" applyAlignment="1">
      <alignment horizontal="right" vertical="center"/>
    </xf>
    <xf numFmtId="9" fontId="2" fillId="0" borderId="0" xfId="9" applyFont="1"/>
    <xf numFmtId="9" fontId="4" fillId="0" borderId="1" xfId="9" applyFont="1" applyFill="1" applyBorder="1" applyAlignment="1">
      <alignment horizontal="left" vertical="center" wrapText="1"/>
    </xf>
    <xf numFmtId="9" fontId="5" fillId="0" borderId="1" xfId="9" applyFont="1" applyFill="1" applyBorder="1" applyAlignment="1">
      <alignment horizontal="center" vertical="center"/>
    </xf>
    <xf numFmtId="9" fontId="35" fillId="0" borderId="1" xfId="9" applyFont="1" applyFill="1" applyBorder="1" applyAlignment="1">
      <alignment horizontal="center" vertical="center"/>
    </xf>
    <xf numFmtId="0" fontId="4" fillId="0" borderId="1" xfId="9" applyNumberFormat="1" applyFont="1" applyFill="1" applyBorder="1" applyAlignment="1">
      <alignment horizontal="right" vertical="center"/>
    </xf>
    <xf numFmtId="2" fontId="5" fillId="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Border="1"/>
    <xf numFmtId="0" fontId="44" fillId="0" borderId="1" xfId="0" applyFont="1" applyFill="1" applyBorder="1" applyAlignment="1">
      <alignment vertical="center" wrapText="1"/>
    </xf>
    <xf numFmtId="0" fontId="43" fillId="0" borderId="1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vertical="center"/>
    </xf>
    <xf numFmtId="0" fontId="37" fillId="0" borderId="1" xfId="0" applyFont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9" fontId="7" fillId="0" borderId="1" xfId="9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" xfId="9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1" fillId="0" borderId="0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justify" vertical="center" wrapText="1"/>
    </xf>
    <xf numFmtId="0" fontId="20" fillId="0" borderId="0" xfId="0" applyFont="1"/>
    <xf numFmtId="0" fontId="46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" fontId="11" fillId="0" borderId="1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6" fillId="0" borderId="0" xfId="0" applyFont="1" applyBorder="1" applyAlignment="1">
      <alignment horizontal="center" vertical="center" wrapText="1"/>
    </xf>
    <xf numFmtId="0" fontId="47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1" fillId="0" borderId="0" xfId="0" applyFont="1" applyBorder="1" applyAlignment="1">
      <alignment horizontal="left" vertical="center"/>
    </xf>
    <xf numFmtId="0" fontId="47" fillId="0" borderId="1" xfId="0" applyFont="1" applyFill="1" applyBorder="1" applyAlignment="1">
      <alignment vertical="center" wrapText="1"/>
    </xf>
    <xf numFmtId="0" fontId="47" fillId="0" borderId="1" xfId="0" applyFont="1" applyFill="1" applyBorder="1" applyAlignment="1">
      <alignment horizontal="center" vertical="center" wrapText="1"/>
    </xf>
    <xf numFmtId="2" fontId="4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0" borderId="1" xfId="7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justify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2" fontId="5" fillId="0" borderId="0" xfId="0" applyNumberFormat="1" applyFont="1" applyBorder="1"/>
    <xf numFmtId="49" fontId="4" fillId="2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5" fillId="0" borderId="5" xfId="0" applyFont="1" applyBorder="1" applyAlignment="1">
      <alignment vertical="center"/>
    </xf>
    <xf numFmtId="2" fontId="5" fillId="0" borderId="6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27" fillId="0" borderId="0" xfId="0" applyFont="1"/>
    <xf numFmtId="0" fontId="5" fillId="0" borderId="5" xfId="3" applyFont="1" applyBorder="1" applyAlignment="1">
      <alignment vertical="center" wrapText="1"/>
    </xf>
    <xf numFmtId="0" fontId="5" fillId="0" borderId="7" xfId="3" applyFont="1" applyBorder="1" applyAlignment="1">
      <alignment vertical="center"/>
    </xf>
    <xf numFmtId="0" fontId="5" fillId="0" borderId="7" xfId="3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27" fillId="0" borderId="0" xfId="0" applyFont="1" applyAlignment="1">
      <alignment vertical="center"/>
    </xf>
    <xf numFmtId="0" fontId="8" fillId="0" borderId="0" xfId="3" applyFont="1" applyAlignment="1">
      <alignment vertical="center"/>
    </xf>
    <xf numFmtId="0" fontId="9" fillId="0" borderId="0" xfId="3" applyFont="1" applyAlignment="1">
      <alignment vertical="center"/>
    </xf>
    <xf numFmtId="0" fontId="9" fillId="0" borderId="0" xfId="1" applyFont="1" applyAlignment="1">
      <alignment vertical="center"/>
    </xf>
    <xf numFmtId="0" fontId="5" fillId="0" borderId="1" xfId="3" applyFont="1" applyBorder="1" applyAlignment="1">
      <alignment horizontal="center" vertical="center"/>
    </xf>
    <xf numFmtId="2" fontId="5" fillId="0" borderId="1" xfId="3" applyNumberFormat="1" applyFont="1" applyBorder="1" applyAlignment="1">
      <alignment horizontal="right" vertical="center"/>
    </xf>
    <xf numFmtId="2" fontId="5" fillId="0" borderId="1" xfId="3" applyNumberFormat="1" applyFont="1" applyBorder="1" applyAlignment="1">
      <alignment horizontal="center" vertical="center"/>
    </xf>
    <xf numFmtId="2" fontId="5" fillId="0" borderId="6" xfId="3" applyNumberFormat="1" applyFont="1" applyBorder="1" applyAlignment="1">
      <alignment vertical="center"/>
    </xf>
    <xf numFmtId="0" fontId="5" fillId="0" borderId="1" xfId="3" applyFont="1" applyBorder="1" applyAlignment="1">
      <alignment vertical="center"/>
    </xf>
    <xf numFmtId="0" fontId="5" fillId="0" borderId="8" xfId="3" applyFont="1" applyBorder="1" applyAlignment="1">
      <alignment horizontal="center" vertical="center"/>
    </xf>
    <xf numFmtId="0" fontId="5" fillId="0" borderId="8" xfId="3" applyFont="1" applyBorder="1" applyAlignment="1">
      <alignment vertical="center"/>
    </xf>
    <xf numFmtId="2" fontId="5" fillId="0" borderId="8" xfId="3" applyNumberFormat="1" applyFont="1" applyBorder="1" applyAlignment="1">
      <alignment horizontal="center" vertical="center"/>
    </xf>
    <xf numFmtId="2" fontId="5" fillId="0" borderId="9" xfId="3" applyNumberFormat="1" applyFont="1" applyBorder="1" applyAlignment="1">
      <alignment vertical="center"/>
    </xf>
    <xf numFmtId="0" fontId="4" fillId="0" borderId="0" xfId="3" applyFont="1" applyAlignment="1">
      <alignment vertical="center"/>
    </xf>
    <xf numFmtId="1" fontId="5" fillId="0" borderId="1" xfId="0" applyNumberFormat="1" applyFont="1" applyBorder="1" applyAlignment="1">
      <alignment horizontal="right" vertical="center"/>
    </xf>
    <xf numFmtId="0" fontId="5" fillId="0" borderId="1" xfId="6" applyFont="1" applyBorder="1" applyAlignment="1">
      <alignment horizontal="center" vertical="center"/>
    </xf>
    <xf numFmtId="0" fontId="5" fillId="0" borderId="0" xfId="3" applyFont="1" applyAlignment="1">
      <alignment vertical="center"/>
    </xf>
    <xf numFmtId="0" fontId="7" fillId="0" borderId="10" xfId="3" applyFont="1" applyBorder="1" applyAlignment="1">
      <alignment vertical="center"/>
    </xf>
    <xf numFmtId="0" fontId="7" fillId="0" borderId="11" xfId="3" applyFont="1" applyBorder="1" applyAlignment="1">
      <alignment vertical="center"/>
    </xf>
    <xf numFmtId="0" fontId="7" fillId="0" borderId="11" xfId="3" applyFont="1" applyBorder="1" applyAlignment="1">
      <alignment horizontal="center" vertical="center"/>
    </xf>
    <xf numFmtId="0" fontId="5" fillId="0" borderId="6" xfId="3" applyFont="1" applyBorder="1" applyAlignment="1">
      <alignment vertical="center"/>
    </xf>
    <xf numFmtId="0" fontId="5" fillId="0" borderId="12" xfId="3" applyFont="1" applyBorder="1" applyAlignment="1">
      <alignment vertical="center"/>
    </xf>
    <xf numFmtId="2" fontId="5" fillId="0" borderId="13" xfId="3" applyNumberFormat="1" applyFont="1" applyBorder="1" applyAlignment="1">
      <alignment vertical="center"/>
    </xf>
    <xf numFmtId="0" fontId="7" fillId="0" borderId="14" xfId="3" applyFont="1" applyBorder="1" applyAlignment="1">
      <alignment horizontal="center" vertical="center"/>
    </xf>
    <xf numFmtId="0" fontId="5" fillId="0" borderId="15" xfId="3" applyFont="1" applyBorder="1" applyAlignment="1">
      <alignment vertical="center"/>
    </xf>
    <xf numFmtId="0" fontId="5" fillId="0" borderId="15" xfId="3" applyFont="1" applyBorder="1" applyAlignment="1">
      <alignment horizontal="center" vertical="center"/>
    </xf>
    <xf numFmtId="2" fontId="5" fillId="0" borderId="15" xfId="3" applyNumberFormat="1" applyFont="1" applyBorder="1" applyAlignment="1">
      <alignment horizontal="center" vertical="center"/>
    </xf>
    <xf numFmtId="1" fontId="5" fillId="0" borderId="16" xfId="3" applyNumberFormat="1" applyFont="1" applyBorder="1" applyAlignment="1">
      <alignment vertical="center"/>
    </xf>
    <xf numFmtId="0" fontId="7" fillId="0" borderId="17" xfId="3" applyFont="1" applyBorder="1" applyAlignment="1">
      <alignment horizontal="center" vertical="center"/>
    </xf>
    <xf numFmtId="0" fontId="5" fillId="0" borderId="1" xfId="6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left" vertical="center" wrapText="1"/>
    </xf>
    <xf numFmtId="2" fontId="5" fillId="0" borderId="1" xfId="3" applyNumberFormat="1" applyFont="1" applyBorder="1" applyAlignment="1">
      <alignment vertical="center"/>
    </xf>
    <xf numFmtId="1" fontId="5" fillId="0" borderId="1" xfId="3" applyNumberFormat="1" applyFont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right" vertical="center" wrapText="1"/>
    </xf>
    <xf numFmtId="0" fontId="5" fillId="0" borderId="1" xfId="6" applyFont="1" applyBorder="1" applyAlignment="1">
      <alignment horizontal="center" vertical="center" wrapText="1"/>
    </xf>
    <xf numFmtId="0" fontId="7" fillId="0" borderId="1" xfId="3" applyFont="1" applyBorder="1" applyAlignment="1">
      <alignment vertical="center"/>
    </xf>
    <xf numFmtId="0" fontId="5" fillId="0" borderId="1" xfId="3" applyFont="1" applyBorder="1" applyAlignment="1">
      <alignment horizontal="left" vertical="center"/>
    </xf>
    <xf numFmtId="0" fontId="5" fillId="0" borderId="1" xfId="3" applyFont="1" applyBorder="1" applyAlignment="1">
      <alignment vertical="center" wrapText="1"/>
    </xf>
    <xf numFmtId="0" fontId="5" fillId="0" borderId="18" xfId="3" applyFont="1" applyBorder="1" applyAlignment="1">
      <alignment horizontal="center" vertical="center"/>
    </xf>
    <xf numFmtId="0" fontId="5" fillId="0" borderId="15" xfId="3" applyFont="1" applyBorder="1" applyAlignment="1">
      <alignment vertical="center" wrapText="1"/>
    </xf>
    <xf numFmtId="0" fontId="5" fillId="0" borderId="8" xfId="3" applyFont="1" applyBorder="1" applyAlignment="1">
      <alignment vertical="center" wrapText="1"/>
    </xf>
    <xf numFmtId="191" fontId="5" fillId="0" borderId="1" xfId="3" applyNumberFormat="1" applyFont="1" applyBorder="1" applyAlignment="1">
      <alignment horizontal="center" vertical="center"/>
    </xf>
    <xf numFmtId="0" fontId="43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right" vertical="center" wrapText="1"/>
    </xf>
    <xf numFmtId="2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horizontal="right" vertical="center"/>
    </xf>
    <xf numFmtId="9" fontId="5" fillId="0" borderId="1" xfId="9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48" fillId="5" borderId="1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indent="15"/>
    </xf>
    <xf numFmtId="0" fontId="49" fillId="0" borderId="0" xfId="0" applyFont="1" applyAlignment="1">
      <alignment horizontal="justify" vertical="center"/>
    </xf>
    <xf numFmtId="0" fontId="50" fillId="5" borderId="18" xfId="0" applyFont="1" applyFill="1" applyBorder="1" applyAlignment="1">
      <alignment horizontal="center" vertical="center" wrapText="1"/>
    </xf>
    <xf numFmtId="0" fontId="50" fillId="5" borderId="20" xfId="0" applyFont="1" applyFill="1" applyBorder="1" applyAlignment="1">
      <alignment horizontal="justify" vertical="center" wrapText="1"/>
    </xf>
    <xf numFmtId="0" fontId="50" fillId="5" borderId="20" xfId="0" applyFont="1" applyFill="1" applyBorder="1" applyAlignment="1">
      <alignment horizontal="center" vertical="center" wrapText="1"/>
    </xf>
    <xf numFmtId="0" fontId="50" fillId="5" borderId="20" xfId="0" applyFont="1" applyFill="1" applyBorder="1" applyAlignment="1">
      <alignment vertical="center" wrapText="1"/>
    </xf>
    <xf numFmtId="0" fontId="50" fillId="5" borderId="21" xfId="0" applyFont="1" applyFill="1" applyBorder="1" applyAlignment="1">
      <alignment vertical="center" wrapText="1"/>
    </xf>
    <xf numFmtId="0" fontId="50" fillId="5" borderId="21" xfId="0" applyFont="1" applyFill="1" applyBorder="1" applyAlignment="1">
      <alignment horizontal="justify" vertical="center" wrapText="1"/>
    </xf>
    <xf numFmtId="0" fontId="50" fillId="5" borderId="0" xfId="0" applyFont="1" applyFill="1" applyAlignment="1">
      <alignment vertical="center" wrapText="1"/>
    </xf>
    <xf numFmtId="0" fontId="48" fillId="5" borderId="2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justify" vertical="center"/>
    </xf>
    <xf numFmtId="0" fontId="48" fillId="0" borderId="0" xfId="0" applyFont="1" applyAlignment="1">
      <alignment vertical="center"/>
    </xf>
    <xf numFmtId="0" fontId="51" fillId="5" borderId="23" xfId="0" applyFont="1" applyFill="1" applyBorder="1" applyAlignment="1">
      <alignment vertical="center" wrapText="1"/>
    </xf>
    <xf numFmtId="0" fontId="7" fillId="5" borderId="23" xfId="0" applyFont="1" applyFill="1" applyBorder="1" applyAlignment="1">
      <alignment vertical="center" wrapText="1"/>
    </xf>
    <xf numFmtId="0" fontId="5" fillId="5" borderId="23" xfId="0" applyFont="1" applyFill="1" applyBorder="1" applyAlignment="1">
      <alignment vertical="center" wrapText="1"/>
    </xf>
    <xf numFmtId="0" fontId="7" fillId="5" borderId="19" xfId="0" applyFont="1" applyFill="1" applyBorder="1" applyAlignment="1">
      <alignment vertical="center" wrapText="1"/>
    </xf>
    <xf numFmtId="0" fontId="51" fillId="5" borderId="19" xfId="0" applyFont="1" applyFill="1" applyBorder="1" applyAlignment="1">
      <alignment vertical="center" wrapText="1"/>
    </xf>
    <xf numFmtId="0" fontId="5" fillId="5" borderId="19" xfId="0" applyFont="1" applyFill="1" applyBorder="1" applyAlignment="1">
      <alignment vertical="center" wrapText="1"/>
    </xf>
    <xf numFmtId="0" fontId="48" fillId="5" borderId="23" xfId="0" applyFont="1" applyFill="1" applyBorder="1" applyAlignment="1">
      <alignment horizontal="center" vertical="center" wrapText="1"/>
    </xf>
    <xf numFmtId="0" fontId="50" fillId="5" borderId="23" xfId="0" applyFont="1" applyFill="1" applyBorder="1" applyAlignment="1">
      <alignment horizontal="center" vertical="center" wrapText="1"/>
    </xf>
    <xf numFmtId="0" fontId="50" fillId="5" borderId="18" xfId="0" applyFont="1" applyFill="1" applyBorder="1" applyAlignment="1">
      <alignment vertical="center" wrapText="1"/>
    </xf>
    <xf numFmtId="0" fontId="52" fillId="0" borderId="0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7" fillId="0" borderId="0" xfId="0" applyFont="1" applyFill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right" vertical="center"/>
    </xf>
    <xf numFmtId="2" fontId="5" fillId="0" borderId="2" xfId="0" applyNumberFormat="1" applyFont="1" applyFill="1" applyBorder="1" applyAlignment="1">
      <alignment horizontal="right" vertical="center"/>
    </xf>
    <xf numFmtId="0" fontId="25" fillId="0" borderId="0" xfId="0" applyFont="1" applyFill="1" applyAlignment="1">
      <alignment horizontal="center" vertical="center" wrapText="1"/>
    </xf>
    <xf numFmtId="0" fontId="43" fillId="0" borderId="1" xfId="0" applyFont="1" applyBorder="1" applyAlignment="1">
      <alignment vertical="center"/>
    </xf>
    <xf numFmtId="0" fontId="43" fillId="0" borderId="1" xfId="0" applyFont="1" applyBorder="1" applyAlignment="1">
      <alignment vertical="center" wrapText="1"/>
    </xf>
    <xf numFmtId="0" fontId="53" fillId="0" borderId="1" xfId="0" applyFont="1" applyBorder="1" applyAlignment="1">
      <alignment vertical="center" wrapText="1"/>
    </xf>
    <xf numFmtId="0" fontId="42" fillId="0" borderId="1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43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vertical="center"/>
    </xf>
    <xf numFmtId="0" fontId="43" fillId="6" borderId="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vertical="center" wrapText="1"/>
    </xf>
    <xf numFmtId="0" fontId="4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wrapText="1"/>
    </xf>
    <xf numFmtId="0" fontId="41" fillId="0" borderId="0" xfId="0" applyFont="1" applyAlignment="1">
      <alignment vertical="top" wrapText="1"/>
    </xf>
    <xf numFmtId="0" fontId="41" fillId="0" borderId="0" xfId="0" applyFont="1" applyAlignment="1">
      <alignment horizontal="left" vertical="top" wrapText="1"/>
    </xf>
    <xf numFmtId="0" fontId="41" fillId="0" borderId="0" xfId="0" applyFont="1"/>
    <xf numFmtId="0" fontId="47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52" fillId="0" borderId="0" xfId="0" applyFont="1" applyFill="1" applyBorder="1" applyAlignment="1">
      <alignment horizontal="left" vertical="center"/>
    </xf>
    <xf numFmtId="0" fontId="48" fillId="5" borderId="1" xfId="0" applyFont="1" applyFill="1" applyBorder="1" applyAlignment="1">
      <alignment horizontal="center" vertical="center" wrapText="1"/>
    </xf>
    <xf numFmtId="0" fontId="50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0" fillId="5" borderId="1" xfId="0" applyFont="1" applyFill="1" applyBorder="1" applyAlignment="1">
      <alignment horizontal="justify" vertical="center" wrapText="1"/>
    </xf>
    <xf numFmtId="0" fontId="50" fillId="5" borderId="1" xfId="0" applyFont="1" applyFill="1" applyBorder="1" applyAlignment="1">
      <alignment vertical="center" wrapText="1"/>
    </xf>
    <xf numFmtId="0" fontId="48" fillId="5" borderId="1" xfId="0" applyFont="1" applyFill="1" applyBorder="1" applyAlignment="1">
      <alignment horizontal="center" vertical="center" wrapText="1"/>
    </xf>
    <xf numFmtId="0" fontId="50" fillId="5" borderId="1" xfId="0" applyFont="1" applyFill="1" applyBorder="1" applyAlignment="1">
      <alignment vertical="center" wrapText="1"/>
    </xf>
    <xf numFmtId="0" fontId="50" fillId="5" borderId="1" xfId="0" applyFont="1" applyFill="1" applyBorder="1" applyAlignment="1">
      <alignment horizontal="center" vertical="center" wrapText="1"/>
    </xf>
    <xf numFmtId="0" fontId="53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0" borderId="0" xfId="0" applyFill="1"/>
    <xf numFmtId="0" fontId="10" fillId="0" borderId="0" xfId="0" applyFont="1" applyFill="1"/>
    <xf numFmtId="0" fontId="7" fillId="0" borderId="1" xfId="9" applyNumberFormat="1" applyFont="1" applyFill="1" applyBorder="1" applyAlignment="1">
      <alignment horizontal="center" vertical="center"/>
    </xf>
    <xf numFmtId="0" fontId="37" fillId="0" borderId="0" xfId="0" applyFont="1" applyFill="1" applyAlignment="1">
      <alignment horizontal="center" vertical="center"/>
    </xf>
    <xf numFmtId="0" fontId="45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25" fillId="0" borderId="0" xfId="3" applyFont="1" applyFill="1" applyAlignment="1">
      <alignment vertical="center"/>
    </xf>
    <xf numFmtId="0" fontId="7" fillId="0" borderId="1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0" fontId="5" fillId="0" borderId="12" xfId="3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6" applyFont="1" applyFill="1" applyBorder="1" applyAlignment="1">
      <alignment vertical="center" wrapText="1"/>
    </xf>
    <xf numFmtId="0" fontId="5" fillId="0" borderId="1" xfId="6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right" vertical="center" wrapText="1"/>
    </xf>
    <xf numFmtId="0" fontId="5" fillId="0" borderId="1" xfId="6" applyFont="1" applyFill="1" applyBorder="1" applyAlignment="1">
      <alignment horizontal="center" vertical="center" wrapText="1"/>
    </xf>
    <xf numFmtId="0" fontId="7" fillId="0" borderId="1" xfId="3" applyFont="1" applyFill="1" applyBorder="1" applyAlignment="1">
      <alignment vertical="center"/>
    </xf>
    <xf numFmtId="0" fontId="5" fillId="0" borderId="1" xfId="3" applyFont="1" applyFill="1" applyBorder="1" applyAlignment="1">
      <alignment vertical="center"/>
    </xf>
    <xf numFmtId="0" fontId="5" fillId="0" borderId="1" xfId="3" applyFont="1" applyFill="1" applyBorder="1" applyAlignment="1">
      <alignment vertical="center" wrapText="1"/>
    </xf>
    <xf numFmtId="0" fontId="4" fillId="3" borderId="1" xfId="3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3" borderId="1" xfId="3" applyFont="1" applyFill="1" applyBorder="1" applyAlignment="1">
      <alignment vertical="center"/>
    </xf>
    <xf numFmtId="0" fontId="8" fillId="3" borderId="0" xfId="3" applyFont="1" applyFill="1" applyAlignment="1">
      <alignment vertical="center"/>
    </xf>
    <xf numFmtId="0" fontId="8" fillId="0" borderId="1" xfId="3" applyFont="1" applyFill="1" applyBorder="1" applyAlignment="1">
      <alignment vertical="center"/>
    </xf>
    <xf numFmtId="0" fontId="4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51" fillId="3" borderId="1" xfId="0" applyFont="1" applyFill="1" applyBorder="1" applyAlignment="1">
      <alignment vertical="center" wrapText="1"/>
    </xf>
    <xf numFmtId="0" fontId="53" fillId="3" borderId="1" xfId="0" applyFont="1" applyFill="1" applyBorder="1" applyAlignment="1">
      <alignment vertical="center" wrapText="1"/>
    </xf>
    <xf numFmtId="0" fontId="51" fillId="0" borderId="1" xfId="0" applyFont="1" applyBorder="1" applyAlignment="1">
      <alignment vertical="center"/>
    </xf>
    <xf numFmtId="0" fontId="48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vertical="center"/>
    </xf>
    <xf numFmtId="0" fontId="42" fillId="3" borderId="1" xfId="0" applyFont="1" applyFill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 wrapText="1"/>
    </xf>
    <xf numFmtId="0" fontId="46" fillId="2" borderId="0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55" fillId="0" borderId="0" xfId="0" applyFont="1" applyAlignment="1">
      <alignment horizontal="center" vertical="center"/>
    </xf>
    <xf numFmtId="0" fontId="50" fillId="5" borderId="1" xfId="0" applyFont="1" applyFill="1" applyBorder="1" applyAlignment="1">
      <alignment horizontal="center" vertical="center" wrapText="1"/>
    </xf>
    <xf numFmtId="0" fontId="48" fillId="5" borderId="1" xfId="0" applyFont="1" applyFill="1" applyBorder="1" applyAlignment="1">
      <alignment horizontal="center" vertical="center" wrapText="1"/>
    </xf>
    <xf numFmtId="0" fontId="50" fillId="5" borderId="1" xfId="0" applyFont="1" applyFill="1" applyBorder="1" applyAlignment="1">
      <alignment vertical="center" wrapText="1"/>
    </xf>
    <xf numFmtId="0" fontId="53" fillId="3" borderId="1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7" fillId="0" borderId="2" xfId="7" applyFont="1" applyBorder="1" applyAlignment="1">
      <alignment horizontal="center" vertical="center" wrapText="1"/>
    </xf>
    <xf numFmtId="0" fontId="7" fillId="0" borderId="24" xfId="7" applyFont="1" applyBorder="1" applyAlignment="1">
      <alignment horizontal="center" vertical="center" wrapText="1"/>
    </xf>
    <xf numFmtId="0" fontId="7" fillId="0" borderId="15" xfId="7" applyFont="1" applyBorder="1" applyAlignment="1">
      <alignment horizontal="center" vertical="center" wrapText="1"/>
    </xf>
    <xf numFmtId="0" fontId="5" fillId="0" borderId="2" xfId="5" applyFont="1" applyBorder="1" applyAlignment="1">
      <alignment horizontal="center" vertical="center"/>
    </xf>
    <xf numFmtId="0" fontId="5" fillId="0" borderId="24" xfId="5" applyFont="1" applyBorder="1" applyAlignment="1">
      <alignment horizontal="center" vertical="center"/>
    </xf>
    <xf numFmtId="0" fontId="5" fillId="0" borderId="15" xfId="5" applyFont="1" applyBorder="1" applyAlignment="1">
      <alignment horizontal="center" vertical="center"/>
    </xf>
    <xf numFmtId="0" fontId="48" fillId="5" borderId="1" xfId="0" applyFont="1" applyFill="1" applyBorder="1" applyAlignment="1">
      <alignment vertical="center" wrapText="1"/>
    </xf>
    <xf numFmtId="0" fontId="53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8" fillId="5" borderId="23" xfId="0" applyFont="1" applyFill="1" applyBorder="1" applyAlignment="1">
      <alignment horizontal="center" vertical="center" wrapText="1"/>
    </xf>
    <xf numFmtId="0" fontId="48" fillId="5" borderId="22" xfId="0" applyFont="1" applyFill="1" applyBorder="1" applyAlignment="1">
      <alignment horizontal="center" vertical="center" wrapText="1"/>
    </xf>
    <xf numFmtId="0" fontId="50" fillId="5" borderId="23" xfId="0" applyFont="1" applyFill="1" applyBorder="1" applyAlignment="1">
      <alignment horizontal="justify" vertical="center" wrapText="1"/>
    </xf>
    <xf numFmtId="0" fontId="50" fillId="5" borderId="22" xfId="0" applyFont="1" applyFill="1" applyBorder="1" applyAlignment="1">
      <alignment horizontal="justify" vertical="center" wrapText="1"/>
    </xf>
    <xf numFmtId="0" fontId="50" fillId="5" borderId="23" xfId="0" applyFont="1" applyFill="1" applyBorder="1" applyAlignment="1">
      <alignment horizontal="center" vertical="center" wrapText="1"/>
    </xf>
    <xf numFmtId="0" fontId="50" fillId="5" borderId="22" xfId="0" applyFont="1" applyFill="1" applyBorder="1" applyAlignment="1">
      <alignment horizontal="center" vertical="center" wrapText="1"/>
    </xf>
    <xf numFmtId="0" fontId="53" fillId="5" borderId="23" xfId="0" applyFont="1" applyFill="1" applyBorder="1" applyAlignment="1">
      <alignment horizontal="center" vertical="center" wrapText="1"/>
    </xf>
    <xf numFmtId="0" fontId="53" fillId="5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vertical="center" wrapText="1"/>
    </xf>
    <xf numFmtId="0" fontId="5" fillId="5" borderId="22" xfId="0" applyFont="1" applyFill="1" applyBorder="1" applyAlignment="1">
      <alignment vertical="center" wrapText="1"/>
    </xf>
    <xf numFmtId="0" fontId="50" fillId="5" borderId="23" xfId="0" applyFont="1" applyFill="1" applyBorder="1" applyAlignment="1">
      <alignment vertical="center" wrapText="1"/>
    </xf>
    <xf numFmtId="0" fontId="50" fillId="5" borderId="22" xfId="0" applyFont="1" applyFill="1" applyBorder="1" applyAlignment="1">
      <alignment vertical="center" wrapText="1"/>
    </xf>
    <xf numFmtId="0" fontId="7" fillId="5" borderId="23" xfId="0" applyFont="1" applyFill="1" applyBorder="1" applyAlignment="1">
      <alignment vertical="center" wrapText="1"/>
    </xf>
    <xf numFmtId="0" fontId="7" fillId="5" borderId="22" xfId="0" applyFont="1" applyFill="1" applyBorder="1" applyAlignment="1">
      <alignment vertical="center" wrapText="1"/>
    </xf>
    <xf numFmtId="0" fontId="48" fillId="5" borderId="23" xfId="0" applyFont="1" applyFill="1" applyBorder="1" applyAlignment="1">
      <alignment vertical="center" wrapText="1"/>
    </xf>
    <xf numFmtId="0" fontId="48" fillId="5" borderId="25" xfId="0" applyFont="1" applyFill="1" applyBorder="1" applyAlignment="1">
      <alignment vertical="center" wrapText="1"/>
    </xf>
    <xf numFmtId="0" fontId="48" fillId="5" borderId="22" xfId="0" applyFont="1" applyFill="1" applyBorder="1" applyAlignment="1">
      <alignment vertical="center" wrapText="1"/>
    </xf>
    <xf numFmtId="0" fontId="53" fillId="5" borderId="25" xfId="0" applyFont="1" applyFill="1" applyBorder="1" applyAlignment="1">
      <alignment horizontal="center" vertical="center" wrapText="1"/>
    </xf>
    <xf numFmtId="0" fontId="50" fillId="5" borderId="25" xfId="0" applyFont="1" applyFill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42" fillId="0" borderId="0" xfId="0" applyFont="1" applyAlignment="1">
      <alignment horizontal="center" vertical="center"/>
    </xf>
  </cellXfs>
  <cellStyles count="10">
    <cellStyle name="Normal" xfId="0" builtinId="0"/>
    <cellStyle name="Normal 2" xfId="1" xr:uid="{F5F9E0B5-FB8B-4448-9723-1B7DC9433858}"/>
    <cellStyle name="Normal 3" xfId="2" xr:uid="{D1CD54B4-E54E-4714-8F46-6ADC73941B66}"/>
    <cellStyle name="Normal 4" xfId="3" xr:uid="{C6BA6BF2-3DAC-4357-B41C-F03BC8E8120D}"/>
    <cellStyle name="Normal 5" xfId="4" xr:uid="{47D147D9-B5C8-47B6-8987-60ABD831DCC2}"/>
    <cellStyle name="Normal_Kolichestva_BULAVTO_OiV_StZ" xfId="5" xr:uid="{CE5E32A5-92DA-450D-95E0-F2071EE1CB07}"/>
    <cellStyle name="Normal_KSS 2" xfId="6" xr:uid="{E2B51EA7-E221-425D-B36A-B2CA3974B387}"/>
    <cellStyle name="Normal_Сигурност и СКС" xfId="7" xr:uid="{61573D4E-7470-4ED7-B4A3-AF96C2BDAF41}"/>
    <cellStyle name="Percent" xfId="9" builtinId="5"/>
    <cellStyle name="Нормален 2" xfId="8" xr:uid="{EE6A7DE0-BC9E-453F-9252-389A0FE17E0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A2D7-38B9-4CEB-B11B-8B4CA23EC0FB}">
  <dimension ref="A1:E1511"/>
  <sheetViews>
    <sheetView tabSelected="1" workbookViewId="0">
      <selection activeCell="M9" sqref="M9"/>
    </sheetView>
  </sheetViews>
  <sheetFormatPr defaultRowHeight="13.8" x14ac:dyDescent="0.4"/>
  <cols>
    <col min="1" max="1" width="5.109375" style="69" customWidth="1"/>
    <col min="2" max="2" width="76.609375" style="70" customWidth="1"/>
    <col min="3" max="3" width="6.71875" style="91" customWidth="1"/>
    <col min="4" max="4" width="11.88671875" style="73" customWidth="1"/>
  </cols>
  <sheetData>
    <row r="1" spans="1:4" ht="14.7" x14ac:dyDescent="0.4">
      <c r="A1" s="41" t="s">
        <v>267</v>
      </c>
      <c r="B1" s="48"/>
      <c r="C1" s="89"/>
      <c r="D1" s="50"/>
    </row>
    <row r="2" spans="1:4" ht="14.7" x14ac:dyDescent="0.4">
      <c r="A2" s="51"/>
      <c r="B2" s="48"/>
      <c r="C2" s="89"/>
      <c r="D2" s="50"/>
    </row>
    <row r="3" spans="1:4" ht="49.5" customHeight="1" x14ac:dyDescent="0.4">
      <c r="A3" s="452" t="s">
        <v>493</v>
      </c>
      <c r="B3" s="452"/>
      <c r="C3" s="452"/>
      <c r="D3" s="452"/>
    </row>
    <row r="4" spans="1:4" ht="14.7" x14ac:dyDescent="0.4">
      <c r="A4" s="76"/>
      <c r="B4" s="76"/>
      <c r="C4" s="90"/>
      <c r="D4" s="77"/>
    </row>
    <row r="5" spans="1:4" ht="19.5" x14ac:dyDescent="0.4">
      <c r="A5" s="453" t="s">
        <v>22</v>
      </c>
      <c r="B5" s="453"/>
      <c r="C5" s="453"/>
      <c r="D5" s="453"/>
    </row>
    <row r="6" spans="1:4" x14ac:dyDescent="0.4">
      <c r="B6" s="85"/>
      <c r="C6" s="81"/>
      <c r="D6" s="84"/>
    </row>
    <row r="7" spans="1:4" ht="14.7" x14ac:dyDescent="0.4">
      <c r="A7" s="117"/>
      <c r="B7" s="85"/>
      <c r="C7" s="81"/>
      <c r="D7" s="84"/>
    </row>
    <row r="8" spans="1:4" ht="14.7" x14ac:dyDescent="0.4">
      <c r="A8" s="117"/>
      <c r="B8" s="85"/>
      <c r="C8" s="81"/>
      <c r="D8" s="84"/>
    </row>
    <row r="9" spans="1:4" ht="17.399999999999999" x14ac:dyDescent="0.4">
      <c r="A9" s="117"/>
      <c r="B9" s="397" t="s">
        <v>17</v>
      </c>
      <c r="C9" s="81"/>
      <c r="D9" s="84"/>
    </row>
    <row r="10" spans="1:4" x14ac:dyDescent="0.4">
      <c r="A10" s="79"/>
      <c r="B10" s="80"/>
      <c r="C10" s="81"/>
      <c r="D10" s="84"/>
    </row>
    <row r="11" spans="1:4" ht="24.6" x14ac:dyDescent="0.4">
      <c r="A11" s="229" t="s">
        <v>7</v>
      </c>
      <c r="B11" s="86" t="s">
        <v>8</v>
      </c>
      <c r="C11" s="230" t="s">
        <v>9</v>
      </c>
      <c r="D11" s="231" t="s">
        <v>11</v>
      </c>
    </row>
    <row r="12" spans="1:4" s="409" customFormat="1" x14ac:dyDescent="0.4">
      <c r="A12" s="454" t="s">
        <v>204</v>
      </c>
      <c r="B12" s="454"/>
      <c r="C12" s="454"/>
      <c r="D12" s="454"/>
    </row>
    <row r="13" spans="1:4" s="409" customFormat="1" x14ac:dyDescent="0.4">
      <c r="A13" s="189"/>
      <c r="B13" s="19"/>
      <c r="C13" s="14"/>
      <c r="D13" s="27"/>
    </row>
    <row r="14" spans="1:4" s="409" customFormat="1" ht="27.6" x14ac:dyDescent="0.4">
      <c r="A14" s="18">
        <v>1</v>
      </c>
      <c r="B14" s="14" t="s">
        <v>205</v>
      </c>
      <c r="C14" s="7" t="s">
        <v>2</v>
      </c>
      <c r="D14" s="13">
        <v>962.8</v>
      </c>
    </row>
    <row r="15" spans="1:4" s="409" customFormat="1" ht="27.6" x14ac:dyDescent="0.4">
      <c r="A15" s="18">
        <v>2</v>
      </c>
      <c r="B15" s="5" t="s">
        <v>206</v>
      </c>
      <c r="C15" s="7" t="s">
        <v>2</v>
      </c>
      <c r="D15" s="13">
        <v>167.45</v>
      </c>
    </row>
    <row r="16" spans="1:4" s="409" customFormat="1" x14ac:dyDescent="0.4">
      <c r="A16" s="18">
        <v>3</v>
      </c>
      <c r="B16" s="5" t="s">
        <v>207</v>
      </c>
      <c r="C16" s="7" t="s">
        <v>1</v>
      </c>
      <c r="D16" s="13">
        <v>1158</v>
      </c>
    </row>
    <row r="17" spans="1:4" s="409" customFormat="1" ht="27.6" x14ac:dyDescent="0.4">
      <c r="A17" s="18">
        <v>4</v>
      </c>
      <c r="B17" s="5" t="s">
        <v>208</v>
      </c>
      <c r="C17" s="7" t="s">
        <v>2</v>
      </c>
      <c r="D17" s="13">
        <v>1362</v>
      </c>
    </row>
    <row r="18" spans="1:4" s="409" customFormat="1" x14ac:dyDescent="0.4">
      <c r="A18" s="7"/>
      <c r="B18" s="19"/>
      <c r="C18" s="7"/>
      <c r="D18" s="10"/>
    </row>
    <row r="19" spans="1:4" s="409" customFormat="1" x14ac:dyDescent="0.4">
      <c r="A19" s="455" t="s">
        <v>3</v>
      </c>
      <c r="B19" s="455"/>
      <c r="C19" s="455"/>
      <c r="D19" s="455"/>
    </row>
    <row r="20" spans="1:4" s="409" customFormat="1" ht="14.7" x14ac:dyDescent="0.4">
      <c r="A20" s="97"/>
      <c r="B20" s="144" t="s">
        <v>299</v>
      </c>
      <c r="C20" s="97"/>
      <c r="D20" s="97"/>
    </row>
    <row r="21" spans="1:4" s="409" customFormat="1" x14ac:dyDescent="0.4">
      <c r="A21" s="111"/>
      <c r="B21" s="145" t="s">
        <v>300</v>
      </c>
      <c r="C21" s="111"/>
      <c r="D21" s="384"/>
    </row>
    <row r="22" spans="1:4" s="409" customFormat="1" x14ac:dyDescent="0.4">
      <c r="A22" s="383">
        <v>1</v>
      </c>
      <c r="B22" s="322" t="s">
        <v>301</v>
      </c>
      <c r="C22" s="384" t="s">
        <v>2</v>
      </c>
      <c r="D22" s="141">
        <f>'Подробна КС -част АС'!H26</f>
        <v>96.322964999999982</v>
      </c>
    </row>
    <row r="23" spans="1:4" s="409" customFormat="1" x14ac:dyDescent="0.4">
      <c r="A23" s="383">
        <v>2</v>
      </c>
      <c r="B23" s="322" t="s">
        <v>302</v>
      </c>
      <c r="C23" s="384" t="s">
        <v>1</v>
      </c>
      <c r="D23" s="141">
        <f>'Подробна КС -част АС'!H31</f>
        <v>642.15309999999999</v>
      </c>
    </row>
    <row r="24" spans="1:4" s="409" customFormat="1" x14ac:dyDescent="0.4">
      <c r="A24" s="383">
        <v>3</v>
      </c>
      <c r="B24" s="322" t="s">
        <v>193</v>
      </c>
      <c r="C24" s="384" t="s">
        <v>1</v>
      </c>
      <c r="D24" s="141">
        <f>'Подробна КС -част АС'!H33</f>
        <v>642.15309999999999</v>
      </c>
    </row>
    <row r="25" spans="1:4" s="409" customFormat="1" ht="27.6" x14ac:dyDescent="0.4">
      <c r="A25" s="34">
        <v>4</v>
      </c>
      <c r="B25" s="92" t="s">
        <v>30</v>
      </c>
      <c r="C25" s="6" t="s">
        <v>2</v>
      </c>
      <c r="D25" s="24">
        <f>'Подробна КС -част АС'!H64</f>
        <v>123.66562500000001</v>
      </c>
    </row>
    <row r="26" spans="1:4" s="409" customFormat="1" ht="27.6" x14ac:dyDescent="0.4">
      <c r="A26" s="34">
        <v>5</v>
      </c>
      <c r="B26" s="92" t="s">
        <v>31</v>
      </c>
      <c r="C26" s="6" t="s">
        <v>1</v>
      </c>
      <c r="D26" s="114">
        <f>'Подробна КС -част АС'!H116</f>
        <v>430.78949999999986</v>
      </c>
    </row>
    <row r="27" spans="1:4" s="409" customFormat="1" x14ac:dyDescent="0.4">
      <c r="A27" s="34">
        <v>6</v>
      </c>
      <c r="B27" s="5" t="s">
        <v>257</v>
      </c>
      <c r="C27" s="6" t="s">
        <v>1</v>
      </c>
      <c r="D27" s="114">
        <f>'Подробна КС -част АС'!H124</f>
        <v>42.339999999999996</v>
      </c>
    </row>
    <row r="28" spans="1:4" s="409" customFormat="1" x14ac:dyDescent="0.4">
      <c r="A28" s="18">
        <v>7</v>
      </c>
      <c r="B28" s="5" t="s">
        <v>235</v>
      </c>
      <c r="C28" s="7" t="s">
        <v>1</v>
      </c>
      <c r="D28" s="24">
        <f>'Подробна КС -част АС'!H130</f>
        <v>19.274999999999999</v>
      </c>
    </row>
    <row r="29" spans="1:4" s="409" customFormat="1" ht="27.6" x14ac:dyDescent="0.4">
      <c r="A29" s="18">
        <v>8</v>
      </c>
      <c r="B29" s="5" t="s">
        <v>456</v>
      </c>
      <c r="C29" s="7" t="s">
        <v>1</v>
      </c>
      <c r="D29" s="24">
        <f>'Подробна КС -част АС'!H134</f>
        <v>3.9000000000000004</v>
      </c>
    </row>
    <row r="30" spans="1:4" s="409" customFormat="1" ht="27.6" x14ac:dyDescent="0.4">
      <c r="A30" s="18">
        <v>9</v>
      </c>
      <c r="B30" s="14" t="s">
        <v>458</v>
      </c>
      <c r="C30" s="7" t="s">
        <v>1</v>
      </c>
      <c r="D30" s="24">
        <f>'Подробна КС -част АС'!H140</f>
        <v>42.599999999999994</v>
      </c>
    </row>
    <row r="31" spans="1:4" s="409" customFormat="1" x14ac:dyDescent="0.4">
      <c r="A31" s="18">
        <v>10</v>
      </c>
      <c r="B31" s="5" t="s">
        <v>33</v>
      </c>
      <c r="C31" s="6" t="s">
        <v>1</v>
      </c>
      <c r="D31" s="191">
        <f>'Подробна КС -част АС'!H250</f>
        <v>1468.3390000000002</v>
      </c>
    </row>
    <row r="32" spans="1:4" s="409" customFormat="1" x14ac:dyDescent="0.4">
      <c r="A32" s="18">
        <v>11</v>
      </c>
      <c r="B32" s="5" t="s">
        <v>65</v>
      </c>
      <c r="C32" s="6" t="s">
        <v>1</v>
      </c>
      <c r="D32" s="13">
        <f>'Подробна КС -част АС'!H286</f>
        <v>386.86179999999996</v>
      </c>
    </row>
    <row r="33" spans="1:4" s="409" customFormat="1" ht="27.6" x14ac:dyDescent="0.4">
      <c r="A33" s="16" t="s">
        <v>482</v>
      </c>
      <c r="B33" s="14" t="s">
        <v>484</v>
      </c>
      <c r="C33" s="6" t="s">
        <v>1</v>
      </c>
      <c r="D33" s="13">
        <v>10.23</v>
      </c>
    </row>
    <row r="34" spans="1:4" s="409" customFormat="1" ht="27.6" x14ac:dyDescent="0.4">
      <c r="A34" s="18">
        <v>12</v>
      </c>
      <c r="B34" s="5" t="s">
        <v>459</v>
      </c>
      <c r="C34" s="6" t="s">
        <v>1</v>
      </c>
      <c r="D34" s="13">
        <f>'Подробна КС -част АС'!H295</f>
        <v>42.923699999999997</v>
      </c>
    </row>
    <row r="35" spans="1:4" s="409" customFormat="1" ht="27.6" x14ac:dyDescent="0.4">
      <c r="A35" s="197">
        <v>13</v>
      </c>
      <c r="B35" s="5" t="s">
        <v>460</v>
      </c>
      <c r="C35" s="196" t="s">
        <v>1</v>
      </c>
      <c r="D35" s="13">
        <f>'Подробна КС -част АС'!H301</f>
        <v>53.2605</v>
      </c>
    </row>
    <row r="36" spans="1:4" s="409" customFormat="1" x14ac:dyDescent="0.4">
      <c r="A36" s="18">
        <v>14</v>
      </c>
      <c r="B36" s="5" t="s">
        <v>78</v>
      </c>
      <c r="C36" s="6" t="s">
        <v>1</v>
      </c>
      <c r="D36" s="13">
        <f>'Подробна КС -част АС'!H307</f>
        <v>25.54</v>
      </c>
    </row>
    <row r="37" spans="1:4" s="409" customFormat="1" x14ac:dyDescent="0.4">
      <c r="A37" s="18">
        <v>15</v>
      </c>
      <c r="B37" s="5" t="s">
        <v>85</v>
      </c>
      <c r="C37" s="6" t="s">
        <v>1</v>
      </c>
      <c r="D37" s="13">
        <f>'Подробна КС -част АС'!H362</f>
        <v>388.64600000000002</v>
      </c>
    </row>
    <row r="38" spans="1:4" s="409" customFormat="1" x14ac:dyDescent="0.4">
      <c r="A38" s="18">
        <v>16</v>
      </c>
      <c r="B38" s="14" t="s">
        <v>94</v>
      </c>
      <c r="C38" s="7" t="s">
        <v>1</v>
      </c>
      <c r="D38" s="13">
        <f>'Подробна КС -част АС'!H364</f>
        <v>1598.5090000000002</v>
      </c>
    </row>
    <row r="39" spans="1:4" s="409" customFormat="1" x14ac:dyDescent="0.4">
      <c r="A39" s="18">
        <v>17</v>
      </c>
      <c r="B39" s="14" t="s">
        <v>102</v>
      </c>
      <c r="C39" s="7" t="s">
        <v>1</v>
      </c>
      <c r="D39" s="13">
        <f>'Подробна КС -част АС'!H377</f>
        <v>72.34</v>
      </c>
    </row>
    <row r="40" spans="1:4" s="409" customFormat="1" x14ac:dyDescent="0.4">
      <c r="A40" s="18">
        <v>18</v>
      </c>
      <c r="B40" s="14" t="s">
        <v>97</v>
      </c>
      <c r="C40" s="7" t="s">
        <v>1</v>
      </c>
      <c r="D40" s="13">
        <f>'Подробна КС -част АС'!H393</f>
        <v>74.60799999999999</v>
      </c>
    </row>
    <row r="41" spans="1:4" s="409" customFormat="1" x14ac:dyDescent="0.4">
      <c r="A41" s="18">
        <v>19</v>
      </c>
      <c r="B41" s="14" t="s">
        <v>101</v>
      </c>
      <c r="C41" s="7" t="s">
        <v>1</v>
      </c>
      <c r="D41" s="13">
        <f>'Подробна КС -част АС'!H395</f>
        <v>1451.5610000000004</v>
      </c>
    </row>
    <row r="42" spans="1:4" s="409" customFormat="1" x14ac:dyDescent="0.4">
      <c r="A42" s="18">
        <v>20</v>
      </c>
      <c r="B42" s="5" t="s">
        <v>189</v>
      </c>
      <c r="C42" s="6" t="s">
        <v>1</v>
      </c>
      <c r="D42" s="13">
        <f>'Подробна КС -част АС'!H433</f>
        <v>519.42999999999995</v>
      </c>
    </row>
    <row r="43" spans="1:4" s="409" customFormat="1" x14ac:dyDescent="0.4">
      <c r="A43" s="18">
        <v>21</v>
      </c>
      <c r="B43" s="14" t="s">
        <v>81</v>
      </c>
      <c r="C43" s="6" t="s">
        <v>1</v>
      </c>
      <c r="D43" s="13">
        <f>'Подробна КС -част АС'!H463</f>
        <v>424.09999999999997</v>
      </c>
    </row>
    <row r="44" spans="1:4" s="409" customFormat="1" x14ac:dyDescent="0.4">
      <c r="A44" s="18">
        <v>22</v>
      </c>
      <c r="B44" s="14" t="s">
        <v>82</v>
      </c>
      <c r="C44" s="6" t="s">
        <v>1</v>
      </c>
      <c r="D44" s="13">
        <f>'Подробна КС -част АС'!H470</f>
        <v>54.99</v>
      </c>
    </row>
    <row r="45" spans="1:4" s="409" customFormat="1" ht="41.4" x14ac:dyDescent="0.4">
      <c r="A45" s="18">
        <v>23</v>
      </c>
      <c r="B45" s="5" t="s">
        <v>293</v>
      </c>
      <c r="C45" s="6" t="s">
        <v>4</v>
      </c>
      <c r="D45" s="323">
        <f>'Подробна КС -част АС'!H472</f>
        <v>2</v>
      </c>
    </row>
    <row r="46" spans="1:4" s="409" customFormat="1" ht="27.6" x14ac:dyDescent="0.4">
      <c r="A46" s="18">
        <v>24</v>
      </c>
      <c r="B46" s="14" t="s">
        <v>294</v>
      </c>
      <c r="C46" s="7" t="s">
        <v>4</v>
      </c>
      <c r="D46" s="323">
        <f>'Подробна КС -част АС'!H474</f>
        <v>2</v>
      </c>
    </row>
    <row r="47" spans="1:4" s="409" customFormat="1" x14ac:dyDescent="0.4">
      <c r="A47" s="110"/>
      <c r="B47" s="55"/>
      <c r="C47" s="110"/>
      <c r="D47" s="58"/>
    </row>
    <row r="48" spans="1:4" s="409" customFormat="1" x14ac:dyDescent="0.4">
      <c r="A48" s="18"/>
      <c r="B48" s="42" t="s">
        <v>295</v>
      </c>
      <c r="C48" s="110"/>
      <c r="D48" s="58"/>
    </row>
    <row r="49" spans="1:4" s="409" customFormat="1" x14ac:dyDescent="0.4">
      <c r="A49" s="18">
        <v>1</v>
      </c>
      <c r="B49" s="14" t="s">
        <v>273</v>
      </c>
      <c r="C49" s="7" t="s">
        <v>5</v>
      </c>
      <c r="D49" s="13">
        <f>'Подробна КС -част АС'!H477</f>
        <v>8.99</v>
      </c>
    </row>
    <row r="50" spans="1:4" s="409" customFormat="1" x14ac:dyDescent="0.4">
      <c r="A50" s="18">
        <v>2</v>
      </c>
      <c r="B50" s="14" t="s">
        <v>269</v>
      </c>
      <c r="C50" s="7" t="s">
        <v>5</v>
      </c>
      <c r="D50" s="13">
        <f>'Подробна КС -част АС'!H479</f>
        <v>8.99</v>
      </c>
    </row>
    <row r="51" spans="1:4" s="409" customFormat="1" ht="27.6" x14ac:dyDescent="0.4">
      <c r="A51" s="18">
        <v>3</v>
      </c>
      <c r="B51" s="14" t="s">
        <v>270</v>
      </c>
      <c r="C51" s="7" t="s">
        <v>5</v>
      </c>
      <c r="D51" s="13">
        <f>'Подробна КС -част АС'!H481</f>
        <v>8.99</v>
      </c>
    </row>
    <row r="52" spans="1:4" s="409" customFormat="1" ht="27.6" x14ac:dyDescent="0.4">
      <c r="A52" s="18">
        <v>4</v>
      </c>
      <c r="B52" s="14" t="s">
        <v>271</v>
      </c>
      <c r="C52" s="7" t="s">
        <v>5</v>
      </c>
      <c r="D52" s="13">
        <f>'Подробна КС -част АС'!H483</f>
        <v>8.99</v>
      </c>
    </row>
    <row r="53" spans="1:4" s="409" customFormat="1" x14ac:dyDescent="0.4">
      <c r="A53" s="18">
        <v>5</v>
      </c>
      <c r="B53" s="14" t="s">
        <v>272</v>
      </c>
      <c r="C53" s="7" t="s">
        <v>5</v>
      </c>
      <c r="D53" s="13">
        <f>'Подробна КС -част АС'!H485</f>
        <v>8.99</v>
      </c>
    </row>
    <row r="54" spans="1:4" s="409" customFormat="1" x14ac:dyDescent="0.4">
      <c r="A54" s="7"/>
      <c r="B54" s="55"/>
      <c r="C54" s="110"/>
      <c r="D54" s="58"/>
    </row>
    <row r="55" spans="1:4" s="409" customFormat="1" x14ac:dyDescent="0.4">
      <c r="A55" s="7"/>
      <c r="B55" s="42" t="s">
        <v>303</v>
      </c>
      <c r="C55" s="7"/>
      <c r="D55" s="13"/>
    </row>
    <row r="56" spans="1:4" s="409" customFormat="1" ht="27.6" x14ac:dyDescent="0.4">
      <c r="A56" s="18">
        <v>1</v>
      </c>
      <c r="B56" s="92" t="s">
        <v>30</v>
      </c>
      <c r="C56" s="7" t="s">
        <v>2</v>
      </c>
      <c r="D56" s="24">
        <f>'Подробна КС -част АС'!H509</f>
        <v>114.7225</v>
      </c>
    </row>
    <row r="57" spans="1:4" s="409" customFormat="1" ht="27.6" x14ac:dyDescent="0.4">
      <c r="A57" s="18">
        <v>2</v>
      </c>
      <c r="B57" s="92" t="s">
        <v>138</v>
      </c>
      <c r="C57" s="7" t="s">
        <v>1</v>
      </c>
      <c r="D57" s="13">
        <f>'Подробна КС -част АС'!H529</f>
        <v>241.66499999999999</v>
      </c>
    </row>
    <row r="58" spans="1:4" s="409" customFormat="1" x14ac:dyDescent="0.4">
      <c r="A58" s="18">
        <v>3</v>
      </c>
      <c r="B58" s="5" t="s">
        <v>29</v>
      </c>
      <c r="C58" s="7" t="s">
        <v>1</v>
      </c>
      <c r="D58" s="13">
        <f>'Подробна КС -част АС'!H535</f>
        <v>6.2850000000000001</v>
      </c>
    </row>
    <row r="59" spans="1:4" s="409" customFormat="1" ht="27.6" x14ac:dyDescent="0.4">
      <c r="A59" s="18">
        <v>4</v>
      </c>
      <c r="B59" s="5" t="s">
        <v>304</v>
      </c>
      <c r="C59" s="7" t="s">
        <v>1</v>
      </c>
      <c r="D59" s="13">
        <f>'Подробна КС -част АС'!H546</f>
        <v>22.782499999999999</v>
      </c>
    </row>
    <row r="60" spans="1:4" s="409" customFormat="1" x14ac:dyDescent="0.4">
      <c r="A60" s="18">
        <v>5</v>
      </c>
      <c r="B60" s="14" t="s">
        <v>462</v>
      </c>
      <c r="C60" s="7" t="s">
        <v>1</v>
      </c>
      <c r="D60" s="114">
        <f>'Подробна КС -част АС'!H558</f>
        <v>59.879999999999995</v>
      </c>
    </row>
    <row r="61" spans="1:4" s="409" customFormat="1" x14ac:dyDescent="0.4">
      <c r="A61" s="18">
        <v>6</v>
      </c>
      <c r="B61" s="5" t="s">
        <v>33</v>
      </c>
      <c r="C61" s="7" t="s">
        <v>1</v>
      </c>
      <c r="D61" s="13">
        <f>'Подробна КС -част АС'!H643</f>
        <v>998.38300000000004</v>
      </c>
    </row>
    <row r="62" spans="1:4" s="409" customFormat="1" x14ac:dyDescent="0.4">
      <c r="A62" s="18">
        <v>7</v>
      </c>
      <c r="B62" s="14" t="s">
        <v>65</v>
      </c>
      <c r="C62" s="7" t="s">
        <v>1</v>
      </c>
      <c r="D62" s="13">
        <f>'Подробна КС -част АС'!H661</f>
        <v>478.26499999999999</v>
      </c>
    </row>
    <row r="63" spans="1:4" s="409" customFormat="1" ht="27.6" x14ac:dyDescent="0.4">
      <c r="A63" s="18">
        <v>8</v>
      </c>
      <c r="B63" s="5" t="s">
        <v>158</v>
      </c>
      <c r="C63" s="7" t="s">
        <v>1</v>
      </c>
      <c r="D63" s="13">
        <f>'Подробна КС -част АС'!H668</f>
        <v>43.64</v>
      </c>
    </row>
    <row r="64" spans="1:4" s="409" customFormat="1" x14ac:dyDescent="0.4">
      <c r="A64" s="18">
        <v>9</v>
      </c>
      <c r="B64" s="5" t="s">
        <v>78</v>
      </c>
      <c r="C64" s="7" t="s">
        <v>1</v>
      </c>
      <c r="D64" s="13">
        <f>'Подробна КС -част АС'!H680</f>
        <v>58.86</v>
      </c>
    </row>
    <row r="65" spans="1:4" s="409" customFormat="1" x14ac:dyDescent="0.4">
      <c r="A65" s="18">
        <v>10</v>
      </c>
      <c r="B65" s="5" t="s">
        <v>85</v>
      </c>
      <c r="C65" s="7" t="s">
        <v>1</v>
      </c>
      <c r="D65" s="114">
        <f>'Подробна КС -част АС'!H703</f>
        <v>188.49600000000004</v>
      </c>
    </row>
    <row r="66" spans="1:4" s="409" customFormat="1" x14ac:dyDescent="0.4">
      <c r="A66" s="18">
        <v>11</v>
      </c>
      <c r="B66" s="14" t="s">
        <v>266</v>
      </c>
      <c r="C66" s="7" t="s">
        <v>1</v>
      </c>
      <c r="D66" s="13">
        <f>'Подробна КС -част АС'!H705</f>
        <v>1390.652</v>
      </c>
    </row>
    <row r="67" spans="1:4" s="409" customFormat="1" x14ac:dyDescent="0.4">
      <c r="A67" s="18">
        <v>12</v>
      </c>
      <c r="B67" s="14" t="s">
        <v>102</v>
      </c>
      <c r="C67" s="7" t="s">
        <v>1</v>
      </c>
      <c r="D67" s="13">
        <f>'Подробна КС -част АС'!H720</f>
        <v>63.34</v>
      </c>
    </row>
    <row r="68" spans="1:4" s="409" customFormat="1" x14ac:dyDescent="0.4">
      <c r="A68" s="18">
        <v>13</v>
      </c>
      <c r="B68" s="14" t="s">
        <v>101</v>
      </c>
      <c r="C68" s="7" t="s">
        <v>1</v>
      </c>
      <c r="D68" s="13">
        <f>'Подробна КС -част АС'!H722</f>
        <v>1327.3120000000001</v>
      </c>
    </row>
    <row r="69" spans="1:4" s="409" customFormat="1" x14ac:dyDescent="0.4">
      <c r="A69" s="18">
        <v>14</v>
      </c>
      <c r="B69" s="5" t="s">
        <v>189</v>
      </c>
      <c r="C69" s="6" t="s">
        <v>1</v>
      </c>
      <c r="D69" s="13">
        <f>'Подробна КС -част АС'!H724</f>
        <v>603.95999999999992</v>
      </c>
    </row>
    <row r="70" spans="1:4" s="409" customFormat="1" x14ac:dyDescent="0.4">
      <c r="A70" s="18">
        <v>15</v>
      </c>
      <c r="B70" s="14" t="s">
        <v>81</v>
      </c>
      <c r="C70" s="7" t="s">
        <v>1</v>
      </c>
      <c r="D70" s="13">
        <f>'Подробна КС -част АС'!H746</f>
        <v>355.63</v>
      </c>
    </row>
    <row r="71" spans="1:4" s="409" customFormat="1" x14ac:dyDescent="0.4">
      <c r="A71" s="18">
        <v>16</v>
      </c>
      <c r="B71" s="14" t="s">
        <v>188</v>
      </c>
      <c r="C71" s="7" t="s">
        <v>1</v>
      </c>
      <c r="D71" s="13">
        <f>'Подробна КС -част АС'!H748</f>
        <v>33.67</v>
      </c>
    </row>
    <row r="72" spans="1:4" s="409" customFormat="1" ht="27.6" x14ac:dyDescent="0.4">
      <c r="A72" s="18">
        <v>17</v>
      </c>
      <c r="B72" s="14" t="s">
        <v>319</v>
      </c>
      <c r="C72" s="7" t="s">
        <v>1</v>
      </c>
      <c r="D72" s="13">
        <f>'Подробна КС -част АС'!H750</f>
        <v>103.3</v>
      </c>
    </row>
    <row r="73" spans="1:4" s="409" customFormat="1" ht="27.6" x14ac:dyDescent="0.4">
      <c r="A73" s="18">
        <v>18</v>
      </c>
      <c r="B73" s="14" t="s">
        <v>320</v>
      </c>
      <c r="C73" s="7" t="s">
        <v>1</v>
      </c>
      <c r="D73" s="13">
        <f>'Подробна КС -част АС'!H752</f>
        <v>98.91</v>
      </c>
    </row>
    <row r="74" spans="1:4" s="409" customFormat="1" x14ac:dyDescent="0.4">
      <c r="A74" s="197">
        <v>19</v>
      </c>
      <c r="B74" s="14" t="s">
        <v>185</v>
      </c>
      <c r="C74" s="198" t="s">
        <v>5</v>
      </c>
      <c r="D74" s="13">
        <f>'Подробна КС -част АС'!H758</f>
        <v>43.32</v>
      </c>
    </row>
    <row r="75" spans="1:4" s="409" customFormat="1" x14ac:dyDescent="0.4">
      <c r="A75" s="7"/>
      <c r="B75" s="14"/>
      <c r="C75" s="7"/>
      <c r="D75" s="13"/>
    </row>
    <row r="76" spans="1:4" s="409" customFormat="1" x14ac:dyDescent="0.4">
      <c r="A76" s="18"/>
      <c r="B76" s="42" t="s">
        <v>295</v>
      </c>
      <c r="C76" s="110"/>
      <c r="D76" s="58"/>
    </row>
    <row r="77" spans="1:4" s="409" customFormat="1" x14ac:dyDescent="0.4">
      <c r="A77" s="18">
        <v>1</v>
      </c>
      <c r="B77" s="14" t="s">
        <v>273</v>
      </c>
      <c r="C77" s="7" t="s">
        <v>5</v>
      </c>
      <c r="D77" s="13">
        <f>'Подробна КС -част АС'!H761</f>
        <v>8.99</v>
      </c>
    </row>
    <row r="78" spans="1:4" s="409" customFormat="1" x14ac:dyDescent="0.4">
      <c r="A78" s="18">
        <v>2</v>
      </c>
      <c r="B78" s="14" t="s">
        <v>269</v>
      </c>
      <c r="C78" s="7" t="s">
        <v>5</v>
      </c>
      <c r="D78" s="13">
        <f>'Подробна КС -част АС'!H763</f>
        <v>8.99</v>
      </c>
    </row>
    <row r="79" spans="1:4" s="409" customFormat="1" ht="27.6" x14ac:dyDescent="0.4">
      <c r="A79" s="18">
        <v>3</v>
      </c>
      <c r="B79" s="14" t="s">
        <v>270</v>
      </c>
      <c r="C79" s="7" t="s">
        <v>5</v>
      </c>
      <c r="D79" s="13">
        <f>'Подробна КС -част АС'!H765</f>
        <v>8.99</v>
      </c>
    </row>
    <row r="80" spans="1:4" s="409" customFormat="1" ht="27.6" x14ac:dyDescent="0.4">
      <c r="A80" s="18">
        <v>4</v>
      </c>
      <c r="B80" s="14" t="s">
        <v>271</v>
      </c>
      <c r="C80" s="7" t="s">
        <v>5</v>
      </c>
      <c r="D80" s="13">
        <f>'Подробна КС -част АС'!H767</f>
        <v>8.99</v>
      </c>
    </row>
    <row r="81" spans="1:4" s="409" customFormat="1" x14ac:dyDescent="0.4">
      <c r="A81" s="18">
        <v>5</v>
      </c>
      <c r="B81" s="14" t="s">
        <v>272</v>
      </c>
      <c r="C81" s="7" t="s">
        <v>5</v>
      </c>
      <c r="D81" s="13">
        <f>'Подробна КС -част АС'!H769</f>
        <v>8.99</v>
      </c>
    </row>
    <row r="82" spans="1:4" s="409" customFormat="1" x14ac:dyDescent="0.4">
      <c r="A82" s="7"/>
      <c r="B82" s="14"/>
      <c r="C82" s="7"/>
      <c r="D82" s="13"/>
    </row>
    <row r="83" spans="1:4" s="409" customFormat="1" x14ac:dyDescent="0.4">
      <c r="A83" s="7"/>
      <c r="B83" s="42" t="s">
        <v>202</v>
      </c>
      <c r="C83" s="7"/>
      <c r="D83" s="13"/>
    </row>
    <row r="84" spans="1:4" s="409" customFormat="1" x14ac:dyDescent="0.4">
      <c r="A84" s="7">
        <v>1</v>
      </c>
      <c r="B84" s="14" t="s">
        <v>110</v>
      </c>
      <c r="C84" s="7" t="s">
        <v>1</v>
      </c>
      <c r="D84" s="13">
        <f>'Подробна КС -част АС'!H787</f>
        <v>315.60000000000002</v>
      </c>
    </row>
    <row r="85" spans="1:4" s="409" customFormat="1" x14ac:dyDescent="0.4">
      <c r="A85" s="7"/>
      <c r="B85" s="14" t="s">
        <v>123</v>
      </c>
      <c r="C85" s="7"/>
      <c r="D85" s="13"/>
    </row>
    <row r="86" spans="1:4" s="409" customFormat="1" x14ac:dyDescent="0.4">
      <c r="A86" s="18">
        <v>2</v>
      </c>
      <c r="B86" s="14" t="s">
        <v>126</v>
      </c>
      <c r="C86" s="7" t="s">
        <v>4</v>
      </c>
      <c r="D86" s="323">
        <v>4</v>
      </c>
    </row>
    <row r="87" spans="1:4" s="409" customFormat="1" x14ac:dyDescent="0.4">
      <c r="A87" s="18">
        <v>3</v>
      </c>
      <c r="B87" s="14" t="s">
        <v>124</v>
      </c>
      <c r="C87" s="7" t="s">
        <v>4</v>
      </c>
      <c r="D87" s="323">
        <v>16</v>
      </c>
    </row>
    <row r="88" spans="1:4" s="409" customFormat="1" x14ac:dyDescent="0.4">
      <c r="A88" s="18">
        <v>4</v>
      </c>
      <c r="B88" s="14" t="s">
        <v>125</v>
      </c>
      <c r="C88" s="7" t="s">
        <v>4</v>
      </c>
      <c r="D88" s="323">
        <v>10</v>
      </c>
    </row>
    <row r="89" spans="1:4" s="409" customFormat="1" x14ac:dyDescent="0.4">
      <c r="A89" s="18">
        <v>5</v>
      </c>
      <c r="B89" s="14" t="s">
        <v>127</v>
      </c>
      <c r="C89" s="7" t="s">
        <v>4</v>
      </c>
      <c r="D89" s="323">
        <v>6</v>
      </c>
    </row>
    <row r="90" spans="1:4" s="409" customFormat="1" x14ac:dyDescent="0.4">
      <c r="A90" s="18">
        <v>6</v>
      </c>
      <c r="B90" s="14" t="s">
        <v>128</v>
      </c>
      <c r="C90" s="7" t="s">
        <v>4</v>
      </c>
      <c r="D90" s="323">
        <v>12</v>
      </c>
    </row>
    <row r="91" spans="1:4" s="409" customFormat="1" x14ac:dyDescent="0.4">
      <c r="A91" s="18">
        <v>7</v>
      </c>
      <c r="B91" s="14" t="s">
        <v>129</v>
      </c>
      <c r="C91" s="7" t="s">
        <v>4</v>
      </c>
      <c r="D91" s="323">
        <v>3</v>
      </c>
    </row>
    <row r="92" spans="1:4" s="409" customFormat="1" x14ac:dyDescent="0.4">
      <c r="A92" s="18">
        <v>8</v>
      </c>
      <c r="B92" s="14" t="s">
        <v>130</v>
      </c>
      <c r="C92" s="7" t="s">
        <v>4</v>
      </c>
      <c r="D92" s="323">
        <v>1</v>
      </c>
    </row>
    <row r="93" spans="1:4" s="409" customFormat="1" ht="41.4" x14ac:dyDescent="0.4">
      <c r="A93" s="18">
        <v>9</v>
      </c>
      <c r="B93" s="324" t="s">
        <v>265</v>
      </c>
      <c r="C93" s="8" t="s">
        <v>5</v>
      </c>
      <c r="D93" s="13">
        <f>'Подробна КС -част АС'!H807</f>
        <v>135.75</v>
      </c>
    </row>
    <row r="94" spans="1:4" s="409" customFormat="1" x14ac:dyDescent="0.4">
      <c r="A94" s="18"/>
      <c r="B94" s="103"/>
      <c r="C94" s="112"/>
      <c r="D94" s="59"/>
    </row>
    <row r="95" spans="1:4" s="409" customFormat="1" x14ac:dyDescent="0.4">
      <c r="A95" s="7"/>
      <c r="B95" s="42" t="s">
        <v>203</v>
      </c>
      <c r="C95" s="7"/>
      <c r="D95" s="45"/>
    </row>
    <row r="96" spans="1:4" s="409" customFormat="1" ht="41.4" x14ac:dyDescent="0.4">
      <c r="A96" s="18">
        <v>1</v>
      </c>
      <c r="B96" s="14" t="s">
        <v>1269</v>
      </c>
      <c r="C96" s="6" t="s">
        <v>1</v>
      </c>
      <c r="D96" s="114">
        <f>'Подробна КС -част АС'!H846</f>
        <v>916.62800000000004</v>
      </c>
    </row>
    <row r="97" spans="1:4" s="409" customFormat="1" ht="27.6" x14ac:dyDescent="0.4">
      <c r="A97" s="197">
        <v>2</v>
      </c>
      <c r="B97" s="14" t="s">
        <v>1270</v>
      </c>
      <c r="C97" s="198" t="s">
        <v>5</v>
      </c>
      <c r="D97" s="13">
        <f>'Подробна КС -част АС'!H861</f>
        <v>476.9</v>
      </c>
    </row>
    <row r="98" spans="1:4" s="409" customFormat="1" x14ac:dyDescent="0.4">
      <c r="A98" s="18">
        <v>3</v>
      </c>
      <c r="B98" s="14" t="s">
        <v>463</v>
      </c>
      <c r="C98" s="6" t="s">
        <v>5</v>
      </c>
      <c r="D98" s="114">
        <f>'Подробна КС -част АС'!H863</f>
        <v>476.9</v>
      </c>
    </row>
    <row r="99" spans="1:4" s="409" customFormat="1" x14ac:dyDescent="0.4">
      <c r="A99" s="197">
        <v>4</v>
      </c>
      <c r="B99" s="5" t="s">
        <v>464</v>
      </c>
      <c r="C99" s="196" t="s">
        <v>5</v>
      </c>
      <c r="D99" s="13">
        <f>'Подробна КС -част АС'!H877</f>
        <v>149.64999999999998</v>
      </c>
    </row>
    <row r="100" spans="1:4" s="409" customFormat="1" ht="42.3" x14ac:dyDescent="0.4">
      <c r="A100" s="18">
        <v>5</v>
      </c>
      <c r="B100" s="14" t="s">
        <v>1271</v>
      </c>
      <c r="C100" s="6" t="s">
        <v>1</v>
      </c>
      <c r="D100" s="114">
        <f>'Подробна КС -част АС'!H879</f>
        <v>18.241</v>
      </c>
    </row>
    <row r="101" spans="1:4" s="409" customFormat="1" x14ac:dyDescent="0.4">
      <c r="A101" s="18">
        <v>6</v>
      </c>
      <c r="B101" s="5" t="s">
        <v>221</v>
      </c>
      <c r="C101" s="6" t="s">
        <v>1</v>
      </c>
      <c r="D101" s="114">
        <f>'Подробна КС -част АС'!H881</f>
        <v>1104.1769999999999</v>
      </c>
    </row>
    <row r="102" spans="1:4" s="409" customFormat="1" x14ac:dyDescent="0.4">
      <c r="A102" s="18">
        <v>7</v>
      </c>
      <c r="B102" s="5" t="s">
        <v>466</v>
      </c>
      <c r="C102" s="7" t="s">
        <v>5</v>
      </c>
      <c r="D102" s="114">
        <f>'Подробна КС -част АС'!H883</f>
        <v>476.9</v>
      </c>
    </row>
    <row r="103" spans="1:4" s="409" customFormat="1" x14ac:dyDescent="0.4">
      <c r="A103" s="18">
        <v>8</v>
      </c>
      <c r="B103" s="14" t="s">
        <v>213</v>
      </c>
      <c r="C103" s="7" t="s">
        <v>1</v>
      </c>
      <c r="D103" s="114">
        <f>'Подробна КС -част АС'!H893</f>
        <v>77.64</v>
      </c>
    </row>
    <row r="104" spans="1:4" s="409" customFormat="1" ht="27.6" x14ac:dyDescent="0.4">
      <c r="A104" s="18">
        <v>9</v>
      </c>
      <c r="B104" s="14" t="s">
        <v>468</v>
      </c>
      <c r="C104" s="7" t="s">
        <v>1</v>
      </c>
      <c r="D104" s="13">
        <f>'Подробна КС -част АС'!H903</f>
        <v>362.78</v>
      </c>
    </row>
    <row r="105" spans="1:4" s="409" customFormat="1" x14ac:dyDescent="0.4">
      <c r="A105" s="18">
        <v>10</v>
      </c>
      <c r="B105" s="14" t="s">
        <v>135</v>
      </c>
      <c r="C105" s="7" t="s">
        <v>1</v>
      </c>
      <c r="D105" s="13">
        <f>'Подробна КС -част АС'!H909</f>
        <v>113.41540000000001</v>
      </c>
    </row>
    <row r="106" spans="1:4" s="409" customFormat="1" ht="27.6" x14ac:dyDescent="0.4">
      <c r="A106" s="18">
        <v>11</v>
      </c>
      <c r="B106" s="14" t="s">
        <v>210</v>
      </c>
      <c r="C106" s="7" t="s">
        <v>1</v>
      </c>
      <c r="D106" s="13">
        <f>'Подробна КС -част АС'!H961</f>
        <v>443.9855</v>
      </c>
    </row>
    <row r="107" spans="1:4" s="409" customFormat="1" ht="27.6" x14ac:dyDescent="0.4">
      <c r="A107" s="18">
        <v>12</v>
      </c>
      <c r="B107" s="14" t="s">
        <v>220</v>
      </c>
      <c r="C107" s="6" t="s">
        <v>5</v>
      </c>
      <c r="D107" s="114">
        <f>'Подробна КС -част АС'!H963</f>
        <v>2.7</v>
      </c>
    </row>
    <row r="108" spans="1:4" s="409" customFormat="1" x14ac:dyDescent="0.4">
      <c r="A108" s="18">
        <v>13</v>
      </c>
      <c r="B108" s="14" t="s">
        <v>218</v>
      </c>
      <c r="C108" s="6" t="s">
        <v>5</v>
      </c>
      <c r="D108" s="114">
        <f>'Подробна КС -част АС'!H965</f>
        <v>16.799999999999997</v>
      </c>
    </row>
    <row r="109" spans="1:4" s="409" customFormat="1" x14ac:dyDescent="0.4">
      <c r="A109" s="18">
        <v>14</v>
      </c>
      <c r="B109" s="14" t="s">
        <v>472</v>
      </c>
      <c r="C109" s="6" t="s">
        <v>5</v>
      </c>
      <c r="D109" s="114">
        <f>'Подробна КС -част АС'!H967</f>
        <v>12.2</v>
      </c>
    </row>
    <row r="110" spans="1:4" s="409" customFormat="1" x14ac:dyDescent="0.4">
      <c r="A110" s="18">
        <v>15</v>
      </c>
      <c r="B110" s="5" t="s">
        <v>471</v>
      </c>
      <c r="C110" s="6" t="s">
        <v>5</v>
      </c>
      <c r="D110" s="114">
        <f>'Подробна КС -част АС'!H969</f>
        <v>2.7</v>
      </c>
    </row>
    <row r="111" spans="1:4" s="409" customFormat="1" x14ac:dyDescent="0.4">
      <c r="A111" s="18">
        <v>16</v>
      </c>
      <c r="B111" s="14" t="s">
        <v>212</v>
      </c>
      <c r="C111" s="6" t="s">
        <v>4</v>
      </c>
      <c r="D111" s="325">
        <f>'Подробна КС -част АС'!H971</f>
        <v>2</v>
      </c>
    </row>
    <row r="112" spans="1:4" s="409" customFormat="1" ht="27.6" x14ac:dyDescent="0.4">
      <c r="A112" s="18">
        <v>17</v>
      </c>
      <c r="B112" s="14" t="s">
        <v>217</v>
      </c>
      <c r="C112" s="6" t="s">
        <v>4</v>
      </c>
      <c r="D112" s="325">
        <f>'Подробна КС -част АС'!H973</f>
        <v>1</v>
      </c>
    </row>
    <row r="113" spans="1:5" s="409" customFormat="1" x14ac:dyDescent="0.4">
      <c r="A113" s="18">
        <v>18</v>
      </c>
      <c r="B113" s="14" t="s">
        <v>259</v>
      </c>
      <c r="C113" s="6" t="s">
        <v>4</v>
      </c>
      <c r="D113" s="325">
        <f>'Подробна КС -част АС'!H979</f>
        <v>21</v>
      </c>
    </row>
    <row r="114" spans="1:5" s="409" customFormat="1" x14ac:dyDescent="0.4">
      <c r="A114" s="16"/>
      <c r="B114" s="14"/>
      <c r="C114" s="6"/>
      <c r="D114" s="325"/>
    </row>
    <row r="115" spans="1:5" s="409" customFormat="1" x14ac:dyDescent="0.4">
      <c r="A115" s="16"/>
      <c r="B115" s="42" t="s">
        <v>222</v>
      </c>
      <c r="C115" s="6"/>
      <c r="D115" s="114"/>
    </row>
    <row r="116" spans="1:5" s="409" customFormat="1" ht="27.6" x14ac:dyDescent="0.4">
      <c r="A116" s="18">
        <v>1</v>
      </c>
      <c r="B116" s="92" t="s">
        <v>232</v>
      </c>
      <c r="C116" s="6" t="s">
        <v>2</v>
      </c>
      <c r="D116" s="114">
        <f>'Подробна КС -част АС'!H993</f>
        <v>22.105999999999998</v>
      </c>
    </row>
    <row r="117" spans="1:5" s="409" customFormat="1" x14ac:dyDescent="0.4">
      <c r="A117" s="18">
        <v>2</v>
      </c>
      <c r="B117" s="14" t="s">
        <v>223</v>
      </c>
      <c r="C117" s="6" t="s">
        <v>2</v>
      </c>
      <c r="D117" s="114">
        <f>'Подробна КС -част АС'!H1000</f>
        <v>90.822464999999994</v>
      </c>
    </row>
    <row r="118" spans="1:5" s="409" customFormat="1" x14ac:dyDescent="0.4">
      <c r="A118" s="197">
        <v>3</v>
      </c>
      <c r="B118" s="14" t="s">
        <v>224</v>
      </c>
      <c r="C118" s="6" t="s">
        <v>2</v>
      </c>
      <c r="D118" s="114">
        <f>'Подробна КС -част АС'!H1007</f>
        <v>605.48309999999992</v>
      </c>
    </row>
    <row r="119" spans="1:5" s="409" customFormat="1" x14ac:dyDescent="0.4">
      <c r="A119" s="18">
        <v>4</v>
      </c>
      <c r="B119" s="14" t="s">
        <v>225</v>
      </c>
      <c r="C119" s="6" t="s">
        <v>1</v>
      </c>
      <c r="D119" s="114">
        <f>'Подробна КС -част АС'!H1009</f>
        <v>605.48309999999992</v>
      </c>
    </row>
    <row r="120" spans="1:5" s="409" customFormat="1" x14ac:dyDescent="0.4">
      <c r="A120" s="18">
        <v>5</v>
      </c>
      <c r="B120" s="14" t="s">
        <v>193</v>
      </c>
      <c r="C120" s="6" t="s">
        <v>1</v>
      </c>
      <c r="D120" s="114">
        <f>'Подробна КС -част АС'!H1011</f>
        <v>605.48309999999992</v>
      </c>
    </row>
    <row r="121" spans="1:5" s="409" customFormat="1" x14ac:dyDescent="0.4">
      <c r="A121" s="18">
        <v>6</v>
      </c>
      <c r="B121" s="14" t="s">
        <v>226</v>
      </c>
      <c r="C121" s="6" t="s">
        <v>1</v>
      </c>
      <c r="D121" s="114">
        <f>'Подробна КС -част АС'!H1013</f>
        <v>605.48309999999992</v>
      </c>
    </row>
    <row r="122" spans="1:5" s="409" customFormat="1" x14ac:dyDescent="0.4">
      <c r="A122" s="18">
        <v>7</v>
      </c>
      <c r="B122" s="14" t="s">
        <v>227</v>
      </c>
      <c r="C122" s="6" t="s">
        <v>1</v>
      </c>
      <c r="D122" s="114">
        <f>'Подробна КС -част АС'!H1015</f>
        <v>605.48309999999992</v>
      </c>
    </row>
    <row r="123" spans="1:5" s="409" customFormat="1" x14ac:dyDescent="0.4">
      <c r="A123" s="18">
        <v>8</v>
      </c>
      <c r="B123" s="14" t="s">
        <v>228</v>
      </c>
      <c r="C123" s="7" t="s">
        <v>1</v>
      </c>
      <c r="D123" s="114">
        <f>'Подробна КС -част АС'!H1017</f>
        <v>605.48309999999992</v>
      </c>
    </row>
    <row r="124" spans="1:5" s="409" customFormat="1" x14ac:dyDescent="0.4">
      <c r="A124" s="18">
        <v>9</v>
      </c>
      <c r="B124" s="14" t="s">
        <v>296</v>
      </c>
      <c r="C124" s="6" t="s">
        <v>1</v>
      </c>
      <c r="D124" s="114">
        <f>'Подробна КС -част АС'!H1019</f>
        <v>22.799999999999997</v>
      </c>
    </row>
    <row r="125" spans="1:5" s="409" customFormat="1" ht="27.6" x14ac:dyDescent="0.4">
      <c r="A125" s="18">
        <v>10</v>
      </c>
      <c r="B125" s="14" t="s">
        <v>474</v>
      </c>
      <c r="C125" s="6"/>
      <c r="D125" s="114">
        <f>'Подробна КС -част АС'!H1021</f>
        <v>684.31060000000002</v>
      </c>
    </row>
    <row r="126" spans="1:5" s="409" customFormat="1" x14ac:dyDescent="0.4">
      <c r="A126" s="18"/>
      <c r="B126" s="19"/>
      <c r="C126" s="6"/>
      <c r="D126" s="116"/>
    </row>
    <row r="127" spans="1:5" s="409" customFormat="1" x14ac:dyDescent="0.4">
      <c r="A127" s="18"/>
      <c r="B127" s="42" t="s">
        <v>298</v>
      </c>
      <c r="C127" s="110"/>
      <c r="D127" s="116"/>
    </row>
    <row r="128" spans="1:5" s="409" customFormat="1" x14ac:dyDescent="0.4">
      <c r="A128" s="18">
        <v>11</v>
      </c>
      <c r="B128" s="14" t="s">
        <v>274</v>
      </c>
      <c r="C128" s="7" t="s">
        <v>1</v>
      </c>
      <c r="D128" s="114">
        <f>'Подробна КС -част АС'!H1024</f>
        <v>13.484999999999999</v>
      </c>
      <c r="E128" s="410"/>
    </row>
    <row r="129" spans="1:5" s="409" customFormat="1" ht="27.6" x14ac:dyDescent="0.4">
      <c r="A129" s="18">
        <v>12</v>
      </c>
      <c r="B129" s="14" t="s">
        <v>275</v>
      </c>
      <c r="C129" s="7" t="s">
        <v>1</v>
      </c>
      <c r="D129" s="114">
        <f>'Подробна КС -част АС'!H1026</f>
        <v>13.484999999999999</v>
      </c>
      <c r="E129" s="410"/>
    </row>
    <row r="130" spans="1:5" s="409" customFormat="1" ht="27.6" x14ac:dyDescent="0.4">
      <c r="A130" s="18">
        <v>13</v>
      </c>
      <c r="B130" s="14" t="s">
        <v>276</v>
      </c>
      <c r="C130" s="7" t="s">
        <v>5</v>
      </c>
      <c r="D130" s="114">
        <f>'Подробна КС -част АС'!H1028</f>
        <v>8.99</v>
      </c>
      <c r="E130" s="410"/>
    </row>
    <row r="131" spans="1:5" s="409" customFormat="1" x14ac:dyDescent="0.4">
      <c r="A131" s="18">
        <v>14</v>
      </c>
      <c r="B131" s="14" t="s">
        <v>277</v>
      </c>
      <c r="C131" s="7" t="s">
        <v>5</v>
      </c>
      <c r="D131" s="114">
        <f>'Подробна КС -част АС'!H1030</f>
        <v>8.99</v>
      </c>
      <c r="E131" s="410"/>
    </row>
    <row r="132" spans="1:5" s="409" customFormat="1" x14ac:dyDescent="0.4">
      <c r="A132" s="18">
        <v>15</v>
      </c>
      <c r="B132" s="14" t="s">
        <v>278</v>
      </c>
      <c r="C132" s="7" t="s">
        <v>5</v>
      </c>
      <c r="D132" s="114">
        <f>'Подробна КС -част АС'!H1032</f>
        <v>8.99</v>
      </c>
      <c r="E132" s="410"/>
    </row>
    <row r="133" spans="1:5" s="409" customFormat="1" x14ac:dyDescent="0.4">
      <c r="A133" s="18">
        <v>16</v>
      </c>
      <c r="B133" s="14" t="s">
        <v>297</v>
      </c>
      <c r="C133" s="7" t="s">
        <v>5</v>
      </c>
      <c r="D133" s="114">
        <f>'Подробна КС -част АС'!H1034</f>
        <v>8.99</v>
      </c>
      <c r="E133" s="410"/>
    </row>
    <row r="134" spans="1:5" s="409" customFormat="1" x14ac:dyDescent="0.4">
      <c r="A134" s="18">
        <v>17</v>
      </c>
      <c r="B134" s="5" t="s">
        <v>23</v>
      </c>
      <c r="C134" s="6" t="s">
        <v>4</v>
      </c>
      <c r="D134" s="325">
        <f>'Подробна КС -част АС'!H1036</f>
        <v>2</v>
      </c>
      <c r="E134" s="410"/>
    </row>
    <row r="135" spans="1:5" s="409" customFormat="1" x14ac:dyDescent="0.4">
      <c r="A135" s="18">
        <v>18</v>
      </c>
      <c r="B135" s="5" t="s">
        <v>258</v>
      </c>
      <c r="C135" s="7" t="s">
        <v>5</v>
      </c>
      <c r="D135" s="325">
        <f>'Подробна КС -част АС'!H1038</f>
        <v>77</v>
      </c>
      <c r="E135" s="410"/>
    </row>
    <row r="136" spans="1:5" s="410" customFormat="1" x14ac:dyDescent="0.4">
      <c r="A136" s="18">
        <v>19</v>
      </c>
      <c r="B136" s="5" t="s">
        <v>6</v>
      </c>
      <c r="C136" s="7" t="s">
        <v>1</v>
      </c>
      <c r="D136" s="13">
        <f>'Подробна КС -част АС'!H1042</f>
        <v>1941.7599999999998</v>
      </c>
    </row>
    <row r="137" spans="1:5" s="409" customFormat="1" x14ac:dyDescent="0.4">
      <c r="A137" s="156"/>
      <c r="B137" s="194"/>
      <c r="C137" s="170"/>
      <c r="D137" s="62"/>
    </row>
    <row r="138" spans="1:5" s="409" customFormat="1" ht="14.7" x14ac:dyDescent="0.4">
      <c r="A138" s="16"/>
      <c r="B138" s="101" t="s">
        <v>321</v>
      </c>
      <c r="C138" s="7"/>
      <c r="D138" s="13"/>
    </row>
    <row r="139" spans="1:5" s="409" customFormat="1" ht="27.6" x14ac:dyDescent="0.4">
      <c r="A139" s="18">
        <v>1</v>
      </c>
      <c r="B139" s="14" t="s">
        <v>324</v>
      </c>
      <c r="C139" s="7" t="s">
        <v>2</v>
      </c>
      <c r="D139" s="114">
        <f>'Подробна КС -част АС'!H1050</f>
        <v>91.790880000000016</v>
      </c>
    </row>
    <row r="140" spans="1:5" s="409" customFormat="1" ht="27.6" x14ac:dyDescent="0.4">
      <c r="A140" s="197">
        <v>2</v>
      </c>
      <c r="B140" s="104" t="s">
        <v>323</v>
      </c>
      <c r="C140" s="7" t="s">
        <v>2</v>
      </c>
      <c r="D140" s="13">
        <f>'Подробна КС -част АС'!H1056</f>
        <v>72.209280000000007</v>
      </c>
    </row>
    <row r="141" spans="1:5" s="409" customFormat="1" ht="27.6" x14ac:dyDescent="0.4">
      <c r="A141" s="197">
        <v>3</v>
      </c>
      <c r="B141" s="14" t="s">
        <v>326</v>
      </c>
      <c r="C141" s="7" t="s">
        <v>1</v>
      </c>
      <c r="D141" s="13">
        <f>'Подробна КС -част АС'!H1061</f>
        <v>305.96960000000007</v>
      </c>
    </row>
    <row r="142" spans="1:5" s="409" customFormat="1" ht="27.6" x14ac:dyDescent="0.4">
      <c r="A142" s="18">
        <v>4</v>
      </c>
      <c r="B142" s="14" t="s">
        <v>327</v>
      </c>
      <c r="C142" s="7" t="s">
        <v>1</v>
      </c>
      <c r="D142" s="13">
        <f>'Подробна КС -част АС'!H1063</f>
        <v>305.96960000000007</v>
      </c>
    </row>
    <row r="143" spans="1:5" s="409" customFormat="1" x14ac:dyDescent="0.4">
      <c r="A143" s="18">
        <v>5</v>
      </c>
      <c r="B143" s="14" t="s">
        <v>328</v>
      </c>
      <c r="C143" s="7" t="s">
        <v>1</v>
      </c>
      <c r="D143" s="114">
        <f>'Подробна КС -част АС'!H1072</f>
        <v>593.18319999999994</v>
      </c>
    </row>
    <row r="144" spans="1:5" s="409" customFormat="1" x14ac:dyDescent="0.4">
      <c r="A144" s="7"/>
      <c r="B144" s="14"/>
      <c r="C144" s="7"/>
      <c r="D144" s="13"/>
    </row>
    <row r="145" spans="1:4" s="409" customFormat="1" ht="14.7" x14ac:dyDescent="0.4">
      <c r="A145" s="7"/>
      <c r="B145" s="105" t="s">
        <v>334</v>
      </c>
      <c r="C145" s="7"/>
      <c r="D145" s="13"/>
    </row>
    <row r="146" spans="1:4" s="409" customFormat="1" ht="27.6" x14ac:dyDescent="0.4">
      <c r="A146" s="197">
        <v>1</v>
      </c>
      <c r="B146" s="14" t="s">
        <v>331</v>
      </c>
      <c r="C146" s="198" t="s">
        <v>1</v>
      </c>
      <c r="D146" s="13">
        <f>'Подробна КС -част АС'!H1079</f>
        <v>58.799599999999998</v>
      </c>
    </row>
    <row r="147" spans="1:4" s="409" customFormat="1" x14ac:dyDescent="0.4">
      <c r="A147" s="197">
        <v>2</v>
      </c>
      <c r="B147" s="14" t="s">
        <v>356</v>
      </c>
      <c r="C147" s="198" t="s">
        <v>1</v>
      </c>
      <c r="D147" s="114">
        <f>'Подробна КС -част АС'!H1085</f>
        <v>75.816000000000003</v>
      </c>
    </row>
    <row r="148" spans="1:4" s="409" customFormat="1" x14ac:dyDescent="0.4">
      <c r="A148" s="18">
        <v>3</v>
      </c>
      <c r="B148" s="14" t="s">
        <v>1272</v>
      </c>
      <c r="C148" s="7" t="s">
        <v>1</v>
      </c>
      <c r="D148" s="114">
        <f>'Подробна КС -част АС'!H1087</f>
        <v>75.816000000000003</v>
      </c>
    </row>
    <row r="149" spans="1:4" s="409" customFormat="1" x14ac:dyDescent="0.4">
      <c r="A149" s="18">
        <v>4</v>
      </c>
      <c r="B149" s="14" t="s">
        <v>357</v>
      </c>
      <c r="C149" s="7" t="s">
        <v>1</v>
      </c>
      <c r="D149" s="114">
        <f>'Подробна КС -част АС'!H1089</f>
        <v>75.816000000000003</v>
      </c>
    </row>
    <row r="150" spans="1:4" s="409" customFormat="1" ht="27.6" x14ac:dyDescent="0.4">
      <c r="A150" s="18">
        <v>5</v>
      </c>
      <c r="B150" s="14" t="s">
        <v>358</v>
      </c>
      <c r="C150" s="7" t="s">
        <v>1</v>
      </c>
      <c r="D150" s="114">
        <f>'Подробна КС -част АС'!H1091</f>
        <v>75.816000000000003</v>
      </c>
    </row>
    <row r="151" spans="1:4" s="409" customFormat="1" ht="27.6" x14ac:dyDescent="0.4">
      <c r="A151" s="18">
        <v>6</v>
      </c>
      <c r="B151" s="14" t="s">
        <v>359</v>
      </c>
      <c r="C151" s="7" t="s">
        <v>1</v>
      </c>
      <c r="D151" s="114">
        <f>'Подробна КС -част АС'!H1093</f>
        <v>75.816000000000003</v>
      </c>
    </row>
    <row r="152" spans="1:4" s="409" customFormat="1" ht="27.6" x14ac:dyDescent="0.4">
      <c r="A152" s="18">
        <v>7</v>
      </c>
      <c r="B152" s="14" t="s">
        <v>351</v>
      </c>
      <c r="C152" s="7" t="s">
        <v>5</v>
      </c>
      <c r="D152" s="13">
        <f>'Подробна КС -част АС'!H1097</f>
        <v>21.52</v>
      </c>
    </row>
    <row r="153" spans="1:4" s="409" customFormat="1" x14ac:dyDescent="0.4">
      <c r="A153" s="18">
        <v>8</v>
      </c>
      <c r="B153" s="14" t="s">
        <v>347</v>
      </c>
      <c r="C153" s="7" t="s">
        <v>1</v>
      </c>
      <c r="D153" s="13">
        <f>'Подробна КС -част АС'!H1099</f>
        <v>75.816000000000003</v>
      </c>
    </row>
    <row r="154" spans="1:4" s="409" customFormat="1" x14ac:dyDescent="0.4">
      <c r="A154" s="18">
        <v>9</v>
      </c>
      <c r="B154" s="14" t="s">
        <v>491</v>
      </c>
      <c r="C154" s="7" t="s">
        <v>1</v>
      </c>
      <c r="D154" s="13">
        <f>'Подробна КС -част АС'!H1104</f>
        <v>32.479599999999998</v>
      </c>
    </row>
    <row r="155" spans="1:4" s="409" customFormat="1" x14ac:dyDescent="0.4">
      <c r="A155" s="18">
        <v>10</v>
      </c>
      <c r="B155" s="14" t="s">
        <v>337</v>
      </c>
      <c r="C155" s="7" t="s">
        <v>4</v>
      </c>
      <c r="D155" s="323">
        <f>'Подробна КС -част АС'!H1106</f>
        <v>1</v>
      </c>
    </row>
    <row r="156" spans="1:4" s="409" customFormat="1" x14ac:dyDescent="0.4">
      <c r="A156" s="18">
        <v>11</v>
      </c>
      <c r="B156" s="14" t="s">
        <v>339</v>
      </c>
      <c r="C156" s="7" t="s">
        <v>4</v>
      </c>
      <c r="D156" s="323">
        <f>'Подробна КС -част АС'!H1108</f>
        <v>1</v>
      </c>
    </row>
    <row r="157" spans="1:4" s="409" customFormat="1" ht="27.6" x14ac:dyDescent="0.4">
      <c r="A157" s="18">
        <v>12</v>
      </c>
      <c r="B157" s="14" t="s">
        <v>332</v>
      </c>
      <c r="C157" s="7" t="s">
        <v>4</v>
      </c>
      <c r="D157" s="323">
        <f>'Подробна КС -част АС'!H1110</f>
        <v>1</v>
      </c>
    </row>
    <row r="158" spans="1:4" s="409" customFormat="1" x14ac:dyDescent="0.4">
      <c r="A158" s="18">
        <v>13</v>
      </c>
      <c r="B158" s="14" t="s">
        <v>368</v>
      </c>
      <c r="C158" s="7" t="s">
        <v>4</v>
      </c>
      <c r="D158" s="323">
        <f>'Подробна КС -част АС'!H1112</f>
        <v>1</v>
      </c>
    </row>
    <row r="159" spans="1:4" s="409" customFormat="1" x14ac:dyDescent="0.4">
      <c r="A159" s="7"/>
      <c r="B159" s="14"/>
      <c r="C159" s="7"/>
      <c r="D159" s="13"/>
    </row>
    <row r="160" spans="1:4" s="409" customFormat="1" x14ac:dyDescent="0.4">
      <c r="A160" s="7"/>
      <c r="B160" s="42" t="s">
        <v>322</v>
      </c>
      <c r="C160" s="7"/>
      <c r="D160" s="13"/>
    </row>
    <row r="161" spans="1:4" s="409" customFormat="1" ht="27.6" x14ac:dyDescent="0.4">
      <c r="A161" s="18">
        <v>1</v>
      </c>
      <c r="B161" s="14" t="s">
        <v>190</v>
      </c>
      <c r="C161" s="7" t="s">
        <v>1</v>
      </c>
      <c r="D161" s="13">
        <f>'Подробна КС -част АС'!H1115</f>
        <v>117.8912</v>
      </c>
    </row>
    <row r="162" spans="1:4" s="409" customFormat="1" ht="27.6" x14ac:dyDescent="0.4">
      <c r="A162" s="18">
        <v>2</v>
      </c>
      <c r="B162" s="14" t="s">
        <v>485</v>
      </c>
      <c r="C162" s="7" t="s">
        <v>1</v>
      </c>
      <c r="D162" s="13">
        <f>'Подробна КС -част АС'!H1121</f>
        <v>246.94800000000006</v>
      </c>
    </row>
    <row r="163" spans="1:4" s="409" customFormat="1" x14ac:dyDescent="0.4">
      <c r="A163" s="197">
        <v>3</v>
      </c>
      <c r="B163" s="14" t="s">
        <v>486</v>
      </c>
      <c r="C163" s="198" t="s">
        <v>1</v>
      </c>
      <c r="D163" s="13">
        <f>'Подробна КС -част АС'!H1127</f>
        <v>285.58799999999997</v>
      </c>
    </row>
    <row r="164" spans="1:4" s="409" customFormat="1" x14ac:dyDescent="0.4">
      <c r="A164" s="18">
        <v>4</v>
      </c>
      <c r="B164" s="14" t="s">
        <v>487</v>
      </c>
      <c r="C164" s="7" t="s">
        <v>1</v>
      </c>
      <c r="D164" s="13">
        <f>'Подробна КС -част АС'!H1129</f>
        <v>246.94800000000006</v>
      </c>
    </row>
    <row r="165" spans="1:4" s="409" customFormat="1" ht="27.6" x14ac:dyDescent="0.4">
      <c r="A165" s="18">
        <v>5</v>
      </c>
      <c r="B165" s="14" t="s">
        <v>489</v>
      </c>
      <c r="C165" s="7" t="s">
        <v>1</v>
      </c>
      <c r="D165" s="13">
        <f>'Подробна КС -част АС'!H1131</f>
        <v>493.89600000000013</v>
      </c>
    </row>
    <row r="166" spans="1:4" s="409" customFormat="1" x14ac:dyDescent="0.4">
      <c r="A166" s="18">
        <v>6</v>
      </c>
      <c r="B166" s="14" t="s">
        <v>488</v>
      </c>
      <c r="C166" s="7" t="s">
        <v>1</v>
      </c>
      <c r="D166" s="13">
        <f>'Подробна КС -част АС'!H1133</f>
        <v>285.58799999999997</v>
      </c>
    </row>
    <row r="167" spans="1:4" s="409" customFormat="1" ht="27.6" x14ac:dyDescent="0.4">
      <c r="A167" s="18">
        <v>7</v>
      </c>
      <c r="B167" s="14" t="s">
        <v>229</v>
      </c>
      <c r="C167" s="6" t="s">
        <v>1</v>
      </c>
      <c r="D167" s="13">
        <f>'Подробна КС -част АС'!H1135</f>
        <v>651.98699999999997</v>
      </c>
    </row>
    <row r="168" spans="1:4" s="409" customFormat="1" ht="27.6" x14ac:dyDescent="0.4">
      <c r="A168" s="18">
        <v>8</v>
      </c>
      <c r="B168" s="14" t="s">
        <v>477</v>
      </c>
      <c r="C168" s="7" t="s">
        <v>1</v>
      </c>
      <c r="D168" s="13">
        <f>'Подробна КС -част АС'!H1139</f>
        <v>90.389999999999986</v>
      </c>
    </row>
    <row r="169" spans="1:4" s="409" customFormat="1" x14ac:dyDescent="0.4">
      <c r="A169" s="34">
        <v>9</v>
      </c>
      <c r="B169" s="5" t="s">
        <v>371</v>
      </c>
      <c r="C169" s="6" t="s">
        <v>1</v>
      </c>
      <c r="D169" s="13">
        <f>'Подробна КС -част АС'!H1141</f>
        <v>7.5</v>
      </c>
    </row>
    <row r="170" spans="1:4" s="409" customFormat="1" x14ac:dyDescent="0.4">
      <c r="A170" s="34">
        <v>10</v>
      </c>
      <c r="B170" s="5" t="s">
        <v>372</v>
      </c>
      <c r="C170" s="6" t="s">
        <v>1</v>
      </c>
      <c r="D170" s="13">
        <f>'Подробна КС -част АС'!H1143</f>
        <v>13.7</v>
      </c>
    </row>
    <row r="171" spans="1:4" s="409" customFormat="1" x14ac:dyDescent="0.4">
      <c r="A171" s="34">
        <v>11</v>
      </c>
      <c r="B171" s="14" t="s">
        <v>420</v>
      </c>
      <c r="C171" s="6" t="s">
        <v>1</v>
      </c>
      <c r="D171" s="13">
        <f>'Подробна КС -част АС'!H1145</f>
        <v>312.5</v>
      </c>
    </row>
    <row r="172" spans="1:4" s="409" customFormat="1" x14ac:dyDescent="0.4">
      <c r="A172" s="197">
        <v>12</v>
      </c>
      <c r="B172" s="14" t="s">
        <v>389</v>
      </c>
      <c r="C172" s="7" t="s">
        <v>1</v>
      </c>
      <c r="D172" s="114">
        <f>'Подробна КС -част АС'!H1154</f>
        <v>504</v>
      </c>
    </row>
    <row r="173" spans="1:4" s="409" customFormat="1" x14ac:dyDescent="0.4">
      <c r="A173" s="18">
        <v>13</v>
      </c>
      <c r="B173" s="14" t="s">
        <v>1273</v>
      </c>
      <c r="C173" s="7" t="s">
        <v>1</v>
      </c>
      <c r="D173" s="114">
        <f>'Подробна КС -част АС'!H1156</f>
        <v>504</v>
      </c>
    </row>
    <row r="174" spans="1:4" s="409" customFormat="1" x14ac:dyDescent="0.4">
      <c r="A174" s="18">
        <v>14</v>
      </c>
      <c r="B174" s="14" t="s">
        <v>391</v>
      </c>
      <c r="C174" s="7" t="s">
        <v>1</v>
      </c>
      <c r="D174" s="114">
        <f>'Подробна КС -част АС'!H1158</f>
        <v>504</v>
      </c>
    </row>
    <row r="175" spans="1:4" s="409" customFormat="1" ht="27.6" x14ac:dyDescent="0.4">
      <c r="A175" s="18">
        <v>15</v>
      </c>
      <c r="B175" s="14" t="s">
        <v>392</v>
      </c>
      <c r="C175" s="7" t="s">
        <v>1</v>
      </c>
      <c r="D175" s="114">
        <f>'Подробна КС -част АС'!H1160</f>
        <v>504</v>
      </c>
    </row>
    <row r="176" spans="1:4" s="409" customFormat="1" ht="27.6" x14ac:dyDescent="0.4">
      <c r="A176" s="18">
        <v>16</v>
      </c>
      <c r="B176" s="14" t="s">
        <v>393</v>
      </c>
      <c r="C176" s="7" t="s">
        <v>1</v>
      </c>
      <c r="D176" s="114">
        <f>'Подробна КС -част АС'!H1162</f>
        <v>504</v>
      </c>
    </row>
    <row r="177" spans="1:4" s="409" customFormat="1" ht="27.6" x14ac:dyDescent="0.4">
      <c r="A177" s="18">
        <v>17</v>
      </c>
      <c r="B177" s="14" t="s">
        <v>394</v>
      </c>
      <c r="C177" s="7" t="s">
        <v>5</v>
      </c>
      <c r="D177" s="114">
        <f>'Подробна КС -част АС'!H1168</f>
        <v>175</v>
      </c>
    </row>
    <row r="178" spans="1:4" s="409" customFormat="1" x14ac:dyDescent="0.4">
      <c r="A178" s="18">
        <v>18</v>
      </c>
      <c r="B178" s="14" t="s">
        <v>313</v>
      </c>
      <c r="C178" s="7" t="s">
        <v>1</v>
      </c>
      <c r="D178" s="114">
        <f>'Подробна КС -част АС'!H1170</f>
        <v>524.54999999999995</v>
      </c>
    </row>
    <row r="179" spans="1:4" s="409" customFormat="1" ht="27.6" x14ac:dyDescent="0.4">
      <c r="A179" s="18">
        <v>19</v>
      </c>
      <c r="B179" s="14" t="s">
        <v>370</v>
      </c>
      <c r="C179" s="7" t="s">
        <v>1</v>
      </c>
      <c r="D179" s="114">
        <f>'Подробна КС -част АС'!H1172</f>
        <v>7.5</v>
      </c>
    </row>
    <row r="180" spans="1:4" s="409" customFormat="1" ht="27.6" x14ac:dyDescent="0.4">
      <c r="A180" s="18">
        <v>20</v>
      </c>
      <c r="B180" s="14" t="s">
        <v>369</v>
      </c>
      <c r="C180" s="7" t="s">
        <v>1</v>
      </c>
      <c r="D180" s="114">
        <f>'Подробна КС -част АС'!H1174</f>
        <v>463.625</v>
      </c>
    </row>
    <row r="181" spans="1:4" s="409" customFormat="1" ht="27.6" x14ac:dyDescent="0.4">
      <c r="A181" s="197">
        <v>21</v>
      </c>
      <c r="B181" s="5" t="s">
        <v>377</v>
      </c>
      <c r="C181" s="7" t="s">
        <v>1</v>
      </c>
      <c r="D181" s="13">
        <f>'Подробна КС -част АС'!H1182</f>
        <v>32.875</v>
      </c>
    </row>
    <row r="182" spans="1:4" s="409" customFormat="1" ht="27.6" x14ac:dyDescent="0.4">
      <c r="A182" s="18">
        <v>22</v>
      </c>
      <c r="B182" s="5" t="s">
        <v>373</v>
      </c>
      <c r="C182" s="6" t="s">
        <v>1</v>
      </c>
      <c r="D182" s="13">
        <f>'Подробна КС -част АС'!H1187</f>
        <v>20.549999999999997</v>
      </c>
    </row>
    <row r="183" spans="1:4" s="409" customFormat="1" x14ac:dyDescent="0.4">
      <c r="A183" s="18">
        <v>23</v>
      </c>
      <c r="B183" s="14" t="s">
        <v>476</v>
      </c>
      <c r="C183" s="7" t="s">
        <v>1</v>
      </c>
      <c r="D183" s="13">
        <f>'Подробна КС -част АС'!H1189</f>
        <v>305.96960000000007</v>
      </c>
    </row>
    <row r="184" spans="1:4" s="409" customFormat="1" x14ac:dyDescent="0.4">
      <c r="A184" s="18">
        <v>24</v>
      </c>
      <c r="B184" s="14" t="s">
        <v>475</v>
      </c>
      <c r="C184" s="7" t="s">
        <v>1</v>
      </c>
      <c r="D184" s="13">
        <f>'Подробна КС -част АС'!H1191</f>
        <v>305.96960000000007</v>
      </c>
    </row>
    <row r="185" spans="1:4" s="409" customFormat="1" x14ac:dyDescent="0.4">
      <c r="A185" s="197">
        <v>25</v>
      </c>
      <c r="B185" s="14" t="s">
        <v>333</v>
      </c>
      <c r="C185" s="198" t="s">
        <v>1</v>
      </c>
      <c r="D185" s="13">
        <f>'Подробна КС -част АС'!H1204</f>
        <v>980.80399999999997</v>
      </c>
    </row>
    <row r="186" spans="1:4" s="409" customFormat="1" x14ac:dyDescent="0.4">
      <c r="A186" s="18">
        <v>26</v>
      </c>
      <c r="B186" s="14" t="s">
        <v>336</v>
      </c>
      <c r="C186" s="7" t="s">
        <v>1</v>
      </c>
      <c r="D186" s="13">
        <f>'Подробна КС -част АС'!H1206</f>
        <v>980.80399999999997</v>
      </c>
    </row>
    <row r="187" spans="1:4" s="409" customFormat="1" x14ac:dyDescent="0.4">
      <c r="A187" s="18">
        <v>27</v>
      </c>
      <c r="B187" s="14" t="s">
        <v>335</v>
      </c>
      <c r="C187" s="7" t="s">
        <v>1</v>
      </c>
      <c r="D187" s="13">
        <f>'Подробна КС -част АС'!H1208</f>
        <v>980.80399999999997</v>
      </c>
    </row>
    <row r="188" spans="1:4" s="409" customFormat="1" ht="27.6" x14ac:dyDescent="0.4">
      <c r="A188" s="18">
        <v>28</v>
      </c>
      <c r="B188" s="14" t="s">
        <v>192</v>
      </c>
      <c r="C188" s="7" t="s">
        <v>4</v>
      </c>
      <c r="D188" s="323">
        <f>'Подробна КС -част АС'!H1210</f>
        <v>4</v>
      </c>
    </row>
    <row r="189" spans="1:4" s="409" customFormat="1" x14ac:dyDescent="0.4">
      <c r="A189" s="18">
        <v>29</v>
      </c>
      <c r="B189" s="14" t="s">
        <v>191</v>
      </c>
      <c r="C189" s="7" t="s">
        <v>4</v>
      </c>
      <c r="D189" s="323">
        <f>'Подробна КС -част АС'!H1212</f>
        <v>5</v>
      </c>
    </row>
    <row r="190" spans="1:4" s="409" customFormat="1" x14ac:dyDescent="0.4">
      <c r="A190" s="18">
        <v>30</v>
      </c>
      <c r="B190" s="14" t="s">
        <v>263</v>
      </c>
      <c r="C190" s="7" t="s">
        <v>4</v>
      </c>
      <c r="D190" s="323">
        <f>'Подробна КС -част АС'!H1214</f>
        <v>2</v>
      </c>
    </row>
    <row r="191" spans="1:4" s="409" customFormat="1" x14ac:dyDescent="0.4">
      <c r="A191" s="18">
        <v>31</v>
      </c>
      <c r="B191" s="14" t="s">
        <v>264</v>
      </c>
      <c r="C191" s="7" t="s">
        <v>4</v>
      </c>
      <c r="D191" s="323">
        <f>'Подробна КС -част АС'!H1216</f>
        <v>2</v>
      </c>
    </row>
    <row r="192" spans="1:4" s="409" customFormat="1" x14ac:dyDescent="0.4">
      <c r="A192" s="7"/>
      <c r="B192" s="14"/>
      <c r="C192" s="7"/>
      <c r="D192" s="13"/>
    </row>
    <row r="193" spans="1:4" s="409" customFormat="1" ht="14.7" x14ac:dyDescent="0.4">
      <c r="A193" s="7"/>
      <c r="B193" s="105" t="s">
        <v>338</v>
      </c>
      <c r="C193" s="7"/>
      <c r="D193" s="13"/>
    </row>
    <row r="194" spans="1:4" s="409" customFormat="1" x14ac:dyDescent="0.4">
      <c r="A194" s="18">
        <v>32</v>
      </c>
      <c r="B194" s="14" t="s">
        <v>380</v>
      </c>
      <c r="C194" s="6" t="s">
        <v>1</v>
      </c>
      <c r="D194" s="24">
        <f>'Подробна КС -част АС'!H1220</f>
        <v>12.5</v>
      </c>
    </row>
    <row r="195" spans="1:4" s="409" customFormat="1" x14ac:dyDescent="0.4">
      <c r="A195" s="18">
        <v>33</v>
      </c>
      <c r="B195" s="14" t="s">
        <v>381</v>
      </c>
      <c r="C195" s="7" t="s">
        <v>1</v>
      </c>
      <c r="D195" s="24">
        <f>'Подробна КС -част АС'!H1222</f>
        <v>22.5</v>
      </c>
    </row>
    <row r="196" spans="1:4" s="409" customFormat="1" x14ac:dyDescent="0.4">
      <c r="A196" s="34">
        <v>34</v>
      </c>
      <c r="B196" s="14" t="s">
        <v>382</v>
      </c>
      <c r="C196" s="7" t="s">
        <v>5</v>
      </c>
      <c r="D196" s="24">
        <f>'Подробна КС -част АС'!H1224</f>
        <v>11.5</v>
      </c>
    </row>
    <row r="197" spans="1:4" s="409" customFormat="1" x14ac:dyDescent="0.4">
      <c r="A197" s="34">
        <v>35</v>
      </c>
      <c r="B197" s="30" t="s">
        <v>383</v>
      </c>
      <c r="C197" s="6" t="s">
        <v>1</v>
      </c>
      <c r="D197" s="24">
        <f>'Подробна КС -част АС'!H1226</f>
        <v>7.5</v>
      </c>
    </row>
    <row r="198" spans="1:4" s="409" customFormat="1" ht="27.6" x14ac:dyDescent="0.4">
      <c r="A198" s="34">
        <v>36</v>
      </c>
      <c r="B198" s="5" t="s">
        <v>375</v>
      </c>
      <c r="C198" s="6" t="s">
        <v>5</v>
      </c>
      <c r="D198" s="24">
        <f>'Подробна КС -част АС'!H1228</f>
        <v>50</v>
      </c>
    </row>
    <row r="199" spans="1:4" s="409" customFormat="1" ht="27.6" x14ac:dyDescent="0.4">
      <c r="A199" s="34">
        <v>37</v>
      </c>
      <c r="B199" s="5" t="s">
        <v>376</v>
      </c>
      <c r="C199" s="6" t="s">
        <v>5</v>
      </c>
      <c r="D199" s="24">
        <f>'Подробна КС -част АС'!H1230</f>
        <v>50</v>
      </c>
    </row>
    <row r="200" spans="1:4" s="409" customFormat="1" x14ac:dyDescent="0.4">
      <c r="A200" s="34">
        <v>38</v>
      </c>
      <c r="B200" s="5" t="s">
        <v>385</v>
      </c>
      <c r="C200" s="6" t="s">
        <v>5</v>
      </c>
      <c r="D200" s="24">
        <f>'Подробна КС -част АС'!H1232</f>
        <v>100</v>
      </c>
    </row>
    <row r="201" spans="1:4" s="409" customFormat="1" ht="27.6" x14ac:dyDescent="0.4">
      <c r="A201" s="34">
        <v>39</v>
      </c>
      <c r="B201" s="5" t="s">
        <v>384</v>
      </c>
      <c r="C201" s="6" t="s">
        <v>5</v>
      </c>
      <c r="D201" s="24">
        <f>'Подробна КС -част АС'!H1234</f>
        <v>50</v>
      </c>
    </row>
    <row r="202" spans="1:4" s="409" customFormat="1" x14ac:dyDescent="0.4">
      <c r="A202" s="156"/>
      <c r="B202" s="194"/>
      <c r="C202" s="170"/>
      <c r="D202" s="62"/>
    </row>
    <row r="203" spans="1:4" s="409" customFormat="1" ht="14.7" x14ac:dyDescent="0.4">
      <c r="A203" s="156"/>
      <c r="B203" s="173" t="s">
        <v>309</v>
      </c>
      <c r="C203" s="170"/>
      <c r="D203" s="62"/>
    </row>
    <row r="204" spans="1:4" s="409" customFormat="1" x14ac:dyDescent="0.4">
      <c r="A204" s="34">
        <v>1</v>
      </c>
      <c r="B204" s="5" t="s">
        <v>340</v>
      </c>
      <c r="C204" s="6" t="s">
        <v>2</v>
      </c>
      <c r="D204" s="24">
        <f>'Подробна КС -част АС'!H1242</f>
        <v>123.36199999999999</v>
      </c>
    </row>
    <row r="205" spans="1:4" s="409" customFormat="1" x14ac:dyDescent="0.4">
      <c r="A205" s="34">
        <v>2</v>
      </c>
      <c r="B205" s="5" t="s">
        <v>386</v>
      </c>
      <c r="C205" s="6" t="s">
        <v>2</v>
      </c>
      <c r="D205" s="24">
        <f>'Подробна КС -част АС'!H1244</f>
        <v>16.962</v>
      </c>
    </row>
    <row r="206" spans="1:4" s="409" customFormat="1" x14ac:dyDescent="0.4">
      <c r="A206" s="34">
        <v>3</v>
      </c>
      <c r="B206" s="5" t="s">
        <v>387</v>
      </c>
      <c r="C206" s="6" t="s">
        <v>2</v>
      </c>
      <c r="D206" s="24">
        <f>'Подробна КС -част АС'!H1246</f>
        <v>16.962</v>
      </c>
    </row>
    <row r="207" spans="1:4" s="409" customFormat="1" x14ac:dyDescent="0.4">
      <c r="A207" s="34">
        <v>4</v>
      </c>
      <c r="B207" s="5" t="s">
        <v>341</v>
      </c>
      <c r="C207" s="6" t="s">
        <v>2</v>
      </c>
      <c r="D207" s="24">
        <f>'Подробна КС -част АС'!H1248</f>
        <v>25.443000000000001</v>
      </c>
    </row>
    <row r="208" spans="1:4" s="409" customFormat="1" x14ac:dyDescent="0.4">
      <c r="A208" s="34">
        <v>5</v>
      </c>
      <c r="B208" s="5" t="s">
        <v>193</v>
      </c>
      <c r="C208" s="6" t="s">
        <v>1</v>
      </c>
      <c r="D208" s="24">
        <f>'Подробна КС -част АС'!H1253</f>
        <v>645.08000000000004</v>
      </c>
    </row>
    <row r="209" spans="1:4" s="409" customFormat="1" x14ac:dyDescent="0.4">
      <c r="A209" s="34">
        <v>6</v>
      </c>
      <c r="B209" s="14" t="s">
        <v>397</v>
      </c>
      <c r="C209" s="6" t="s">
        <v>4</v>
      </c>
      <c r="D209" s="326">
        <f>'Подробна КС -част АС'!H1255</f>
        <v>5</v>
      </c>
    </row>
    <row r="210" spans="1:4" s="409" customFormat="1" ht="27.6" x14ac:dyDescent="0.4">
      <c r="A210" s="34">
        <v>7</v>
      </c>
      <c r="B210" s="14" t="s">
        <v>396</v>
      </c>
      <c r="C210" s="6" t="s">
        <v>1</v>
      </c>
      <c r="D210" s="24">
        <f>'Подробна КС -част АС'!H1257</f>
        <v>11.578750000000001</v>
      </c>
    </row>
    <row r="211" spans="1:4" s="409" customFormat="1" x14ac:dyDescent="0.4">
      <c r="A211" s="34">
        <v>8</v>
      </c>
      <c r="B211" s="5" t="s">
        <v>398</v>
      </c>
      <c r="C211" s="6" t="s">
        <v>4</v>
      </c>
      <c r="D211" s="326">
        <f>'Подробна КС -част АС'!H1259</f>
        <v>8</v>
      </c>
    </row>
    <row r="212" spans="1:4" s="409" customFormat="1" x14ac:dyDescent="0.4">
      <c r="A212" s="34">
        <v>9</v>
      </c>
      <c r="B212" s="5" t="s">
        <v>399</v>
      </c>
      <c r="C212" s="6" t="s">
        <v>1</v>
      </c>
      <c r="D212" s="24">
        <f>'Подробна КС -част АС'!H1261</f>
        <v>29.1</v>
      </c>
    </row>
    <row r="213" spans="1:4" s="409" customFormat="1" x14ac:dyDescent="0.4">
      <c r="A213" s="34">
        <v>10</v>
      </c>
      <c r="B213" s="5" t="s">
        <v>400</v>
      </c>
      <c r="C213" s="6" t="s">
        <v>1</v>
      </c>
      <c r="D213" s="24">
        <f>'Подробна КС -част АС'!H1263</f>
        <v>20.5</v>
      </c>
    </row>
    <row r="214" spans="1:4" s="409" customFormat="1" x14ac:dyDescent="0.4">
      <c r="A214" s="34">
        <v>11</v>
      </c>
      <c r="B214" s="5" t="s">
        <v>402</v>
      </c>
      <c r="C214" s="6" t="s">
        <v>1</v>
      </c>
      <c r="D214" s="24">
        <f>'Подробна КС -част АС'!H1265</f>
        <v>14.3</v>
      </c>
    </row>
    <row r="215" spans="1:4" s="409" customFormat="1" x14ac:dyDescent="0.4">
      <c r="A215" s="34">
        <v>12</v>
      </c>
      <c r="B215" s="5" t="s">
        <v>401</v>
      </c>
      <c r="C215" s="6" t="s">
        <v>1</v>
      </c>
      <c r="D215" s="24">
        <f>'Подробна КС -част АС'!H1267</f>
        <v>3.33</v>
      </c>
    </row>
    <row r="216" spans="1:4" s="409" customFormat="1" x14ac:dyDescent="0.4">
      <c r="A216" s="34">
        <v>13</v>
      </c>
      <c r="B216" s="5" t="s">
        <v>403</v>
      </c>
      <c r="C216" s="6" t="s">
        <v>4</v>
      </c>
      <c r="D216" s="326">
        <f>'Подробна КС -част АС'!H1269</f>
        <v>5</v>
      </c>
    </row>
    <row r="217" spans="1:4" s="409" customFormat="1" x14ac:dyDescent="0.4">
      <c r="A217" s="34">
        <v>14</v>
      </c>
      <c r="B217" s="5" t="s">
        <v>404</v>
      </c>
      <c r="C217" s="6" t="s">
        <v>4</v>
      </c>
      <c r="D217" s="326">
        <f>'Подробна КС -част АС'!H1271</f>
        <v>6</v>
      </c>
    </row>
    <row r="218" spans="1:4" s="409" customFormat="1" x14ac:dyDescent="0.4">
      <c r="A218" s="34">
        <v>15</v>
      </c>
      <c r="B218" s="14" t="s">
        <v>312</v>
      </c>
      <c r="C218" s="6" t="s">
        <v>1</v>
      </c>
      <c r="D218" s="24">
        <f>'Подробна КС -част АС'!H1276</f>
        <v>616.32000000000005</v>
      </c>
    </row>
    <row r="219" spans="1:4" s="409" customFormat="1" x14ac:dyDescent="0.4">
      <c r="A219" s="34">
        <v>16</v>
      </c>
      <c r="B219" s="14" t="s">
        <v>413</v>
      </c>
      <c r="C219" s="6" t="s">
        <v>1</v>
      </c>
      <c r="D219" s="24">
        <f>'Подробна КС -част АС'!H1286</f>
        <v>941.14300000000003</v>
      </c>
    </row>
    <row r="220" spans="1:4" s="409" customFormat="1" ht="27.6" x14ac:dyDescent="0.4">
      <c r="A220" s="34">
        <v>17</v>
      </c>
      <c r="B220" s="14" t="s">
        <v>405</v>
      </c>
      <c r="C220" s="6" t="s">
        <v>1</v>
      </c>
      <c r="D220" s="24">
        <f>'Подробна КС -част АС'!H1288</f>
        <v>941.14300000000003</v>
      </c>
    </row>
    <row r="221" spans="1:4" s="409" customFormat="1" x14ac:dyDescent="0.4">
      <c r="A221" s="34">
        <v>18</v>
      </c>
      <c r="B221" s="14" t="s">
        <v>406</v>
      </c>
      <c r="C221" s="6" t="s">
        <v>1</v>
      </c>
      <c r="D221" s="24">
        <f>'Подробна КС -част АС'!H1290</f>
        <v>941.14300000000003</v>
      </c>
    </row>
    <row r="222" spans="1:4" s="409" customFormat="1" ht="27.6" x14ac:dyDescent="0.4">
      <c r="A222" s="34">
        <v>19</v>
      </c>
      <c r="B222" s="14" t="s">
        <v>407</v>
      </c>
      <c r="C222" s="6" t="s">
        <v>1</v>
      </c>
      <c r="D222" s="24">
        <f>'Подробна КС -част АС'!H1292</f>
        <v>941.14300000000003</v>
      </c>
    </row>
    <row r="223" spans="1:4" s="409" customFormat="1" ht="27.6" x14ac:dyDescent="0.4">
      <c r="A223" s="34">
        <v>20</v>
      </c>
      <c r="B223" s="14" t="s">
        <v>408</v>
      </c>
      <c r="C223" s="6" t="s">
        <v>1</v>
      </c>
      <c r="D223" s="24">
        <f>'Подробна КС -част АС'!H1294</f>
        <v>941.14300000000003</v>
      </c>
    </row>
    <row r="224" spans="1:4" s="409" customFormat="1" ht="27.6" x14ac:dyDescent="0.4">
      <c r="A224" s="34">
        <v>21</v>
      </c>
      <c r="B224" s="14" t="s">
        <v>416</v>
      </c>
      <c r="C224" s="6" t="s">
        <v>5</v>
      </c>
      <c r="D224" s="24">
        <f>'Подробна КС -част АС'!H1301</f>
        <v>360.19000000000005</v>
      </c>
    </row>
    <row r="225" spans="1:4" s="409" customFormat="1" x14ac:dyDescent="0.4">
      <c r="A225" s="34">
        <v>22</v>
      </c>
      <c r="B225" s="14" t="s">
        <v>313</v>
      </c>
      <c r="C225" s="6" t="s">
        <v>1</v>
      </c>
      <c r="D225" s="24">
        <f>'Подробна КС -част АС'!H1308</f>
        <v>815.72700000000009</v>
      </c>
    </row>
    <row r="226" spans="1:4" s="409" customFormat="1" x14ac:dyDescent="0.4">
      <c r="A226" s="34">
        <v>23</v>
      </c>
      <c r="B226" s="14" t="s">
        <v>421</v>
      </c>
      <c r="C226" s="6" t="s">
        <v>1</v>
      </c>
      <c r="D226" s="24">
        <f>'Подробна КС -част АС'!H1310</f>
        <v>722.49160000000006</v>
      </c>
    </row>
    <row r="227" spans="1:4" s="409" customFormat="1" ht="27.6" x14ac:dyDescent="0.4">
      <c r="A227" s="201">
        <v>24</v>
      </c>
      <c r="B227" s="14" t="s">
        <v>422</v>
      </c>
      <c r="C227" s="196" t="s">
        <v>1</v>
      </c>
      <c r="D227" s="24">
        <f>'Подробна КС -част АС'!H1322</f>
        <v>118.7354</v>
      </c>
    </row>
    <row r="228" spans="1:4" s="409" customFormat="1" x14ac:dyDescent="0.4">
      <c r="A228" s="156"/>
      <c r="B228" s="42" t="s">
        <v>342</v>
      </c>
      <c r="C228" s="6"/>
      <c r="D228" s="24"/>
    </row>
    <row r="229" spans="1:4" s="409" customFormat="1" x14ac:dyDescent="0.4">
      <c r="A229" s="34">
        <v>25</v>
      </c>
      <c r="B229" s="14" t="s">
        <v>380</v>
      </c>
      <c r="C229" s="6" t="s">
        <v>1</v>
      </c>
      <c r="D229" s="24">
        <f>'Подробна КС -част АС'!H1325</f>
        <v>27.35</v>
      </c>
    </row>
    <row r="230" spans="1:4" s="409" customFormat="1" x14ac:dyDescent="0.4">
      <c r="A230" s="34">
        <v>26</v>
      </c>
      <c r="B230" s="14" t="s">
        <v>381</v>
      </c>
      <c r="C230" s="7" t="s">
        <v>1</v>
      </c>
      <c r="D230" s="24">
        <f>'Подробна КС -част АС'!H1327</f>
        <v>49.230000000000004</v>
      </c>
    </row>
    <row r="231" spans="1:4" s="409" customFormat="1" x14ac:dyDescent="0.4">
      <c r="A231" s="34">
        <v>27</v>
      </c>
      <c r="B231" s="14" t="s">
        <v>382</v>
      </c>
      <c r="C231" s="7" t="s">
        <v>5</v>
      </c>
      <c r="D231" s="24">
        <f>'Подробна КС -част АС'!H1329</f>
        <v>25.162000000000003</v>
      </c>
    </row>
    <row r="232" spans="1:4" s="409" customFormat="1" x14ac:dyDescent="0.4">
      <c r="A232" s="34">
        <v>28</v>
      </c>
      <c r="B232" s="30" t="s">
        <v>433</v>
      </c>
      <c r="C232" s="6" t="s">
        <v>1</v>
      </c>
      <c r="D232" s="24">
        <f>'Подробна КС -част АС'!H1340</f>
        <v>93.235399999999998</v>
      </c>
    </row>
    <row r="233" spans="1:4" s="409" customFormat="1" x14ac:dyDescent="0.4">
      <c r="A233" s="34">
        <v>29</v>
      </c>
      <c r="B233" s="5" t="s">
        <v>424</v>
      </c>
      <c r="C233" s="6" t="s">
        <v>5</v>
      </c>
      <c r="D233" s="24">
        <f>'Подробна КС -част АС'!H1342</f>
        <v>218.8</v>
      </c>
    </row>
    <row r="234" spans="1:4" s="409" customFormat="1" ht="27.6" x14ac:dyDescent="0.4">
      <c r="A234" s="34">
        <v>30</v>
      </c>
      <c r="B234" s="5" t="s">
        <v>423</v>
      </c>
      <c r="C234" s="6" t="s">
        <v>5</v>
      </c>
      <c r="D234" s="24">
        <f>'Подробна КС -част АС'!H1344</f>
        <v>109.4</v>
      </c>
    </row>
    <row r="235" spans="1:4" s="409" customFormat="1" x14ac:dyDescent="0.4">
      <c r="A235" s="34">
        <v>31</v>
      </c>
      <c r="B235" s="30" t="s">
        <v>316</v>
      </c>
      <c r="C235" s="6" t="s">
        <v>4</v>
      </c>
      <c r="D235" s="326">
        <f>'Подробна КС -част АС'!H1346</f>
        <v>6</v>
      </c>
    </row>
    <row r="236" spans="1:4" s="409" customFormat="1" ht="27.6" x14ac:dyDescent="0.4">
      <c r="A236" s="34">
        <v>32</v>
      </c>
      <c r="B236" s="5" t="s">
        <v>343</v>
      </c>
      <c r="C236" s="6" t="s">
        <v>4</v>
      </c>
      <c r="D236" s="326">
        <f>'Подробна КС -част АС'!H1348</f>
        <v>4</v>
      </c>
    </row>
    <row r="237" spans="1:4" s="409" customFormat="1" x14ac:dyDescent="0.4">
      <c r="A237" s="34">
        <v>33</v>
      </c>
      <c r="B237" s="5" t="s">
        <v>344</v>
      </c>
      <c r="C237" s="6" t="s">
        <v>4</v>
      </c>
      <c r="D237" s="326">
        <f>'Подробна КС -част АС'!H1350</f>
        <v>17</v>
      </c>
    </row>
    <row r="238" spans="1:4" s="409" customFormat="1" x14ac:dyDescent="0.4">
      <c r="A238" s="34"/>
      <c r="B238" s="103"/>
      <c r="C238" s="193"/>
      <c r="D238" s="62"/>
    </row>
    <row r="239" spans="1:4" s="409" customFormat="1" ht="14.7" x14ac:dyDescent="0.4">
      <c r="A239" s="156"/>
      <c r="B239" s="154" t="s">
        <v>435</v>
      </c>
      <c r="C239" s="193"/>
      <c r="D239" s="62"/>
    </row>
    <row r="240" spans="1:4" s="409" customFormat="1" x14ac:dyDescent="0.4">
      <c r="A240" s="34">
        <v>1</v>
      </c>
      <c r="B240" s="14" t="s">
        <v>454</v>
      </c>
      <c r="C240" s="6" t="s">
        <v>1</v>
      </c>
      <c r="D240" s="24">
        <f>'Подробна КС -част АС'!H1354</f>
        <v>8.3084399999999992</v>
      </c>
    </row>
    <row r="241" spans="1:4" s="409" customFormat="1" x14ac:dyDescent="0.4">
      <c r="A241" s="34">
        <v>2</v>
      </c>
      <c r="B241" s="14" t="s">
        <v>478</v>
      </c>
      <c r="C241" s="6" t="s">
        <v>1</v>
      </c>
      <c r="D241" s="24">
        <f>'Подробна КС -част АС'!H1356</f>
        <v>50.24</v>
      </c>
    </row>
    <row r="242" spans="1:4" s="409" customFormat="1" x14ac:dyDescent="0.4">
      <c r="A242" s="411">
        <v>3</v>
      </c>
      <c r="B242" s="327" t="s">
        <v>436</v>
      </c>
      <c r="C242" s="183" t="s">
        <v>4</v>
      </c>
      <c r="D242" s="326">
        <f>'Подробна КС -част АС'!H1358</f>
        <v>6</v>
      </c>
    </row>
    <row r="243" spans="1:4" s="409" customFormat="1" x14ac:dyDescent="0.4">
      <c r="A243" s="34">
        <v>4</v>
      </c>
      <c r="B243" s="14" t="s">
        <v>438</v>
      </c>
      <c r="C243" s="6" t="s">
        <v>5</v>
      </c>
      <c r="D243" s="24">
        <f>'Подробна КС -част АС'!H1360</f>
        <v>18.850000000000001</v>
      </c>
    </row>
    <row r="244" spans="1:4" s="409" customFormat="1" x14ac:dyDescent="0.4">
      <c r="A244" s="34">
        <v>5</v>
      </c>
      <c r="B244" s="14" t="s">
        <v>437</v>
      </c>
      <c r="C244" s="6" t="s">
        <v>5</v>
      </c>
      <c r="D244" s="24">
        <f>'Подробна КС -част АС'!H1362</f>
        <v>20.61</v>
      </c>
    </row>
    <row r="245" spans="1:4" s="409" customFormat="1" x14ac:dyDescent="0.4">
      <c r="A245" s="34">
        <v>6</v>
      </c>
      <c r="B245" s="5" t="s">
        <v>317</v>
      </c>
      <c r="C245" s="6" t="s">
        <v>1</v>
      </c>
      <c r="D245" s="24">
        <f>'Подробна КС -част АС'!H1364</f>
        <v>6.1</v>
      </c>
    </row>
    <row r="246" spans="1:4" s="409" customFormat="1" x14ac:dyDescent="0.4">
      <c r="A246" s="34">
        <v>7</v>
      </c>
      <c r="B246" s="30" t="s">
        <v>318</v>
      </c>
      <c r="C246" s="6" t="s">
        <v>4</v>
      </c>
      <c r="D246" s="326">
        <f>'Подробна КС -част АС'!H1366</f>
        <v>12</v>
      </c>
    </row>
    <row r="247" spans="1:4" s="409" customFormat="1" x14ac:dyDescent="0.4">
      <c r="A247" s="34"/>
      <c r="B247" s="7"/>
      <c r="C247" s="22"/>
      <c r="D247" s="24"/>
    </row>
    <row r="248" spans="1:4" s="409" customFormat="1" ht="29.4" x14ac:dyDescent="0.4">
      <c r="A248" s="34"/>
      <c r="B248" s="106" t="s">
        <v>289</v>
      </c>
      <c r="C248" s="7"/>
      <c r="D248" s="13"/>
    </row>
    <row r="249" spans="1:4" s="409" customFormat="1" x14ac:dyDescent="0.4">
      <c r="A249" s="201">
        <v>1</v>
      </c>
      <c r="B249" s="104" t="s">
        <v>195</v>
      </c>
      <c r="C249" s="7" t="s">
        <v>2</v>
      </c>
      <c r="D249" s="13">
        <f>'Подробна КС -част АС'!H1376</f>
        <v>37.743749999999999</v>
      </c>
    </row>
    <row r="250" spans="1:4" s="409" customFormat="1" x14ac:dyDescent="0.4">
      <c r="A250" s="34">
        <v>2</v>
      </c>
      <c r="B250" s="14" t="s">
        <v>196</v>
      </c>
      <c r="C250" s="7" t="s">
        <v>1</v>
      </c>
      <c r="D250" s="13">
        <f>'Подробна КС -част АС'!H1378</f>
        <v>120</v>
      </c>
    </row>
    <row r="251" spans="1:4" s="409" customFormat="1" x14ac:dyDescent="0.4">
      <c r="A251" s="34">
        <v>3</v>
      </c>
      <c r="B251" s="14" t="s">
        <v>197</v>
      </c>
      <c r="C251" s="7" t="s">
        <v>1</v>
      </c>
      <c r="D251" s="13">
        <f>'Подробна КС -част АС'!H1384</f>
        <v>108.96000000000001</v>
      </c>
    </row>
    <row r="252" spans="1:4" s="409" customFormat="1" x14ac:dyDescent="0.4">
      <c r="A252" s="201">
        <v>4</v>
      </c>
      <c r="B252" s="14" t="s">
        <v>349</v>
      </c>
      <c r="C252" s="7" t="s">
        <v>1</v>
      </c>
      <c r="D252" s="24">
        <f>'Подробна КС -част АС'!H1393</f>
        <v>104.91500000000001</v>
      </c>
    </row>
    <row r="253" spans="1:4" s="409" customFormat="1" x14ac:dyDescent="0.4">
      <c r="A253" s="34">
        <v>5</v>
      </c>
      <c r="B253" s="14" t="s">
        <v>1274</v>
      </c>
      <c r="C253" s="7" t="s">
        <v>1</v>
      </c>
      <c r="D253" s="24">
        <f>'Подробна КС -част АС'!H1395</f>
        <v>104.91500000000001</v>
      </c>
    </row>
    <row r="254" spans="1:4" s="409" customFormat="1" x14ac:dyDescent="0.4">
      <c r="A254" s="34">
        <v>6</v>
      </c>
      <c r="B254" s="14" t="s">
        <v>350</v>
      </c>
      <c r="C254" s="7" t="s">
        <v>1</v>
      </c>
      <c r="D254" s="24">
        <f>'Подробна КС -част АС'!H1397</f>
        <v>104.91500000000001</v>
      </c>
    </row>
    <row r="255" spans="1:4" s="409" customFormat="1" ht="27.6" x14ac:dyDescent="0.4">
      <c r="A255" s="34">
        <v>7</v>
      </c>
      <c r="B255" s="14" t="s">
        <v>352</v>
      </c>
      <c r="C255" s="7" t="s">
        <v>1</v>
      </c>
      <c r="D255" s="24">
        <f>'Подробна КС -част АС'!H1399</f>
        <v>104.91500000000001</v>
      </c>
    </row>
    <row r="256" spans="1:4" s="409" customFormat="1" ht="27.6" x14ac:dyDescent="0.4">
      <c r="A256" s="34">
        <v>8</v>
      </c>
      <c r="B256" s="14" t="s">
        <v>353</v>
      </c>
      <c r="C256" s="7" t="s">
        <v>1</v>
      </c>
      <c r="D256" s="24">
        <f>'Подробна КС -част АС'!H1401</f>
        <v>104.91500000000001</v>
      </c>
    </row>
    <row r="257" spans="1:4" s="409" customFormat="1" ht="27.6" x14ac:dyDescent="0.4">
      <c r="A257" s="34">
        <v>9</v>
      </c>
      <c r="B257" s="14" t="s">
        <v>354</v>
      </c>
      <c r="C257" s="7" t="s">
        <v>5</v>
      </c>
      <c r="D257" s="13">
        <f>'Подробна КС -част АС'!H1408</f>
        <v>26.45</v>
      </c>
    </row>
    <row r="258" spans="1:4" s="409" customFormat="1" x14ac:dyDescent="0.4">
      <c r="A258" s="34">
        <v>10</v>
      </c>
      <c r="B258" s="14" t="s">
        <v>199</v>
      </c>
      <c r="C258" s="7" t="s">
        <v>1</v>
      </c>
      <c r="D258" s="13">
        <f>'Подробна КС -част АС'!H1410</f>
        <v>104.91500000000001</v>
      </c>
    </row>
    <row r="259" spans="1:4" s="409" customFormat="1" x14ac:dyDescent="0.4">
      <c r="A259" s="34">
        <v>11</v>
      </c>
      <c r="B259" s="14" t="s">
        <v>492</v>
      </c>
      <c r="C259" s="7" t="s">
        <v>1</v>
      </c>
      <c r="D259" s="13">
        <f>'Подробна КС -част АС'!H1415</f>
        <v>64.88000000000001</v>
      </c>
    </row>
    <row r="260" spans="1:4" s="409" customFormat="1" x14ac:dyDescent="0.4">
      <c r="A260" s="34">
        <v>12</v>
      </c>
      <c r="B260" s="14" t="s">
        <v>288</v>
      </c>
      <c r="C260" s="7" t="s">
        <v>4</v>
      </c>
      <c r="D260" s="323">
        <f>'Подробна КС -част АС'!H1417</f>
        <v>1</v>
      </c>
    </row>
    <row r="261" spans="1:4" s="409" customFormat="1" x14ac:dyDescent="0.4">
      <c r="A261" s="34">
        <v>13</v>
      </c>
      <c r="B261" s="14" t="s">
        <v>285</v>
      </c>
      <c r="C261" s="7" t="s">
        <v>4</v>
      </c>
      <c r="D261" s="323">
        <f>'Подробна КС -част АС'!H1419</f>
        <v>1</v>
      </c>
    </row>
    <row r="262" spans="1:4" s="409" customFormat="1" x14ac:dyDescent="0.4">
      <c r="A262" s="34">
        <v>14</v>
      </c>
      <c r="B262" s="14" t="s">
        <v>368</v>
      </c>
      <c r="C262" s="7" t="s">
        <v>4</v>
      </c>
      <c r="D262" s="323">
        <f>'Подробна КС -част АС'!H1421</f>
        <v>2</v>
      </c>
    </row>
    <row r="263" spans="1:4" s="409" customFormat="1" x14ac:dyDescent="0.4">
      <c r="A263" s="34">
        <v>15</v>
      </c>
      <c r="B263" s="14" t="s">
        <v>337</v>
      </c>
      <c r="C263" s="7" t="s">
        <v>4</v>
      </c>
      <c r="D263" s="323">
        <f>'Подробна КС -част АС'!H1423</f>
        <v>1</v>
      </c>
    </row>
    <row r="264" spans="1:4" s="409" customFormat="1" x14ac:dyDescent="0.4">
      <c r="A264" s="34">
        <v>16</v>
      </c>
      <c r="B264" s="5" t="s">
        <v>345</v>
      </c>
      <c r="C264" s="6" t="s">
        <v>4</v>
      </c>
      <c r="D264" s="323">
        <f>'Подробна КС -част АС'!H1425</f>
        <v>5</v>
      </c>
    </row>
    <row r="265" spans="1:4" s="409" customFormat="1" x14ac:dyDescent="0.4">
      <c r="A265" s="156"/>
      <c r="B265" s="7"/>
      <c r="C265" s="6"/>
      <c r="D265" s="24"/>
    </row>
    <row r="266" spans="1:4" s="409" customFormat="1" ht="14.7" x14ac:dyDescent="0.4">
      <c r="A266" s="156"/>
      <c r="B266" s="173" t="s">
        <v>346</v>
      </c>
      <c r="C266" s="22"/>
      <c r="D266" s="24"/>
    </row>
    <row r="267" spans="1:4" s="410" customFormat="1" x14ac:dyDescent="0.4">
      <c r="A267" s="34">
        <v>1</v>
      </c>
      <c r="B267" s="5" t="s">
        <v>340</v>
      </c>
      <c r="C267" s="6" t="s">
        <v>2</v>
      </c>
      <c r="D267" s="24">
        <f>'Подробна КС -част АС'!H1430</f>
        <v>24.180000000000003</v>
      </c>
    </row>
    <row r="268" spans="1:4" s="410" customFormat="1" x14ac:dyDescent="0.4">
      <c r="A268" s="34">
        <v>2</v>
      </c>
      <c r="B268" s="5" t="s">
        <v>193</v>
      </c>
      <c r="C268" s="6" t="s">
        <v>1</v>
      </c>
      <c r="D268" s="24">
        <f>'Подробна КС -част АС'!H1432</f>
        <v>120.9</v>
      </c>
    </row>
    <row r="269" spans="1:4" s="410" customFormat="1" x14ac:dyDescent="0.4">
      <c r="A269" s="34">
        <v>3</v>
      </c>
      <c r="B269" s="5" t="s">
        <v>443</v>
      </c>
      <c r="C269" s="6" t="s">
        <v>5</v>
      </c>
      <c r="D269" s="24">
        <f>'Подробна КС -част АС'!H1434</f>
        <v>5.22</v>
      </c>
    </row>
    <row r="270" spans="1:4" s="410" customFormat="1" x14ac:dyDescent="0.4">
      <c r="A270" s="34">
        <v>4</v>
      </c>
      <c r="B270" s="14" t="s">
        <v>312</v>
      </c>
      <c r="C270" s="6" t="s">
        <v>1</v>
      </c>
      <c r="D270" s="24">
        <f>'Подробна КС -част АС'!H1436</f>
        <v>120.9</v>
      </c>
    </row>
    <row r="271" spans="1:4" s="410" customFormat="1" x14ac:dyDescent="0.4">
      <c r="A271" s="201">
        <v>5</v>
      </c>
      <c r="B271" s="14" t="s">
        <v>448</v>
      </c>
      <c r="C271" s="196" t="s">
        <v>1</v>
      </c>
      <c r="D271" s="24">
        <f>'Подробна КС -част АС'!H1445</f>
        <v>237.75899999999999</v>
      </c>
    </row>
    <row r="272" spans="1:4" s="410" customFormat="1" x14ac:dyDescent="0.4">
      <c r="A272" s="34">
        <v>6</v>
      </c>
      <c r="B272" s="14" t="s">
        <v>449</v>
      </c>
      <c r="C272" s="7" t="s">
        <v>1</v>
      </c>
      <c r="D272" s="24">
        <f>'Подробна КС -част АС'!H1447</f>
        <v>237.75899999999999</v>
      </c>
    </row>
    <row r="273" spans="1:5" s="410" customFormat="1" x14ac:dyDescent="0.4">
      <c r="A273" s="34">
        <v>7</v>
      </c>
      <c r="B273" s="14" t="s">
        <v>406</v>
      </c>
      <c r="C273" s="7" t="s">
        <v>1</v>
      </c>
      <c r="D273" s="24">
        <f>'Подробна КС -част АС'!H1449</f>
        <v>237.75899999999999</v>
      </c>
    </row>
    <row r="274" spans="1:5" s="410" customFormat="1" ht="27.6" x14ac:dyDescent="0.4">
      <c r="A274" s="34">
        <v>8</v>
      </c>
      <c r="B274" s="14" t="s">
        <v>407</v>
      </c>
      <c r="C274" s="7" t="s">
        <v>1</v>
      </c>
      <c r="D274" s="24">
        <f>'Подробна КС -част АС'!H1451</f>
        <v>237.75899999999999</v>
      </c>
    </row>
    <row r="275" spans="1:5" s="410" customFormat="1" ht="27.6" x14ac:dyDescent="0.4">
      <c r="A275" s="34">
        <v>9</v>
      </c>
      <c r="B275" s="14" t="s">
        <v>408</v>
      </c>
      <c r="C275" s="7" t="s">
        <v>1</v>
      </c>
      <c r="D275" s="24">
        <f>'Подробна КС -част АС'!H1453</f>
        <v>237.75899999999999</v>
      </c>
    </row>
    <row r="276" spans="1:5" s="410" customFormat="1" ht="27.6" x14ac:dyDescent="0.4">
      <c r="A276" s="201">
        <v>10</v>
      </c>
      <c r="B276" s="14" t="s">
        <v>447</v>
      </c>
      <c r="C276" s="196" t="s">
        <v>5</v>
      </c>
      <c r="D276" s="24">
        <f>'Подробна КС -част АС'!H1460</f>
        <v>234.79</v>
      </c>
    </row>
    <row r="277" spans="1:5" s="409" customFormat="1" x14ac:dyDescent="0.4">
      <c r="A277" s="201">
        <v>11</v>
      </c>
      <c r="B277" s="14" t="s">
        <v>313</v>
      </c>
      <c r="C277" s="196" t="s">
        <v>1</v>
      </c>
      <c r="D277" s="24">
        <f>'Подробна КС -част АС'!H1467</f>
        <v>161.24100000000001</v>
      </c>
      <c r="E277" s="410"/>
    </row>
    <row r="278" spans="1:5" s="409" customFormat="1" x14ac:dyDescent="0.4">
      <c r="A278" s="34">
        <v>12</v>
      </c>
      <c r="B278" s="14" t="s">
        <v>421</v>
      </c>
      <c r="C278" s="6" t="s">
        <v>1</v>
      </c>
      <c r="D278" s="24">
        <f>'Подробна КС -част АС'!H1469</f>
        <v>158.10900000000001</v>
      </c>
      <c r="E278" s="410"/>
    </row>
    <row r="279" spans="1:5" s="409" customFormat="1" ht="27.6" x14ac:dyDescent="0.4">
      <c r="A279" s="34">
        <v>13</v>
      </c>
      <c r="B279" s="14" t="s">
        <v>422</v>
      </c>
      <c r="C279" s="6" t="s">
        <v>1</v>
      </c>
      <c r="D279" s="24">
        <f>'Подробна КС -част АС'!H1474</f>
        <v>25.099499999999999</v>
      </c>
      <c r="E279" s="410"/>
    </row>
    <row r="280" spans="1:5" s="409" customFormat="1" x14ac:dyDescent="0.4">
      <c r="A280" s="34"/>
      <c r="B280" s="5"/>
      <c r="C280" s="6"/>
      <c r="D280" s="24"/>
      <c r="E280" s="410"/>
    </row>
    <row r="281" spans="1:5" s="409" customFormat="1" ht="14.7" x14ac:dyDescent="0.4">
      <c r="A281" s="34"/>
      <c r="B281" s="105" t="s">
        <v>451</v>
      </c>
      <c r="C281" s="6"/>
      <c r="D281" s="23"/>
    </row>
    <row r="282" spans="1:5" s="409" customFormat="1" x14ac:dyDescent="0.4">
      <c r="A282" s="34">
        <v>14</v>
      </c>
      <c r="B282" s="14" t="s">
        <v>380</v>
      </c>
      <c r="C282" s="6" t="s">
        <v>1</v>
      </c>
      <c r="D282" s="24">
        <f>'Подробна КС -част АС'!H1477</f>
        <v>17.712499999999999</v>
      </c>
    </row>
    <row r="283" spans="1:5" s="409" customFormat="1" x14ac:dyDescent="0.4">
      <c r="A283" s="34">
        <v>15</v>
      </c>
      <c r="B283" s="14" t="s">
        <v>381</v>
      </c>
      <c r="C283" s="7" t="s">
        <v>1</v>
      </c>
      <c r="D283" s="24">
        <f>'Подробна КС -част АС'!H1479</f>
        <v>24.797499999999996</v>
      </c>
    </row>
    <row r="284" spans="1:5" s="409" customFormat="1" x14ac:dyDescent="0.4">
      <c r="A284" s="34">
        <v>16</v>
      </c>
      <c r="B284" s="14" t="s">
        <v>382</v>
      </c>
      <c r="C284" s="7" t="s">
        <v>5</v>
      </c>
      <c r="D284" s="24">
        <f>'Подробна КС -част АС'!H1481</f>
        <v>12.752999999999998</v>
      </c>
    </row>
    <row r="285" spans="1:5" s="409" customFormat="1" x14ac:dyDescent="0.4">
      <c r="A285" s="34">
        <v>17</v>
      </c>
      <c r="B285" s="5" t="s">
        <v>424</v>
      </c>
      <c r="C285" s="6" t="s">
        <v>5</v>
      </c>
      <c r="D285" s="24">
        <f>'Подробна КС -част АС'!H1483</f>
        <v>141.69999999999999</v>
      </c>
    </row>
    <row r="286" spans="1:5" s="409" customFormat="1" ht="27.6" x14ac:dyDescent="0.4">
      <c r="A286" s="34">
        <v>18</v>
      </c>
      <c r="B286" s="14" t="s">
        <v>452</v>
      </c>
      <c r="C286" s="6" t="s">
        <v>5</v>
      </c>
      <c r="D286" s="24">
        <f>'Подробна КС -част АС'!H1485</f>
        <v>70.849999999999994</v>
      </c>
    </row>
    <row r="287" spans="1:5" s="409" customFormat="1" ht="27.6" x14ac:dyDescent="0.4">
      <c r="A287" s="34">
        <v>19</v>
      </c>
      <c r="B287" s="5" t="s">
        <v>481</v>
      </c>
      <c r="C287" s="6" t="s">
        <v>5</v>
      </c>
      <c r="D287" s="24">
        <f>'Подробна КС -част АС'!H1487</f>
        <v>5.22</v>
      </c>
    </row>
    <row r="288" spans="1:5" s="409" customFormat="1" ht="27.6" x14ac:dyDescent="0.4">
      <c r="A288" s="34">
        <v>20</v>
      </c>
      <c r="B288" s="5" t="s">
        <v>439</v>
      </c>
      <c r="C288" s="6" t="s">
        <v>4</v>
      </c>
      <c r="D288" s="326">
        <f>'Подробна КС -част АС'!H1489</f>
        <v>2</v>
      </c>
    </row>
    <row r="289" spans="1:4" s="409" customFormat="1" ht="27.6" x14ac:dyDescent="0.4">
      <c r="A289" s="34">
        <v>21</v>
      </c>
      <c r="B289" s="5" t="s">
        <v>440</v>
      </c>
      <c r="C289" s="6" t="s">
        <v>4</v>
      </c>
      <c r="D289" s="326">
        <f>'Подробна КС -част АС'!H1491</f>
        <v>2</v>
      </c>
    </row>
    <row r="290" spans="1:4" s="409" customFormat="1" x14ac:dyDescent="0.4">
      <c r="A290" s="156"/>
      <c r="B290" s="7"/>
      <c r="C290" s="6"/>
      <c r="D290" s="24"/>
    </row>
    <row r="291" spans="1:4" s="409" customFormat="1" ht="14.7" x14ac:dyDescent="0.4">
      <c r="A291" s="34"/>
      <c r="B291" s="106" t="s">
        <v>290</v>
      </c>
      <c r="C291" s="7"/>
      <c r="D291" s="13"/>
    </row>
    <row r="292" spans="1:4" s="409" customFormat="1" x14ac:dyDescent="0.4">
      <c r="A292" s="34">
        <v>1</v>
      </c>
      <c r="B292" s="104" t="s">
        <v>195</v>
      </c>
      <c r="C292" s="7" t="s">
        <v>2</v>
      </c>
      <c r="D292" s="13">
        <f>'Подробна КС -част АС'!H1498</f>
        <v>7.5507000000000009</v>
      </c>
    </row>
    <row r="293" spans="1:4" s="409" customFormat="1" x14ac:dyDescent="0.4">
      <c r="A293" s="34">
        <v>2</v>
      </c>
      <c r="B293" s="14" t="s">
        <v>196</v>
      </c>
      <c r="C293" s="7" t="s">
        <v>1</v>
      </c>
      <c r="D293" s="13">
        <f>'Подробна КС -част АС'!H1500</f>
        <v>25.6355</v>
      </c>
    </row>
    <row r="294" spans="1:4" s="409" customFormat="1" x14ac:dyDescent="0.4">
      <c r="A294" s="201">
        <v>3</v>
      </c>
      <c r="B294" s="14" t="s">
        <v>197</v>
      </c>
      <c r="C294" s="7" t="s">
        <v>1</v>
      </c>
      <c r="D294" s="13">
        <f>'Подробна КС -част АС'!H1505</f>
        <v>16.77</v>
      </c>
    </row>
    <row r="295" spans="1:4" s="409" customFormat="1" x14ac:dyDescent="0.4">
      <c r="A295" s="34">
        <v>4</v>
      </c>
      <c r="B295" s="14" t="s">
        <v>356</v>
      </c>
      <c r="C295" s="7" t="s">
        <v>1</v>
      </c>
      <c r="D295" s="24">
        <f>'Подробна КС -част АС'!H1511</f>
        <v>35.475999999999999</v>
      </c>
    </row>
    <row r="296" spans="1:4" s="409" customFormat="1" x14ac:dyDescent="0.4">
      <c r="A296" s="34">
        <v>5</v>
      </c>
      <c r="B296" s="14" t="s">
        <v>1275</v>
      </c>
      <c r="C296" s="7" t="s">
        <v>1</v>
      </c>
      <c r="D296" s="24">
        <f>'Подробна КС -част АС'!H1513</f>
        <v>35.475999999999999</v>
      </c>
    </row>
    <row r="297" spans="1:4" s="409" customFormat="1" x14ac:dyDescent="0.4">
      <c r="A297" s="34">
        <v>6</v>
      </c>
      <c r="B297" s="14" t="s">
        <v>362</v>
      </c>
      <c r="C297" s="7" t="s">
        <v>1</v>
      </c>
      <c r="D297" s="24">
        <f>'Подробна КС -част АС'!H1515</f>
        <v>35.475999999999999</v>
      </c>
    </row>
    <row r="298" spans="1:4" s="409" customFormat="1" ht="27.6" x14ac:dyDescent="0.4">
      <c r="A298" s="34">
        <v>7</v>
      </c>
      <c r="B298" s="14" t="s">
        <v>363</v>
      </c>
      <c r="C298" s="7" t="s">
        <v>1</v>
      </c>
      <c r="D298" s="24">
        <f>'Подробна КС -част АС'!H1517</f>
        <v>35.475999999999999</v>
      </c>
    </row>
    <row r="299" spans="1:4" s="409" customFormat="1" ht="27.6" x14ac:dyDescent="0.4">
      <c r="A299" s="34">
        <v>8</v>
      </c>
      <c r="B299" s="14" t="s">
        <v>364</v>
      </c>
      <c r="C299" s="7" t="s">
        <v>1</v>
      </c>
      <c r="D299" s="24">
        <f>'Подробна КС -част АС'!H1519</f>
        <v>35.475999999999999</v>
      </c>
    </row>
    <row r="300" spans="1:4" s="409" customFormat="1" ht="27.6" x14ac:dyDescent="0.4">
      <c r="A300" s="34">
        <v>9</v>
      </c>
      <c r="B300" s="14" t="s">
        <v>365</v>
      </c>
      <c r="C300" s="7" t="s">
        <v>5</v>
      </c>
      <c r="D300" s="13">
        <f>'Подробна КС -част АС'!H1523</f>
        <v>14.24</v>
      </c>
    </row>
    <row r="301" spans="1:4" s="409" customFormat="1" x14ac:dyDescent="0.4">
      <c r="A301" s="34">
        <v>10</v>
      </c>
      <c r="B301" s="14" t="s">
        <v>367</v>
      </c>
      <c r="C301" s="7" t="s">
        <v>1</v>
      </c>
      <c r="D301" s="13">
        <f>'Подробна КС -част АС'!H1525</f>
        <v>35.475999999999999</v>
      </c>
    </row>
    <row r="302" spans="1:4" s="409" customFormat="1" x14ac:dyDescent="0.4">
      <c r="A302" s="34">
        <v>11</v>
      </c>
      <c r="B302" s="14" t="s">
        <v>361</v>
      </c>
      <c r="C302" s="7" t="s">
        <v>1</v>
      </c>
      <c r="D302" s="13">
        <f>'Подробна КС -част АС'!H1527</f>
        <v>8.35</v>
      </c>
    </row>
    <row r="303" spans="1:4" s="409" customFormat="1" x14ac:dyDescent="0.4">
      <c r="A303" s="34">
        <v>12</v>
      </c>
      <c r="B303" s="14" t="s">
        <v>291</v>
      </c>
      <c r="C303" s="7" t="s">
        <v>4</v>
      </c>
      <c r="D303" s="323">
        <f>'Подробна КС -част АС'!H1529</f>
        <v>1</v>
      </c>
    </row>
    <row r="304" spans="1:4" s="409" customFormat="1" x14ac:dyDescent="0.4">
      <c r="A304" s="34">
        <v>13</v>
      </c>
      <c r="B304" s="14" t="s">
        <v>285</v>
      </c>
      <c r="C304" s="7" t="s">
        <v>4</v>
      </c>
      <c r="D304" s="323">
        <f>'Подробна КС -част АС'!H1531</f>
        <v>1</v>
      </c>
    </row>
    <row r="305" spans="1:4" s="409" customFormat="1" x14ac:dyDescent="0.4">
      <c r="A305" s="34">
        <v>14</v>
      </c>
      <c r="B305" s="14" t="s">
        <v>368</v>
      </c>
      <c r="C305" s="7" t="s">
        <v>4</v>
      </c>
      <c r="D305" s="323">
        <f>'Подробна КС -част АС'!H1533</f>
        <v>2</v>
      </c>
    </row>
    <row r="306" spans="1:4" s="409" customFormat="1" x14ac:dyDescent="0.4">
      <c r="A306" s="34">
        <v>15</v>
      </c>
      <c r="B306" s="5" t="s">
        <v>345</v>
      </c>
      <c r="C306" s="6" t="s">
        <v>4</v>
      </c>
      <c r="D306" s="323">
        <f>'Подробна КС -част АС'!H1535</f>
        <v>2</v>
      </c>
    </row>
    <row r="307" spans="1:4" s="409" customFormat="1" x14ac:dyDescent="0.4">
      <c r="A307" s="34"/>
      <c r="B307" s="5"/>
      <c r="C307" s="6"/>
      <c r="D307" s="13"/>
    </row>
    <row r="308" spans="1:4" s="409" customFormat="1" x14ac:dyDescent="0.4">
      <c r="A308" s="156"/>
      <c r="B308" s="139" t="s">
        <v>292</v>
      </c>
      <c r="C308" s="7"/>
      <c r="D308" s="10"/>
    </row>
    <row r="309" spans="1:4" s="410" customFormat="1" x14ac:dyDescent="0.4">
      <c r="A309" s="201">
        <v>1</v>
      </c>
      <c r="B309" s="104" t="s">
        <v>195</v>
      </c>
      <c r="C309" s="198" t="s">
        <v>2</v>
      </c>
      <c r="D309" s="13">
        <f>'Подробна КС -част АС'!H1542</f>
        <v>5.8874999999999993</v>
      </c>
    </row>
    <row r="310" spans="1:4" s="410" customFormat="1" x14ac:dyDescent="0.4">
      <c r="A310" s="34">
        <v>2</v>
      </c>
      <c r="B310" s="14" t="s">
        <v>196</v>
      </c>
      <c r="C310" s="7" t="s">
        <v>1</v>
      </c>
      <c r="D310" s="13">
        <f>'Подробна КС -част АС'!H1544</f>
        <v>11.25</v>
      </c>
    </row>
    <row r="311" spans="1:4" s="410" customFormat="1" x14ac:dyDescent="0.4">
      <c r="A311" s="34">
        <v>3</v>
      </c>
      <c r="B311" s="14" t="s">
        <v>197</v>
      </c>
      <c r="C311" s="7" t="s">
        <v>1</v>
      </c>
      <c r="D311" s="13">
        <f>'Подробна КС -част АС'!H1546</f>
        <v>8</v>
      </c>
    </row>
    <row r="312" spans="1:4" s="410" customFormat="1" x14ac:dyDescent="0.4">
      <c r="A312" s="34">
        <v>4</v>
      </c>
      <c r="B312" s="14" t="s">
        <v>453</v>
      </c>
      <c r="C312" s="7" t="s">
        <v>1</v>
      </c>
      <c r="D312" s="13">
        <f>'Подробна КС -част АС'!H1548</f>
        <v>8</v>
      </c>
    </row>
    <row r="313" spans="1:4" s="410" customFormat="1" x14ac:dyDescent="0.4">
      <c r="A313" s="34">
        <v>5</v>
      </c>
      <c r="B313" s="14" t="s">
        <v>198</v>
      </c>
      <c r="C313" s="7" t="s">
        <v>4</v>
      </c>
      <c r="D313" s="323">
        <f>'Подробна КС -част АС'!H1550</f>
        <v>1</v>
      </c>
    </row>
    <row r="314" spans="1:4" s="410" customFormat="1" x14ac:dyDescent="0.4">
      <c r="A314" s="34">
        <v>6</v>
      </c>
      <c r="B314" s="14" t="s">
        <v>368</v>
      </c>
      <c r="C314" s="7" t="s">
        <v>4</v>
      </c>
      <c r="D314" s="323">
        <f>'Подробна КС -част АС'!H1552</f>
        <v>1</v>
      </c>
    </row>
    <row r="315" spans="1:4" s="410" customFormat="1" x14ac:dyDescent="0.4">
      <c r="A315" s="34"/>
      <c r="B315" s="194"/>
      <c r="C315" s="156"/>
      <c r="D315" s="62"/>
    </row>
    <row r="316" spans="1:4" s="409" customFormat="1" x14ac:dyDescent="0.4">
      <c r="A316" s="34"/>
      <c r="B316" s="135" t="s">
        <v>455</v>
      </c>
      <c r="C316" s="168"/>
      <c r="D316" s="24"/>
    </row>
    <row r="317" spans="1:4" s="410" customFormat="1" x14ac:dyDescent="0.4">
      <c r="A317" s="34">
        <v>1</v>
      </c>
      <c r="B317" s="5" t="s">
        <v>279</v>
      </c>
      <c r="C317" s="6" t="s">
        <v>1</v>
      </c>
      <c r="D317" s="24">
        <f>'Подробна КС -част АС'!H1557</f>
        <v>56</v>
      </c>
    </row>
    <row r="318" spans="1:4" s="410" customFormat="1" x14ac:dyDescent="0.4">
      <c r="A318" s="34">
        <v>2</v>
      </c>
      <c r="B318" s="5" t="s">
        <v>280</v>
      </c>
      <c r="C318" s="6" t="s">
        <v>2</v>
      </c>
      <c r="D318" s="24">
        <f>'Подробна КС -част АС'!H1559</f>
        <v>16.8</v>
      </c>
    </row>
    <row r="319" spans="1:4" s="410" customFormat="1" x14ac:dyDescent="0.4">
      <c r="A319" s="34">
        <v>3</v>
      </c>
      <c r="B319" s="5" t="s">
        <v>283</v>
      </c>
      <c r="C319" s="6" t="s">
        <v>2</v>
      </c>
      <c r="D319" s="24">
        <f>'Подробна КС -част АС'!H1561</f>
        <v>5.6000000000000005</v>
      </c>
    </row>
    <row r="320" spans="1:4" s="410" customFormat="1" x14ac:dyDescent="0.4">
      <c r="A320" s="34">
        <v>4</v>
      </c>
      <c r="B320" s="5" t="s">
        <v>193</v>
      </c>
      <c r="C320" s="6" t="s">
        <v>1</v>
      </c>
      <c r="D320" s="24">
        <f>'Подробна КС -част АС'!H1563</f>
        <v>56</v>
      </c>
    </row>
    <row r="321" spans="1:4" s="410" customFormat="1" x14ac:dyDescent="0.4">
      <c r="A321" s="34">
        <v>5</v>
      </c>
      <c r="B321" s="5" t="s">
        <v>281</v>
      </c>
      <c r="C321" s="6" t="s">
        <v>1</v>
      </c>
      <c r="D321" s="24">
        <f>'Подробна КС -част АС'!H1565</f>
        <v>56</v>
      </c>
    </row>
    <row r="322" spans="1:4" s="410" customFormat="1" x14ac:dyDescent="0.4">
      <c r="A322" s="34">
        <v>6</v>
      </c>
      <c r="B322" s="5" t="s">
        <v>282</v>
      </c>
      <c r="C322" s="6" t="s">
        <v>1</v>
      </c>
      <c r="D322" s="24">
        <f>'Подробна КС -част АС'!H1567</f>
        <v>56</v>
      </c>
    </row>
    <row r="323" spans="1:4" s="410" customFormat="1" ht="27.6" x14ac:dyDescent="0.4">
      <c r="A323" s="34">
        <v>7</v>
      </c>
      <c r="B323" s="5" t="s">
        <v>284</v>
      </c>
      <c r="C323" s="6" t="s">
        <v>5</v>
      </c>
      <c r="D323" s="24">
        <f>'Подробна КС -част АС'!H1574</f>
        <v>57</v>
      </c>
    </row>
    <row r="324" spans="1:4" s="409" customFormat="1" x14ac:dyDescent="0.4">
      <c r="A324" s="412"/>
      <c r="B324" s="70"/>
      <c r="C324" s="413"/>
      <c r="D324" s="73"/>
    </row>
    <row r="325" spans="1:4" s="409" customFormat="1" x14ac:dyDescent="0.4">
      <c r="A325" s="412"/>
      <c r="B325" s="70"/>
      <c r="C325" s="413"/>
      <c r="D325" s="73"/>
    </row>
    <row r="326" spans="1:4" s="409" customFormat="1" x14ac:dyDescent="0.4">
      <c r="A326" s="412"/>
      <c r="B326" s="70"/>
      <c r="C326" s="413"/>
      <c r="D326" s="73"/>
    </row>
    <row r="327" spans="1:4" s="409" customFormat="1" ht="17.399999999999999" x14ac:dyDescent="0.4">
      <c r="A327" s="412"/>
      <c r="B327" s="414" t="s">
        <v>1288</v>
      </c>
      <c r="C327" s="413"/>
      <c r="D327" s="73"/>
    </row>
    <row r="328" spans="1:4" s="409" customFormat="1" x14ac:dyDescent="0.4">
      <c r="A328" s="412"/>
      <c r="B328" s="70"/>
      <c r="C328" s="413"/>
      <c r="D328" s="73"/>
    </row>
    <row r="329" spans="1:4" s="410" customFormat="1" x14ac:dyDescent="0.4">
      <c r="A329" s="415"/>
      <c r="B329" s="369"/>
      <c r="C329" s="416"/>
      <c r="D329" s="370"/>
    </row>
    <row r="330" spans="1:4" s="410" customFormat="1" ht="24.6" x14ac:dyDescent="0.4">
      <c r="A330" s="229" t="s">
        <v>7</v>
      </c>
      <c r="B330" s="86" t="s">
        <v>8</v>
      </c>
      <c r="C330" s="230" t="s">
        <v>9</v>
      </c>
      <c r="D330" s="231" t="s">
        <v>11</v>
      </c>
    </row>
    <row r="331" spans="1:4" s="410" customFormat="1" ht="14.7" x14ac:dyDescent="0.4">
      <c r="A331" s="201"/>
      <c r="B331" s="417" t="s">
        <v>1307</v>
      </c>
      <c r="C331" s="418"/>
      <c r="D331" s="371"/>
    </row>
    <row r="332" spans="1:4" s="410" customFormat="1" x14ac:dyDescent="0.4">
      <c r="A332" s="34">
        <v>1</v>
      </c>
      <c r="B332" s="30" t="s">
        <v>1319</v>
      </c>
      <c r="C332" s="6" t="s">
        <v>2</v>
      </c>
      <c r="D332" s="24">
        <v>961.5</v>
      </c>
    </row>
    <row r="333" spans="1:4" s="410" customFormat="1" x14ac:dyDescent="0.4">
      <c r="A333" s="34">
        <v>2</v>
      </c>
      <c r="B333" s="30" t="s">
        <v>1320</v>
      </c>
      <c r="C333" s="6" t="s">
        <v>1</v>
      </c>
      <c r="D333" s="24">
        <v>500</v>
      </c>
    </row>
    <row r="334" spans="1:4" s="410" customFormat="1" x14ac:dyDescent="0.4">
      <c r="A334" s="34">
        <v>3</v>
      </c>
      <c r="B334" s="30" t="s">
        <v>1321</v>
      </c>
      <c r="C334" s="6" t="s">
        <v>2</v>
      </c>
      <c r="D334" s="24">
        <v>420</v>
      </c>
    </row>
    <row r="335" spans="1:4" s="410" customFormat="1" x14ac:dyDescent="0.4">
      <c r="A335" s="34">
        <v>4</v>
      </c>
      <c r="B335" s="30" t="s">
        <v>1323</v>
      </c>
      <c r="C335" s="6" t="s">
        <v>1</v>
      </c>
      <c r="D335" s="24">
        <v>1390</v>
      </c>
    </row>
    <row r="336" spans="1:4" s="410" customFormat="1" x14ac:dyDescent="0.4">
      <c r="A336" s="34">
        <v>5</v>
      </c>
      <c r="B336" s="30" t="s">
        <v>1322</v>
      </c>
      <c r="C336" s="6" t="s">
        <v>2</v>
      </c>
      <c r="D336" s="24">
        <v>235.7</v>
      </c>
    </row>
    <row r="337" spans="1:4" s="410" customFormat="1" x14ac:dyDescent="0.4">
      <c r="A337" s="34">
        <v>6</v>
      </c>
      <c r="B337" s="30" t="s">
        <v>1324</v>
      </c>
      <c r="C337" s="6" t="s">
        <v>1</v>
      </c>
      <c r="D337" s="24">
        <v>1237.5</v>
      </c>
    </row>
    <row r="338" spans="1:4" s="410" customFormat="1" x14ac:dyDescent="0.4">
      <c r="A338" s="34">
        <v>7</v>
      </c>
      <c r="B338" s="30" t="s">
        <v>1325</v>
      </c>
      <c r="C338" s="6" t="s">
        <v>2</v>
      </c>
      <c r="D338" s="24">
        <v>169.4</v>
      </c>
    </row>
    <row r="339" spans="1:4" s="410" customFormat="1" x14ac:dyDescent="0.4">
      <c r="A339" s="34">
        <v>8</v>
      </c>
      <c r="B339" s="30" t="s">
        <v>1326</v>
      </c>
      <c r="C339" s="6" t="s">
        <v>622</v>
      </c>
      <c r="D339" s="24">
        <v>640</v>
      </c>
    </row>
    <row r="340" spans="1:4" s="410" customFormat="1" x14ac:dyDescent="0.4">
      <c r="A340" s="34">
        <v>9</v>
      </c>
      <c r="B340" s="30" t="s">
        <v>1327</v>
      </c>
      <c r="C340" s="6" t="s">
        <v>622</v>
      </c>
      <c r="D340" s="24">
        <v>337</v>
      </c>
    </row>
    <row r="341" spans="1:4" s="410" customFormat="1" x14ac:dyDescent="0.4">
      <c r="A341" s="34">
        <v>10</v>
      </c>
      <c r="B341" s="30" t="s">
        <v>1318</v>
      </c>
      <c r="C341" s="6" t="s">
        <v>622</v>
      </c>
      <c r="D341" s="24">
        <v>2750</v>
      </c>
    </row>
    <row r="342" spans="1:4" s="410" customFormat="1" x14ac:dyDescent="0.4">
      <c r="A342" s="34"/>
      <c r="B342" s="7"/>
      <c r="C342" s="6"/>
      <c r="D342" s="24"/>
    </row>
    <row r="343" spans="1:4" s="410" customFormat="1" x14ac:dyDescent="0.4">
      <c r="A343" s="34"/>
      <c r="B343" s="7"/>
      <c r="C343" s="6"/>
      <c r="D343" s="24"/>
    </row>
    <row r="344" spans="1:4" s="410" customFormat="1" ht="14.7" x14ac:dyDescent="0.4">
      <c r="A344" s="34"/>
      <c r="B344" s="151" t="s">
        <v>1334</v>
      </c>
      <c r="C344" s="6"/>
      <c r="D344" s="24"/>
    </row>
    <row r="345" spans="1:4" s="410" customFormat="1" x14ac:dyDescent="0.4">
      <c r="A345" s="34">
        <v>1</v>
      </c>
      <c r="B345" s="30" t="s">
        <v>1319</v>
      </c>
      <c r="C345" s="6" t="s">
        <v>2</v>
      </c>
      <c r="D345" s="24">
        <v>1356</v>
      </c>
    </row>
    <row r="346" spans="1:4" s="410" customFormat="1" x14ac:dyDescent="0.4">
      <c r="A346" s="34">
        <v>2</v>
      </c>
      <c r="B346" s="30" t="s">
        <v>1320</v>
      </c>
      <c r="C346" s="6" t="s">
        <v>1</v>
      </c>
      <c r="D346" s="24">
        <v>893</v>
      </c>
    </row>
    <row r="347" spans="1:4" s="410" customFormat="1" x14ac:dyDescent="0.4">
      <c r="A347" s="34">
        <v>3</v>
      </c>
      <c r="B347" s="30" t="s">
        <v>1321</v>
      </c>
      <c r="C347" s="6" t="s">
        <v>2</v>
      </c>
      <c r="D347" s="24">
        <v>414</v>
      </c>
    </row>
    <row r="348" spans="1:4" s="410" customFormat="1" x14ac:dyDescent="0.4">
      <c r="A348" s="34">
        <v>4</v>
      </c>
      <c r="B348" s="30" t="s">
        <v>1328</v>
      </c>
      <c r="C348" s="6" t="s">
        <v>622</v>
      </c>
      <c r="D348" s="24">
        <v>560</v>
      </c>
    </row>
    <row r="349" spans="1:4" s="410" customFormat="1" x14ac:dyDescent="0.4">
      <c r="A349" s="34">
        <v>5</v>
      </c>
      <c r="B349" s="30" t="s">
        <v>1329</v>
      </c>
      <c r="C349" s="6" t="s">
        <v>622</v>
      </c>
      <c r="D349" s="24">
        <v>39407.599999999999</v>
      </c>
    </row>
    <row r="350" spans="1:4" s="410" customFormat="1" x14ac:dyDescent="0.4">
      <c r="A350" s="34">
        <v>6</v>
      </c>
      <c r="B350" s="30" t="s">
        <v>1296</v>
      </c>
      <c r="C350" s="6" t="s">
        <v>4</v>
      </c>
      <c r="D350" s="328">
        <f>7*8</f>
        <v>56</v>
      </c>
    </row>
    <row r="351" spans="1:4" s="410" customFormat="1" x14ac:dyDescent="0.4">
      <c r="A351" s="34"/>
      <c r="B351" s="18"/>
      <c r="C351" s="6"/>
      <c r="D351" s="24"/>
    </row>
    <row r="352" spans="1:4" s="410" customFormat="1" x14ac:dyDescent="0.4">
      <c r="A352" s="34"/>
      <c r="B352" s="18"/>
      <c r="C352" s="6"/>
      <c r="D352" s="24"/>
    </row>
    <row r="353" spans="1:4" s="410" customFormat="1" ht="14.7" x14ac:dyDescent="0.4">
      <c r="A353" s="34"/>
      <c r="B353" s="151" t="s">
        <v>1335</v>
      </c>
      <c r="C353" s="168"/>
      <c r="D353" s="24"/>
    </row>
    <row r="354" spans="1:4" s="410" customFormat="1" x14ac:dyDescent="0.4">
      <c r="A354" s="6">
        <v>1</v>
      </c>
      <c r="B354" s="30" t="s">
        <v>1319</v>
      </c>
      <c r="C354" s="6" t="s">
        <v>2</v>
      </c>
      <c r="D354" s="24">
        <v>1578</v>
      </c>
    </row>
    <row r="355" spans="1:4" s="410" customFormat="1" x14ac:dyDescent="0.4">
      <c r="A355" s="419">
        <v>2</v>
      </c>
      <c r="B355" s="30" t="s">
        <v>1330</v>
      </c>
      <c r="C355" s="6" t="s">
        <v>1</v>
      </c>
      <c r="D355" s="24">
        <v>542</v>
      </c>
    </row>
    <row r="356" spans="1:4" s="410" customFormat="1" x14ac:dyDescent="0.4">
      <c r="A356" s="419">
        <v>3</v>
      </c>
      <c r="B356" s="30" t="s">
        <v>1331</v>
      </c>
      <c r="C356" s="6" t="s">
        <v>2</v>
      </c>
      <c r="D356" s="24">
        <v>255.5</v>
      </c>
    </row>
    <row r="357" spans="1:4" s="409" customFormat="1" x14ac:dyDescent="0.4">
      <c r="A357" s="34">
        <v>4</v>
      </c>
      <c r="B357" s="30" t="s">
        <v>1332</v>
      </c>
      <c r="C357" s="6" t="s">
        <v>622</v>
      </c>
      <c r="D357" s="24">
        <v>11835</v>
      </c>
    </row>
    <row r="358" spans="1:4" s="409" customFormat="1" x14ac:dyDescent="0.4">
      <c r="A358" s="34"/>
      <c r="B358" s="194"/>
      <c r="C358" s="6"/>
      <c r="D358" s="24"/>
    </row>
    <row r="359" spans="1:4" s="409" customFormat="1" x14ac:dyDescent="0.4">
      <c r="A359" s="34"/>
      <c r="B359" s="194"/>
      <c r="C359" s="6"/>
      <c r="D359" s="24"/>
    </row>
    <row r="360" spans="1:4" s="409" customFormat="1" ht="14.7" x14ac:dyDescent="0.4">
      <c r="A360" s="201"/>
      <c r="B360" s="420" t="s">
        <v>1333</v>
      </c>
      <c r="C360" s="196"/>
      <c r="D360" s="371"/>
    </row>
    <row r="361" spans="1:4" s="409" customFormat="1" x14ac:dyDescent="0.4">
      <c r="A361" s="34">
        <v>1</v>
      </c>
      <c r="B361" s="30" t="s">
        <v>1319</v>
      </c>
      <c r="C361" s="6" t="s">
        <v>2</v>
      </c>
      <c r="D361" s="24">
        <v>352.5</v>
      </c>
    </row>
    <row r="362" spans="1:4" s="409" customFormat="1" x14ac:dyDescent="0.4">
      <c r="A362" s="34">
        <v>2</v>
      </c>
      <c r="B362" s="30" t="s">
        <v>1330</v>
      </c>
      <c r="C362" s="6" t="s">
        <v>1</v>
      </c>
      <c r="D362" s="24">
        <v>161.5</v>
      </c>
    </row>
    <row r="363" spans="1:4" s="409" customFormat="1" x14ac:dyDescent="0.4">
      <c r="A363" s="34">
        <v>3</v>
      </c>
      <c r="B363" s="30" t="s">
        <v>1331</v>
      </c>
      <c r="C363" s="6" t="s">
        <v>2</v>
      </c>
      <c r="D363" s="24">
        <v>80.5</v>
      </c>
    </row>
    <row r="364" spans="1:4" s="409" customFormat="1" x14ac:dyDescent="0.4">
      <c r="A364" s="34">
        <v>4</v>
      </c>
      <c r="B364" s="30" t="s">
        <v>1336</v>
      </c>
      <c r="C364" s="6" t="s">
        <v>622</v>
      </c>
      <c r="D364" s="24">
        <v>3519</v>
      </c>
    </row>
    <row r="365" spans="1:4" s="409" customFormat="1" x14ac:dyDescent="0.4">
      <c r="A365" s="412"/>
      <c r="B365" s="70"/>
      <c r="C365" s="413"/>
      <c r="D365" s="73"/>
    </row>
    <row r="366" spans="1:4" s="409" customFormat="1" x14ac:dyDescent="0.4">
      <c r="A366" s="412"/>
      <c r="B366" s="70"/>
      <c r="C366" s="413"/>
      <c r="D366" s="73"/>
    </row>
    <row r="367" spans="1:4" s="409" customFormat="1" x14ac:dyDescent="0.4">
      <c r="A367" s="412"/>
      <c r="B367" s="70"/>
      <c r="C367" s="413"/>
      <c r="D367" s="73"/>
    </row>
    <row r="368" spans="1:4" s="409" customFormat="1" ht="17.399999999999999" x14ac:dyDescent="0.4">
      <c r="A368" s="412"/>
      <c r="B368" s="421" t="s">
        <v>1087</v>
      </c>
      <c r="C368" s="413"/>
      <c r="D368" s="73"/>
    </row>
    <row r="369" spans="1:4" s="409" customFormat="1" x14ac:dyDescent="0.4">
      <c r="A369" s="412"/>
      <c r="B369" s="70"/>
      <c r="C369" s="413"/>
      <c r="D369" s="73"/>
    </row>
    <row r="370" spans="1:4" s="409" customFormat="1" x14ac:dyDescent="0.4">
      <c r="A370" s="412"/>
      <c r="B370" s="70"/>
      <c r="C370" s="413"/>
      <c r="D370" s="73"/>
    </row>
    <row r="371" spans="1:4" s="409" customFormat="1" x14ac:dyDescent="0.4">
      <c r="A371" s="422" t="s">
        <v>1090</v>
      </c>
      <c r="B371" s="423" t="s">
        <v>1091</v>
      </c>
      <c r="C371" s="424" t="s">
        <v>1092</v>
      </c>
      <c r="D371" s="7" t="s">
        <v>1125</v>
      </c>
    </row>
    <row r="372" spans="1:4" s="409" customFormat="1" ht="14.7" x14ac:dyDescent="0.4">
      <c r="A372" s="422"/>
      <c r="B372" s="438" t="s">
        <v>1089</v>
      </c>
      <c r="C372" s="424"/>
      <c r="D372" s="7"/>
    </row>
    <row r="373" spans="1:4" s="409" customFormat="1" x14ac:dyDescent="0.4">
      <c r="A373" s="425" t="s">
        <v>1098</v>
      </c>
      <c r="B373" s="426" t="s">
        <v>1099</v>
      </c>
      <c r="C373" s="424" t="s">
        <v>2</v>
      </c>
      <c r="D373" s="24">
        <f>'Подробна КС- част ВиК'!H15</f>
        <v>5.1749999999999998</v>
      </c>
    </row>
    <row r="374" spans="1:4" s="409" customFormat="1" x14ac:dyDescent="0.4">
      <c r="A374" s="425" t="s">
        <v>1100</v>
      </c>
      <c r="B374" s="426" t="s">
        <v>1101</v>
      </c>
      <c r="C374" s="424" t="s">
        <v>1102</v>
      </c>
      <c r="D374" s="24">
        <f>'Подробна КС- част ВиК'!H16</f>
        <v>0.45</v>
      </c>
    </row>
    <row r="375" spans="1:4" s="409" customFormat="1" x14ac:dyDescent="0.4">
      <c r="A375" s="425" t="s">
        <v>1103</v>
      </c>
      <c r="B375" s="426" t="s">
        <v>1104</v>
      </c>
      <c r="C375" s="424" t="s">
        <v>1102</v>
      </c>
      <c r="D375" s="24">
        <f>'Подробна КС- част ВиК'!H17</f>
        <v>0.65</v>
      </c>
    </row>
    <row r="376" spans="1:4" s="409" customFormat="1" x14ac:dyDescent="0.4">
      <c r="A376" s="425" t="s">
        <v>1105</v>
      </c>
      <c r="B376" s="426" t="s">
        <v>1106</v>
      </c>
      <c r="C376" s="424" t="s">
        <v>1102</v>
      </c>
      <c r="D376" s="24">
        <f>'Подробна КС- част ВиК'!H18</f>
        <v>4.08</v>
      </c>
    </row>
    <row r="377" spans="1:4" s="409" customFormat="1" x14ac:dyDescent="0.4">
      <c r="A377" s="425" t="s">
        <v>1107</v>
      </c>
      <c r="B377" s="426" t="s">
        <v>1108</v>
      </c>
      <c r="C377" s="424" t="s">
        <v>557</v>
      </c>
      <c r="D377" s="328">
        <f>'Подробна КС- част ВиК'!H19</f>
        <v>1</v>
      </c>
    </row>
    <row r="378" spans="1:4" s="409" customFormat="1" x14ac:dyDescent="0.4">
      <c r="A378" s="425" t="s">
        <v>1109</v>
      </c>
      <c r="B378" s="426" t="s">
        <v>1110</v>
      </c>
      <c r="C378" s="424" t="s">
        <v>557</v>
      </c>
      <c r="D378" s="328">
        <f>'Подробна КС- част ВиК'!H20</f>
        <v>1</v>
      </c>
    </row>
    <row r="379" spans="1:4" s="409" customFormat="1" x14ac:dyDescent="0.4">
      <c r="A379" s="425" t="s">
        <v>1111</v>
      </c>
      <c r="B379" s="426" t="s">
        <v>1112</v>
      </c>
      <c r="C379" s="424" t="s">
        <v>557</v>
      </c>
      <c r="D379" s="328">
        <f>'Подробна КС- част ВиК'!H21</f>
        <v>1</v>
      </c>
    </row>
    <row r="380" spans="1:4" s="409" customFormat="1" x14ac:dyDescent="0.4">
      <c r="A380" s="425" t="s">
        <v>1113</v>
      </c>
      <c r="B380" s="426" t="s">
        <v>1114</v>
      </c>
      <c r="C380" s="424" t="s">
        <v>557</v>
      </c>
      <c r="D380" s="328">
        <f>'Подробна КС- част ВиК'!H22</f>
        <v>1</v>
      </c>
    </row>
    <row r="381" spans="1:4" s="409" customFormat="1" x14ac:dyDescent="0.4">
      <c r="A381" s="425" t="s">
        <v>1115</v>
      </c>
      <c r="B381" s="426" t="s">
        <v>1116</v>
      </c>
      <c r="C381" s="424" t="s">
        <v>1102</v>
      </c>
      <c r="D381" s="24">
        <f>'Подробна КС- част ВиК'!H23</f>
        <v>5</v>
      </c>
    </row>
    <row r="382" spans="1:4" s="409" customFormat="1" x14ac:dyDescent="0.4">
      <c r="A382" s="425" t="s">
        <v>1117</v>
      </c>
      <c r="B382" s="426" t="s">
        <v>1118</v>
      </c>
      <c r="C382" s="424" t="s">
        <v>1102</v>
      </c>
      <c r="D382" s="24">
        <f>'Подробна КС- част ВиК'!H24</f>
        <v>1</v>
      </c>
    </row>
    <row r="383" spans="1:4" s="409" customFormat="1" x14ac:dyDescent="0.4">
      <c r="A383" s="425" t="s">
        <v>1119</v>
      </c>
      <c r="B383" s="426" t="s">
        <v>1120</v>
      </c>
      <c r="C383" s="424" t="s">
        <v>1121</v>
      </c>
      <c r="D383" s="24">
        <f>'Подробна КС- част ВиК'!H25</f>
        <v>5</v>
      </c>
    </row>
    <row r="384" spans="1:4" s="409" customFormat="1" x14ac:dyDescent="0.4">
      <c r="A384" s="156"/>
      <c r="B384" s="194"/>
      <c r="C384" s="170"/>
      <c r="D384" s="62"/>
    </row>
    <row r="385" spans="1:4" s="409" customFormat="1" x14ac:dyDescent="0.4">
      <c r="A385" s="35"/>
      <c r="B385" s="435" t="s">
        <v>1122</v>
      </c>
      <c r="C385" s="6"/>
      <c r="D385" s="62"/>
    </row>
    <row r="386" spans="1:4" s="409" customFormat="1" x14ac:dyDescent="0.4">
      <c r="A386" s="35"/>
      <c r="B386" s="30"/>
      <c r="C386" s="6"/>
      <c r="D386" s="62"/>
    </row>
    <row r="387" spans="1:4" s="409" customFormat="1" x14ac:dyDescent="0.4">
      <c r="A387" s="425" t="s">
        <v>1098</v>
      </c>
      <c r="B387" s="14" t="s">
        <v>1126</v>
      </c>
      <c r="C387" s="6" t="s">
        <v>2</v>
      </c>
      <c r="D387" s="24">
        <v>8.56</v>
      </c>
    </row>
    <row r="388" spans="1:4" s="409" customFormat="1" x14ac:dyDescent="0.4">
      <c r="A388" s="425" t="s">
        <v>1100</v>
      </c>
      <c r="B388" s="427" t="s">
        <v>1127</v>
      </c>
      <c r="C388" s="6" t="s">
        <v>1128</v>
      </c>
      <c r="D388" s="328">
        <v>11.2</v>
      </c>
    </row>
    <row r="389" spans="1:4" s="409" customFormat="1" x14ac:dyDescent="0.4">
      <c r="A389" s="425" t="s">
        <v>1103</v>
      </c>
      <c r="B389" s="427" t="s">
        <v>1129</v>
      </c>
      <c r="C389" s="428" t="s">
        <v>2</v>
      </c>
      <c r="D389" s="24">
        <v>0.26</v>
      </c>
    </row>
    <row r="390" spans="1:4" s="409" customFormat="1" x14ac:dyDescent="0.4">
      <c r="A390" s="425" t="s">
        <v>1105</v>
      </c>
      <c r="B390" s="427" t="s">
        <v>1130</v>
      </c>
      <c r="C390" s="428" t="s">
        <v>2</v>
      </c>
      <c r="D390" s="24">
        <v>0.4</v>
      </c>
    </row>
    <row r="391" spans="1:4" s="409" customFormat="1" x14ac:dyDescent="0.4">
      <c r="A391" s="425" t="s">
        <v>1107</v>
      </c>
      <c r="B391" s="427" t="s">
        <v>1131</v>
      </c>
      <c r="C391" s="428" t="s">
        <v>2</v>
      </c>
      <c r="D391" s="24">
        <v>1</v>
      </c>
    </row>
    <row r="392" spans="1:4" s="409" customFormat="1" x14ac:dyDescent="0.4">
      <c r="A392" s="425" t="s">
        <v>1109</v>
      </c>
      <c r="B392" s="427" t="s">
        <v>1132</v>
      </c>
      <c r="C392" s="6" t="s">
        <v>1</v>
      </c>
      <c r="D392" s="24">
        <v>4.2</v>
      </c>
    </row>
    <row r="393" spans="1:4" s="409" customFormat="1" x14ac:dyDescent="0.4">
      <c r="A393" s="425" t="s">
        <v>1111</v>
      </c>
      <c r="B393" s="427" t="s">
        <v>1133</v>
      </c>
      <c r="C393" s="428" t="s">
        <v>557</v>
      </c>
      <c r="D393" s="328">
        <v>3</v>
      </c>
    </row>
    <row r="394" spans="1:4" s="409" customFormat="1" x14ac:dyDescent="0.4">
      <c r="A394" s="425" t="s">
        <v>1113</v>
      </c>
      <c r="B394" s="14" t="s">
        <v>1134</v>
      </c>
      <c r="C394" s="6" t="s">
        <v>1135</v>
      </c>
      <c r="D394" s="328">
        <v>185</v>
      </c>
    </row>
    <row r="395" spans="1:4" s="409" customFormat="1" x14ac:dyDescent="0.4">
      <c r="A395" s="425" t="s">
        <v>1115</v>
      </c>
      <c r="B395" s="14" t="s">
        <v>1136</v>
      </c>
      <c r="C395" s="6" t="s">
        <v>557</v>
      </c>
      <c r="D395" s="328">
        <v>1</v>
      </c>
    </row>
    <row r="396" spans="1:4" s="409" customFormat="1" x14ac:dyDescent="0.4">
      <c r="A396" s="425" t="s">
        <v>1117</v>
      </c>
      <c r="B396" s="14" t="s">
        <v>1137</v>
      </c>
      <c r="C396" s="6" t="s">
        <v>557</v>
      </c>
      <c r="D396" s="328">
        <v>1</v>
      </c>
    </row>
    <row r="397" spans="1:4" s="409" customFormat="1" x14ac:dyDescent="0.4">
      <c r="A397" s="425" t="s">
        <v>1119</v>
      </c>
      <c r="B397" s="14" t="s">
        <v>1138</v>
      </c>
      <c r="C397" s="6" t="s">
        <v>557</v>
      </c>
      <c r="D397" s="328">
        <v>1</v>
      </c>
    </row>
    <row r="398" spans="1:4" s="409" customFormat="1" x14ac:dyDescent="0.4">
      <c r="A398" s="425" t="s">
        <v>1139</v>
      </c>
      <c r="B398" s="14" t="s">
        <v>1140</v>
      </c>
      <c r="C398" s="6" t="s">
        <v>557</v>
      </c>
      <c r="D398" s="328">
        <v>1</v>
      </c>
    </row>
    <row r="399" spans="1:4" s="409" customFormat="1" ht="27.6" x14ac:dyDescent="0.4">
      <c r="A399" s="425" t="s">
        <v>1141</v>
      </c>
      <c r="B399" s="427" t="s">
        <v>1264</v>
      </c>
      <c r="C399" s="6" t="s">
        <v>557</v>
      </c>
      <c r="D399" s="328">
        <v>1</v>
      </c>
    </row>
    <row r="400" spans="1:4" s="409" customFormat="1" x14ac:dyDescent="0.4">
      <c r="A400" s="425" t="s">
        <v>1142</v>
      </c>
      <c r="B400" s="427" t="s">
        <v>1143</v>
      </c>
      <c r="C400" s="6" t="s">
        <v>557</v>
      </c>
      <c r="D400" s="328">
        <v>1</v>
      </c>
    </row>
    <row r="401" spans="1:4" s="409" customFormat="1" x14ac:dyDescent="0.4">
      <c r="A401" s="425" t="s">
        <v>1144</v>
      </c>
      <c r="B401" s="427" t="s">
        <v>1145</v>
      </c>
      <c r="C401" s="6" t="s">
        <v>557</v>
      </c>
      <c r="D401" s="328">
        <v>1</v>
      </c>
    </row>
    <row r="402" spans="1:4" s="409" customFormat="1" x14ac:dyDescent="0.4">
      <c r="A402" s="425" t="s">
        <v>1146</v>
      </c>
      <c r="B402" s="427" t="s">
        <v>1147</v>
      </c>
      <c r="C402" s="6" t="s">
        <v>1121</v>
      </c>
      <c r="D402" s="328">
        <v>1</v>
      </c>
    </row>
    <row r="403" spans="1:4" s="409" customFormat="1" x14ac:dyDescent="0.4">
      <c r="A403" s="425" t="s">
        <v>1148</v>
      </c>
      <c r="B403" s="427" t="s">
        <v>1149</v>
      </c>
      <c r="C403" s="6" t="s">
        <v>557</v>
      </c>
      <c r="D403" s="328">
        <v>1</v>
      </c>
    </row>
    <row r="404" spans="1:4" s="409" customFormat="1" x14ac:dyDescent="0.4">
      <c r="A404" s="35"/>
      <c r="B404" s="30"/>
      <c r="C404" s="6"/>
      <c r="D404" s="30"/>
    </row>
    <row r="405" spans="1:4" s="409" customFormat="1" x14ac:dyDescent="0.4">
      <c r="A405" s="35"/>
      <c r="B405" s="30"/>
      <c r="C405" s="6"/>
      <c r="D405" s="30"/>
    </row>
    <row r="406" spans="1:4" s="409" customFormat="1" ht="14.7" x14ac:dyDescent="0.4">
      <c r="A406" s="35"/>
      <c r="B406" s="439" t="s">
        <v>1150</v>
      </c>
      <c r="C406" s="6"/>
      <c r="D406" s="30"/>
    </row>
    <row r="407" spans="1:4" s="409" customFormat="1" ht="14.7" x14ac:dyDescent="0.4">
      <c r="A407" s="35"/>
      <c r="B407" s="151"/>
      <c r="C407" s="6"/>
      <c r="D407" s="30"/>
    </row>
    <row r="408" spans="1:4" s="409" customFormat="1" ht="14.7" x14ac:dyDescent="0.4">
      <c r="A408" s="35"/>
      <c r="B408" s="437" t="s">
        <v>1151</v>
      </c>
      <c r="C408" s="30"/>
      <c r="D408" s="30"/>
    </row>
    <row r="409" spans="1:4" s="409" customFormat="1" x14ac:dyDescent="0.4">
      <c r="A409" s="35"/>
      <c r="B409" s="30"/>
      <c r="C409" s="6"/>
      <c r="D409" s="30"/>
    </row>
    <row r="410" spans="1:4" s="409" customFormat="1" x14ac:dyDescent="0.4">
      <c r="A410" s="18" t="s">
        <v>7</v>
      </c>
      <c r="B410" s="7" t="s">
        <v>1123</v>
      </c>
      <c r="C410" s="7" t="s">
        <v>1124</v>
      </c>
      <c r="D410" s="7" t="s">
        <v>1125</v>
      </c>
    </row>
    <row r="411" spans="1:4" s="409" customFormat="1" x14ac:dyDescent="0.4">
      <c r="A411" s="425" t="s">
        <v>1098</v>
      </c>
      <c r="B411" s="14" t="s">
        <v>1152</v>
      </c>
      <c r="C411" s="6" t="s">
        <v>5</v>
      </c>
      <c r="D411" s="328">
        <v>35</v>
      </c>
    </row>
    <row r="412" spans="1:4" s="409" customFormat="1" x14ac:dyDescent="0.4">
      <c r="A412" s="425" t="s">
        <v>1100</v>
      </c>
      <c r="B412" s="14" t="s">
        <v>1153</v>
      </c>
      <c r="C412" s="6" t="s">
        <v>5</v>
      </c>
      <c r="D412" s="328">
        <v>16</v>
      </c>
    </row>
    <row r="413" spans="1:4" s="409" customFormat="1" x14ac:dyDescent="0.4">
      <c r="A413" s="425" t="s">
        <v>1103</v>
      </c>
      <c r="B413" s="14" t="s">
        <v>1154</v>
      </c>
      <c r="C413" s="6" t="s">
        <v>5</v>
      </c>
      <c r="D413" s="328">
        <v>20</v>
      </c>
    </row>
    <row r="414" spans="1:4" s="409" customFormat="1" x14ac:dyDescent="0.4">
      <c r="A414" s="425" t="s">
        <v>1103</v>
      </c>
      <c r="B414" s="14" t="s">
        <v>1155</v>
      </c>
      <c r="C414" s="6" t="s">
        <v>5</v>
      </c>
      <c r="D414" s="328">
        <v>20</v>
      </c>
    </row>
    <row r="415" spans="1:4" s="409" customFormat="1" x14ac:dyDescent="0.4">
      <c r="A415" s="425" t="s">
        <v>1105</v>
      </c>
      <c r="B415" s="14" t="s">
        <v>1156</v>
      </c>
      <c r="C415" s="6" t="s">
        <v>5</v>
      </c>
      <c r="D415" s="328">
        <v>35</v>
      </c>
    </row>
    <row r="416" spans="1:4" s="409" customFormat="1" x14ac:dyDescent="0.4">
      <c r="A416" s="425" t="s">
        <v>1107</v>
      </c>
      <c r="B416" s="14" t="s">
        <v>1157</v>
      </c>
      <c r="C416" s="6" t="s">
        <v>5</v>
      </c>
      <c r="D416" s="328">
        <v>16</v>
      </c>
    </row>
    <row r="417" spans="1:4" s="409" customFormat="1" x14ac:dyDescent="0.4">
      <c r="A417" s="425" t="s">
        <v>1109</v>
      </c>
      <c r="B417" s="14" t="s">
        <v>1158</v>
      </c>
      <c r="C417" s="6" t="s">
        <v>5</v>
      </c>
      <c r="D417" s="328">
        <v>20</v>
      </c>
    </row>
    <row r="418" spans="1:4" s="409" customFormat="1" x14ac:dyDescent="0.4">
      <c r="A418" s="425" t="s">
        <v>1111</v>
      </c>
      <c r="B418" s="14" t="s">
        <v>1159</v>
      </c>
      <c r="C418" s="6" t="s">
        <v>5</v>
      </c>
      <c r="D418" s="328">
        <v>20</v>
      </c>
    </row>
    <row r="419" spans="1:4" s="409" customFormat="1" x14ac:dyDescent="0.4">
      <c r="A419" s="425" t="s">
        <v>1113</v>
      </c>
      <c r="B419" s="14" t="s">
        <v>1160</v>
      </c>
      <c r="C419" s="6" t="s">
        <v>5</v>
      </c>
      <c r="D419" s="328">
        <v>25</v>
      </c>
    </row>
    <row r="420" spans="1:4" s="409" customFormat="1" x14ac:dyDescent="0.4">
      <c r="A420" s="425" t="s">
        <v>1115</v>
      </c>
      <c r="B420" s="14" t="s">
        <v>1161</v>
      </c>
      <c r="C420" s="6" t="s">
        <v>5</v>
      </c>
      <c r="D420" s="328">
        <v>25</v>
      </c>
    </row>
    <row r="421" spans="1:4" s="409" customFormat="1" x14ac:dyDescent="0.4">
      <c r="A421" s="425" t="s">
        <v>1117</v>
      </c>
      <c r="B421" s="427" t="s">
        <v>1162</v>
      </c>
      <c r="C421" s="6" t="s">
        <v>557</v>
      </c>
      <c r="D421" s="328">
        <v>3</v>
      </c>
    </row>
    <row r="422" spans="1:4" s="409" customFormat="1" x14ac:dyDescent="0.4">
      <c r="A422" s="425" t="s">
        <v>1119</v>
      </c>
      <c r="B422" s="427" t="s">
        <v>1163</v>
      </c>
      <c r="C422" s="6" t="s">
        <v>557</v>
      </c>
      <c r="D422" s="328">
        <v>1</v>
      </c>
    </row>
    <row r="423" spans="1:4" s="409" customFormat="1" x14ac:dyDescent="0.4">
      <c r="A423" s="425" t="s">
        <v>1139</v>
      </c>
      <c r="B423" s="427" t="s">
        <v>1164</v>
      </c>
      <c r="C423" s="6" t="s">
        <v>557</v>
      </c>
      <c r="D423" s="328">
        <v>1</v>
      </c>
    </row>
    <row r="424" spans="1:4" s="409" customFormat="1" x14ac:dyDescent="0.4">
      <c r="A424" s="425" t="s">
        <v>1141</v>
      </c>
      <c r="B424" s="14" t="s">
        <v>1165</v>
      </c>
      <c r="C424" s="6" t="s">
        <v>557</v>
      </c>
      <c r="D424" s="328">
        <v>3</v>
      </c>
    </row>
    <row r="425" spans="1:4" s="409" customFormat="1" x14ac:dyDescent="0.4">
      <c r="A425" s="425" t="s">
        <v>1142</v>
      </c>
      <c r="B425" s="14" t="s">
        <v>1166</v>
      </c>
      <c r="C425" s="6" t="s">
        <v>557</v>
      </c>
      <c r="D425" s="328">
        <v>4</v>
      </c>
    </row>
    <row r="426" spans="1:4" s="409" customFormat="1" x14ac:dyDescent="0.4">
      <c r="A426" s="425" t="s">
        <v>1144</v>
      </c>
      <c r="B426" s="14" t="s">
        <v>1167</v>
      </c>
      <c r="C426" s="6" t="s">
        <v>557</v>
      </c>
      <c r="D426" s="328">
        <v>1</v>
      </c>
    </row>
    <row r="427" spans="1:4" s="409" customFormat="1" x14ac:dyDescent="0.4">
      <c r="A427" s="425" t="s">
        <v>1146</v>
      </c>
      <c r="B427" s="14" t="s">
        <v>1168</v>
      </c>
      <c r="C427" s="6" t="s">
        <v>557</v>
      </c>
      <c r="D427" s="328">
        <v>1</v>
      </c>
    </row>
    <row r="428" spans="1:4" s="409" customFormat="1" x14ac:dyDescent="0.4">
      <c r="A428" s="425" t="s">
        <v>1148</v>
      </c>
      <c r="B428" s="14" t="s">
        <v>1169</v>
      </c>
      <c r="C428" s="6" t="s">
        <v>557</v>
      </c>
      <c r="D428" s="328">
        <v>13</v>
      </c>
    </row>
    <row r="429" spans="1:4" s="409" customFormat="1" x14ac:dyDescent="0.4">
      <c r="A429" s="425" t="s">
        <v>1170</v>
      </c>
      <c r="B429" s="14" t="s">
        <v>1171</v>
      </c>
      <c r="C429" s="6" t="s">
        <v>557</v>
      </c>
      <c r="D429" s="328">
        <v>1</v>
      </c>
    </row>
    <row r="430" spans="1:4" s="409" customFormat="1" x14ac:dyDescent="0.4">
      <c r="A430" s="35"/>
      <c r="B430" s="30"/>
      <c r="C430" s="6"/>
      <c r="D430" s="30"/>
    </row>
    <row r="431" spans="1:4" s="409" customFormat="1" ht="14.7" x14ac:dyDescent="0.4">
      <c r="A431" s="35"/>
      <c r="B431" s="437" t="s">
        <v>1172</v>
      </c>
      <c r="C431" s="30"/>
      <c r="D431" s="30"/>
    </row>
    <row r="432" spans="1:4" s="409" customFormat="1" x14ac:dyDescent="0.4">
      <c r="A432" s="35"/>
      <c r="B432" s="30"/>
      <c r="C432" s="6"/>
      <c r="D432" s="30"/>
    </row>
    <row r="433" spans="1:4" s="409" customFormat="1" x14ac:dyDescent="0.4">
      <c r="A433" s="18" t="s">
        <v>7</v>
      </c>
      <c r="B433" s="7" t="s">
        <v>1123</v>
      </c>
      <c r="C433" s="7" t="s">
        <v>1124</v>
      </c>
      <c r="D433" s="7" t="s">
        <v>1125</v>
      </c>
    </row>
    <row r="434" spans="1:4" s="409" customFormat="1" x14ac:dyDescent="0.4">
      <c r="A434" s="429" t="s">
        <v>1098</v>
      </c>
      <c r="B434" s="14" t="s">
        <v>1152</v>
      </c>
      <c r="C434" s="7" t="s">
        <v>5</v>
      </c>
      <c r="D434" s="430">
        <v>78</v>
      </c>
    </row>
    <row r="435" spans="1:4" s="409" customFormat="1" x14ac:dyDescent="0.4">
      <c r="A435" s="429" t="s">
        <v>1100</v>
      </c>
      <c r="B435" s="14" t="s">
        <v>1153</v>
      </c>
      <c r="C435" s="7" t="s">
        <v>5</v>
      </c>
      <c r="D435" s="430">
        <v>52</v>
      </c>
    </row>
    <row r="436" spans="1:4" s="409" customFormat="1" x14ac:dyDescent="0.4">
      <c r="A436" s="429" t="s">
        <v>1103</v>
      </c>
      <c r="B436" s="14" t="s">
        <v>1154</v>
      </c>
      <c r="C436" s="7" t="s">
        <v>5</v>
      </c>
      <c r="D436" s="430">
        <v>58</v>
      </c>
    </row>
    <row r="437" spans="1:4" s="409" customFormat="1" x14ac:dyDescent="0.4">
      <c r="A437" s="429" t="s">
        <v>1105</v>
      </c>
      <c r="B437" s="14" t="s">
        <v>1173</v>
      </c>
      <c r="C437" s="7" t="s">
        <v>5</v>
      </c>
      <c r="D437" s="430">
        <v>30</v>
      </c>
    </row>
    <row r="438" spans="1:4" s="409" customFormat="1" x14ac:dyDescent="0.4">
      <c r="A438" s="429" t="s">
        <v>1107</v>
      </c>
      <c r="B438" s="14" t="s">
        <v>1174</v>
      </c>
      <c r="C438" s="7" t="s">
        <v>5</v>
      </c>
      <c r="D438" s="430">
        <v>35</v>
      </c>
    </row>
    <row r="439" spans="1:4" s="409" customFormat="1" x14ac:dyDescent="0.4">
      <c r="A439" s="429" t="s">
        <v>1109</v>
      </c>
      <c r="B439" s="14" t="s">
        <v>1155</v>
      </c>
      <c r="C439" s="7" t="s">
        <v>5</v>
      </c>
      <c r="D439" s="430">
        <v>12</v>
      </c>
    </row>
    <row r="440" spans="1:4" s="409" customFormat="1" x14ac:dyDescent="0.4">
      <c r="A440" s="429" t="s">
        <v>1111</v>
      </c>
      <c r="B440" s="14" t="s">
        <v>1175</v>
      </c>
      <c r="C440" s="7" t="s">
        <v>5</v>
      </c>
      <c r="D440" s="430">
        <v>20</v>
      </c>
    </row>
    <row r="441" spans="1:4" s="409" customFormat="1" x14ac:dyDescent="0.4">
      <c r="A441" s="429" t="s">
        <v>1113</v>
      </c>
      <c r="B441" s="14" t="s">
        <v>1156</v>
      </c>
      <c r="C441" s="7" t="s">
        <v>5</v>
      </c>
      <c r="D441" s="430">
        <v>78</v>
      </c>
    </row>
    <row r="442" spans="1:4" s="409" customFormat="1" x14ac:dyDescent="0.4">
      <c r="A442" s="429" t="s">
        <v>1115</v>
      </c>
      <c r="B442" s="14" t="s">
        <v>1157</v>
      </c>
      <c r="C442" s="7" t="s">
        <v>5</v>
      </c>
      <c r="D442" s="430">
        <v>52</v>
      </c>
    </row>
    <row r="443" spans="1:4" s="409" customFormat="1" x14ac:dyDescent="0.4">
      <c r="A443" s="429" t="s">
        <v>1117</v>
      </c>
      <c r="B443" s="14" t="s">
        <v>1158</v>
      </c>
      <c r="C443" s="7" t="s">
        <v>5</v>
      </c>
      <c r="D443" s="430">
        <v>58</v>
      </c>
    </row>
    <row r="444" spans="1:4" s="409" customFormat="1" x14ac:dyDescent="0.4">
      <c r="A444" s="429" t="s">
        <v>1119</v>
      </c>
      <c r="B444" s="14" t="s">
        <v>1176</v>
      </c>
      <c r="C444" s="7" t="s">
        <v>5</v>
      </c>
      <c r="D444" s="430">
        <v>30</v>
      </c>
    </row>
    <row r="445" spans="1:4" s="409" customFormat="1" x14ac:dyDescent="0.4">
      <c r="A445" s="429" t="s">
        <v>1139</v>
      </c>
      <c r="B445" s="14" t="s">
        <v>1177</v>
      </c>
      <c r="C445" s="7" t="s">
        <v>5</v>
      </c>
      <c r="D445" s="430">
        <v>35</v>
      </c>
    </row>
    <row r="446" spans="1:4" s="409" customFormat="1" x14ac:dyDescent="0.4">
      <c r="A446" s="429" t="s">
        <v>1141</v>
      </c>
      <c r="B446" s="14" t="s">
        <v>1159</v>
      </c>
      <c r="C446" s="7" t="s">
        <v>5</v>
      </c>
      <c r="D446" s="430">
        <v>12</v>
      </c>
    </row>
    <row r="447" spans="1:4" s="409" customFormat="1" x14ac:dyDescent="0.4">
      <c r="A447" s="429" t="s">
        <v>1142</v>
      </c>
      <c r="B447" s="14" t="s">
        <v>1178</v>
      </c>
      <c r="C447" s="7" t="s">
        <v>5</v>
      </c>
      <c r="D447" s="430">
        <v>20</v>
      </c>
    </row>
    <row r="448" spans="1:4" s="409" customFormat="1" x14ac:dyDescent="0.4">
      <c r="A448" s="429" t="s">
        <v>1144</v>
      </c>
      <c r="B448" s="14" t="s">
        <v>1160</v>
      </c>
      <c r="C448" s="7" t="s">
        <v>5</v>
      </c>
      <c r="D448" s="430">
        <v>65</v>
      </c>
    </row>
    <row r="449" spans="1:4" s="409" customFormat="1" x14ac:dyDescent="0.4">
      <c r="A449" s="429" t="s">
        <v>1146</v>
      </c>
      <c r="B449" s="14" t="s">
        <v>1161</v>
      </c>
      <c r="C449" s="7" t="s">
        <v>5</v>
      </c>
      <c r="D449" s="430">
        <v>65</v>
      </c>
    </row>
    <row r="450" spans="1:4" s="409" customFormat="1" x14ac:dyDescent="0.4">
      <c r="A450" s="429" t="s">
        <v>1148</v>
      </c>
      <c r="B450" s="427" t="s">
        <v>1179</v>
      </c>
      <c r="C450" s="431" t="s">
        <v>557</v>
      </c>
      <c r="D450" s="430">
        <v>6</v>
      </c>
    </row>
    <row r="451" spans="1:4" s="409" customFormat="1" x14ac:dyDescent="0.4">
      <c r="A451" s="429" t="s">
        <v>1170</v>
      </c>
      <c r="B451" s="427" t="s">
        <v>1180</v>
      </c>
      <c r="C451" s="431" t="s">
        <v>557</v>
      </c>
      <c r="D451" s="430">
        <v>40</v>
      </c>
    </row>
    <row r="452" spans="1:4" s="409" customFormat="1" x14ac:dyDescent="0.4">
      <c r="A452" s="429" t="s">
        <v>1181</v>
      </c>
      <c r="B452" s="427" t="s">
        <v>1182</v>
      </c>
      <c r="C452" s="431" t="s">
        <v>557</v>
      </c>
      <c r="D452" s="430">
        <v>1</v>
      </c>
    </row>
    <row r="453" spans="1:4" s="409" customFormat="1" x14ac:dyDescent="0.4">
      <c r="A453" s="429" t="s">
        <v>1183</v>
      </c>
      <c r="B453" s="427" t="s">
        <v>1184</v>
      </c>
      <c r="C453" s="431" t="s">
        <v>557</v>
      </c>
      <c r="D453" s="430">
        <v>1</v>
      </c>
    </row>
    <row r="454" spans="1:4" s="409" customFormat="1" x14ac:dyDescent="0.4">
      <c r="A454" s="429" t="s">
        <v>1185</v>
      </c>
      <c r="B454" s="427" t="s">
        <v>1186</v>
      </c>
      <c r="C454" s="431" t="s">
        <v>557</v>
      </c>
      <c r="D454" s="430">
        <v>20</v>
      </c>
    </row>
    <row r="455" spans="1:4" s="409" customFormat="1" x14ac:dyDescent="0.4">
      <c r="A455" s="429" t="s">
        <v>1187</v>
      </c>
      <c r="B455" s="427" t="s">
        <v>1188</v>
      </c>
      <c r="C455" s="7" t="s">
        <v>557</v>
      </c>
      <c r="D455" s="430">
        <v>1</v>
      </c>
    </row>
    <row r="456" spans="1:4" s="409" customFormat="1" x14ac:dyDescent="0.4">
      <c r="A456" s="429" t="s">
        <v>1189</v>
      </c>
      <c r="B456" s="14" t="s">
        <v>1165</v>
      </c>
      <c r="C456" s="7" t="s">
        <v>557</v>
      </c>
      <c r="D456" s="430">
        <v>35</v>
      </c>
    </row>
    <row r="457" spans="1:4" s="409" customFormat="1" x14ac:dyDescent="0.4">
      <c r="A457" s="429" t="s">
        <v>1190</v>
      </c>
      <c r="B457" s="14" t="s">
        <v>1191</v>
      </c>
      <c r="C457" s="7" t="s">
        <v>557</v>
      </c>
      <c r="D457" s="430">
        <v>1</v>
      </c>
    </row>
    <row r="458" spans="1:4" s="409" customFormat="1" x14ac:dyDescent="0.4">
      <c r="A458" s="429" t="s">
        <v>1192</v>
      </c>
      <c r="B458" s="14" t="s">
        <v>1193</v>
      </c>
      <c r="C458" s="7" t="s">
        <v>557</v>
      </c>
      <c r="D458" s="430">
        <v>1</v>
      </c>
    </row>
    <row r="459" spans="1:4" s="409" customFormat="1" x14ac:dyDescent="0.4">
      <c r="A459" s="429" t="s">
        <v>1194</v>
      </c>
      <c r="B459" s="14" t="s">
        <v>1195</v>
      </c>
      <c r="C459" s="7" t="s">
        <v>557</v>
      </c>
      <c r="D459" s="430">
        <v>5</v>
      </c>
    </row>
    <row r="460" spans="1:4" s="409" customFormat="1" x14ac:dyDescent="0.4">
      <c r="A460" s="429" t="s">
        <v>1196</v>
      </c>
      <c r="B460" s="14" t="s">
        <v>1197</v>
      </c>
      <c r="C460" s="7" t="s">
        <v>557</v>
      </c>
      <c r="D460" s="430">
        <v>4</v>
      </c>
    </row>
    <row r="461" spans="1:4" s="409" customFormat="1" x14ac:dyDescent="0.4">
      <c r="A461" s="429" t="s">
        <v>1198</v>
      </c>
      <c r="B461" s="14" t="s">
        <v>1199</v>
      </c>
      <c r="C461" s="7" t="s">
        <v>557</v>
      </c>
      <c r="D461" s="430">
        <v>1</v>
      </c>
    </row>
    <row r="462" spans="1:4" s="409" customFormat="1" x14ac:dyDescent="0.4">
      <c r="A462" s="429" t="s">
        <v>1200</v>
      </c>
      <c r="B462" s="14" t="s">
        <v>1201</v>
      </c>
      <c r="C462" s="7" t="s">
        <v>557</v>
      </c>
      <c r="D462" s="430">
        <v>2</v>
      </c>
    </row>
    <row r="463" spans="1:4" s="409" customFormat="1" x14ac:dyDescent="0.4">
      <c r="A463" s="429" t="s">
        <v>1202</v>
      </c>
      <c r="B463" s="14" t="s">
        <v>1203</v>
      </c>
      <c r="C463" s="7" t="s">
        <v>557</v>
      </c>
      <c r="D463" s="430">
        <v>1</v>
      </c>
    </row>
    <row r="464" spans="1:4" s="409" customFormat="1" x14ac:dyDescent="0.4">
      <c r="A464" s="429" t="s">
        <v>1204</v>
      </c>
      <c r="B464" s="14" t="s">
        <v>1205</v>
      </c>
      <c r="C464" s="7" t="s">
        <v>557</v>
      </c>
      <c r="D464" s="430">
        <v>3</v>
      </c>
    </row>
    <row r="465" spans="1:4" s="409" customFormat="1" x14ac:dyDescent="0.4">
      <c r="A465" s="429" t="s">
        <v>1206</v>
      </c>
      <c r="B465" s="14" t="s">
        <v>1207</v>
      </c>
      <c r="C465" s="7" t="s">
        <v>557</v>
      </c>
      <c r="D465" s="430">
        <v>2</v>
      </c>
    </row>
    <row r="466" spans="1:4" s="409" customFormat="1" x14ac:dyDescent="0.4">
      <c r="A466" s="429" t="s">
        <v>1208</v>
      </c>
      <c r="B466" s="14" t="s">
        <v>1209</v>
      </c>
      <c r="C466" s="7" t="s">
        <v>557</v>
      </c>
      <c r="D466" s="430">
        <v>1</v>
      </c>
    </row>
    <row r="467" spans="1:4" s="409" customFormat="1" x14ac:dyDescent="0.4">
      <c r="A467" s="429" t="s">
        <v>1210</v>
      </c>
      <c r="B467" s="14" t="s">
        <v>1211</v>
      </c>
      <c r="C467" s="7" t="s">
        <v>557</v>
      </c>
      <c r="D467" s="430">
        <v>1</v>
      </c>
    </row>
    <row r="468" spans="1:4" s="409" customFormat="1" x14ac:dyDescent="0.4">
      <c r="A468" s="429" t="s">
        <v>1212</v>
      </c>
      <c r="B468" s="14" t="s">
        <v>1169</v>
      </c>
      <c r="C468" s="7" t="s">
        <v>557</v>
      </c>
      <c r="D468" s="430">
        <v>20</v>
      </c>
    </row>
    <row r="469" spans="1:4" s="409" customFormat="1" x14ac:dyDescent="0.4">
      <c r="A469" s="429" t="s">
        <v>1213</v>
      </c>
      <c r="B469" s="14" t="s">
        <v>1171</v>
      </c>
      <c r="C469" s="7" t="s">
        <v>557</v>
      </c>
      <c r="D469" s="430">
        <v>21</v>
      </c>
    </row>
    <row r="470" spans="1:4" s="409" customFormat="1" x14ac:dyDescent="0.4">
      <c r="A470" s="35"/>
      <c r="B470" s="30"/>
      <c r="C470" s="6"/>
      <c r="D470" s="62"/>
    </row>
    <row r="471" spans="1:4" s="409" customFormat="1" x14ac:dyDescent="0.4">
      <c r="A471" s="35"/>
      <c r="B471" s="435" t="s">
        <v>1214</v>
      </c>
      <c r="C471" s="30"/>
      <c r="D471" s="62"/>
    </row>
    <row r="472" spans="1:4" s="409" customFormat="1" x14ac:dyDescent="0.4">
      <c r="A472" s="156"/>
      <c r="B472" s="194"/>
      <c r="C472" s="170"/>
      <c r="D472" s="62"/>
    </row>
    <row r="473" spans="1:4" s="409" customFormat="1" x14ac:dyDescent="0.4">
      <c r="A473" s="432" t="s">
        <v>1090</v>
      </c>
      <c r="B473" s="423" t="s">
        <v>1091</v>
      </c>
      <c r="C473" s="433" t="s">
        <v>1092</v>
      </c>
      <c r="D473" s="7" t="s">
        <v>1125</v>
      </c>
    </row>
    <row r="474" spans="1:4" s="409" customFormat="1" x14ac:dyDescent="0.4">
      <c r="A474" s="425" t="s">
        <v>1098</v>
      </c>
      <c r="B474" s="434" t="s">
        <v>1215</v>
      </c>
      <c r="C474" s="423" t="s">
        <v>2</v>
      </c>
      <c r="D474" s="24">
        <f>'Подробна КС- част ВиК'!H117</f>
        <v>186.2</v>
      </c>
    </row>
    <row r="475" spans="1:4" s="409" customFormat="1" x14ac:dyDescent="0.4">
      <c r="A475" s="425" t="s">
        <v>1100</v>
      </c>
      <c r="B475" s="434" t="s">
        <v>1101</v>
      </c>
      <c r="C475" s="423" t="s">
        <v>1102</v>
      </c>
      <c r="D475" s="24">
        <f>'Подробна КС- част ВиК'!H118</f>
        <v>13.3</v>
      </c>
    </row>
    <row r="476" spans="1:4" s="409" customFormat="1" x14ac:dyDescent="0.4">
      <c r="A476" s="425" t="s">
        <v>1103</v>
      </c>
      <c r="B476" s="434" t="s">
        <v>1104</v>
      </c>
      <c r="C476" s="423" t="s">
        <v>1102</v>
      </c>
      <c r="D476" s="24">
        <f>'Подробна КС- част ВиК'!H119</f>
        <v>19.040000000000003</v>
      </c>
    </row>
    <row r="477" spans="1:4" s="409" customFormat="1" x14ac:dyDescent="0.4">
      <c r="A477" s="425" t="s">
        <v>1105</v>
      </c>
      <c r="B477" s="434" t="s">
        <v>1106</v>
      </c>
      <c r="C477" s="423" t="s">
        <v>1102</v>
      </c>
      <c r="D477" s="24">
        <f>'Подробна КС- част ВиК'!H120</f>
        <v>153.66</v>
      </c>
    </row>
    <row r="478" spans="1:4" s="409" customFormat="1" x14ac:dyDescent="0.4">
      <c r="A478" s="425" t="s">
        <v>1107</v>
      </c>
      <c r="B478" s="434" t="s">
        <v>1216</v>
      </c>
      <c r="C478" s="423" t="s">
        <v>1102</v>
      </c>
      <c r="D478" s="24">
        <f>'Подробна КС- част ВиК'!H121</f>
        <v>32.340000000000003</v>
      </c>
    </row>
    <row r="479" spans="1:4" s="409" customFormat="1" x14ac:dyDescent="0.4">
      <c r="A479" s="425" t="s">
        <v>1109</v>
      </c>
      <c r="B479" s="14" t="s">
        <v>1217</v>
      </c>
      <c r="C479" s="423" t="s">
        <v>1121</v>
      </c>
      <c r="D479" s="24">
        <f>'Подробна КС- част ВиК'!H122</f>
        <v>117</v>
      </c>
    </row>
    <row r="480" spans="1:4" s="409" customFormat="1" x14ac:dyDescent="0.4">
      <c r="A480" s="425" t="s">
        <v>1111</v>
      </c>
      <c r="B480" s="14" t="s">
        <v>1218</v>
      </c>
      <c r="C480" s="423" t="s">
        <v>1121</v>
      </c>
      <c r="D480" s="24">
        <f>'Подробна КС- част ВиК'!H123</f>
        <v>5</v>
      </c>
    </row>
    <row r="481" spans="1:4" s="409" customFormat="1" x14ac:dyDescent="0.4">
      <c r="A481" s="425" t="s">
        <v>1113</v>
      </c>
      <c r="B481" s="14" t="s">
        <v>1219</v>
      </c>
      <c r="C481" s="423" t="s">
        <v>1121</v>
      </c>
      <c r="D481" s="24">
        <f>'Подробна КС- част ВиК'!H124</f>
        <v>127</v>
      </c>
    </row>
    <row r="482" spans="1:4" s="409" customFormat="1" x14ac:dyDescent="0.4">
      <c r="A482" s="425" t="s">
        <v>1115</v>
      </c>
      <c r="B482" s="14" t="s">
        <v>1220</v>
      </c>
      <c r="C482" s="423" t="s">
        <v>1121</v>
      </c>
      <c r="D482" s="24">
        <f>'Подробна КС- част ВиК'!H125</f>
        <v>127</v>
      </c>
    </row>
    <row r="483" spans="1:4" s="409" customFormat="1" x14ac:dyDescent="0.4">
      <c r="A483" s="425" t="s">
        <v>1117</v>
      </c>
      <c r="B483" s="14" t="s">
        <v>1221</v>
      </c>
      <c r="C483" s="423" t="s">
        <v>557</v>
      </c>
      <c r="D483" s="328">
        <f>'Подробна КС- част ВиК'!H126</f>
        <v>1</v>
      </c>
    </row>
    <row r="484" spans="1:4" s="409" customFormat="1" x14ac:dyDescent="0.4">
      <c r="A484" s="425" t="s">
        <v>1119</v>
      </c>
      <c r="B484" s="434" t="s">
        <v>1222</v>
      </c>
      <c r="C484" s="423" t="s">
        <v>1121</v>
      </c>
      <c r="D484" s="24">
        <f>'Подробна КС- част ВиК'!H127</f>
        <v>140</v>
      </c>
    </row>
    <row r="485" spans="1:4" s="409" customFormat="1" x14ac:dyDescent="0.4">
      <c r="A485" s="156"/>
      <c r="B485" s="194"/>
      <c r="C485" s="170"/>
      <c r="D485" s="62"/>
    </row>
    <row r="486" spans="1:4" s="409" customFormat="1" ht="14.7" x14ac:dyDescent="0.4">
      <c r="A486" s="35"/>
      <c r="B486" s="437" t="s">
        <v>1265</v>
      </c>
      <c r="C486" s="30"/>
      <c r="D486" s="62"/>
    </row>
    <row r="487" spans="1:4" s="409" customFormat="1" x14ac:dyDescent="0.4">
      <c r="A487" s="35"/>
      <c r="B487" s="30"/>
      <c r="C487" s="6"/>
      <c r="D487" s="62"/>
    </row>
    <row r="488" spans="1:4" s="409" customFormat="1" x14ac:dyDescent="0.4">
      <c r="A488" s="18" t="s">
        <v>7</v>
      </c>
      <c r="B488" s="7" t="s">
        <v>1123</v>
      </c>
      <c r="C488" s="7" t="s">
        <v>1124</v>
      </c>
      <c r="D488" s="7" t="s">
        <v>1125</v>
      </c>
    </row>
    <row r="489" spans="1:4" s="409" customFormat="1" x14ac:dyDescent="0.4">
      <c r="A489" s="425" t="s">
        <v>1098</v>
      </c>
      <c r="B489" s="427" t="s">
        <v>1223</v>
      </c>
      <c r="C489" s="6" t="s">
        <v>1121</v>
      </c>
      <c r="D489" s="328">
        <v>20</v>
      </c>
    </row>
    <row r="490" spans="1:4" s="409" customFormat="1" x14ac:dyDescent="0.4">
      <c r="A490" s="425" t="s">
        <v>1100</v>
      </c>
      <c r="B490" s="427" t="s">
        <v>1224</v>
      </c>
      <c r="C490" s="6" t="s">
        <v>1121</v>
      </c>
      <c r="D490" s="328">
        <v>35</v>
      </c>
    </row>
    <row r="491" spans="1:4" s="409" customFormat="1" x14ac:dyDescent="0.4">
      <c r="A491" s="425" t="s">
        <v>1103</v>
      </c>
      <c r="B491" s="427" t="s">
        <v>1225</v>
      </c>
      <c r="C491" s="6" t="s">
        <v>1121</v>
      </c>
      <c r="D491" s="328">
        <v>30</v>
      </c>
    </row>
    <row r="492" spans="1:4" s="409" customFormat="1" x14ac:dyDescent="0.4">
      <c r="A492" s="425" t="s">
        <v>1105</v>
      </c>
      <c r="B492" s="14" t="s">
        <v>1226</v>
      </c>
      <c r="C492" s="6" t="s">
        <v>5</v>
      </c>
      <c r="D492" s="328">
        <v>8</v>
      </c>
    </row>
    <row r="493" spans="1:4" s="409" customFormat="1" x14ac:dyDescent="0.4">
      <c r="A493" s="425" t="s">
        <v>1107</v>
      </c>
      <c r="B493" s="14" t="s">
        <v>1161</v>
      </c>
      <c r="C493" s="6" t="s">
        <v>5</v>
      </c>
      <c r="D493" s="328">
        <v>8</v>
      </c>
    </row>
    <row r="494" spans="1:4" s="409" customFormat="1" x14ac:dyDescent="0.4">
      <c r="A494" s="425" t="s">
        <v>1109</v>
      </c>
      <c r="B494" s="427" t="s">
        <v>1227</v>
      </c>
      <c r="C494" s="6" t="s">
        <v>557</v>
      </c>
      <c r="D494" s="328">
        <v>6</v>
      </c>
    </row>
    <row r="495" spans="1:4" s="409" customFormat="1" x14ac:dyDescent="0.4">
      <c r="A495" s="425" t="s">
        <v>1111</v>
      </c>
      <c r="B495" s="427" t="s">
        <v>1228</v>
      </c>
      <c r="C495" s="6" t="s">
        <v>557</v>
      </c>
      <c r="D495" s="328">
        <v>1</v>
      </c>
    </row>
    <row r="496" spans="1:4" s="409" customFormat="1" x14ac:dyDescent="0.4">
      <c r="A496" s="425" t="s">
        <v>1113</v>
      </c>
      <c r="B496" s="427" t="s">
        <v>1229</v>
      </c>
      <c r="C496" s="6" t="s">
        <v>557</v>
      </c>
      <c r="D496" s="328">
        <v>2</v>
      </c>
    </row>
    <row r="497" spans="1:4" s="409" customFormat="1" x14ac:dyDescent="0.4">
      <c r="A497" s="425" t="s">
        <v>1115</v>
      </c>
      <c r="B497" s="427" t="s">
        <v>1230</v>
      </c>
      <c r="C497" s="6" t="s">
        <v>557</v>
      </c>
      <c r="D497" s="328">
        <v>2</v>
      </c>
    </row>
    <row r="498" spans="1:4" s="409" customFormat="1" x14ac:dyDescent="0.4">
      <c r="A498" s="425" t="s">
        <v>1117</v>
      </c>
      <c r="B498" s="427" t="s">
        <v>1231</v>
      </c>
      <c r="C498" s="6" t="s">
        <v>557</v>
      </c>
      <c r="D498" s="328">
        <v>4</v>
      </c>
    </row>
    <row r="499" spans="1:4" s="409" customFormat="1" x14ac:dyDescent="0.4">
      <c r="A499" s="425" t="s">
        <v>1119</v>
      </c>
      <c r="B499" s="427" t="s">
        <v>1232</v>
      </c>
      <c r="C499" s="6" t="s">
        <v>557</v>
      </c>
      <c r="D499" s="328">
        <v>2</v>
      </c>
    </row>
    <row r="500" spans="1:4" s="409" customFormat="1" x14ac:dyDescent="0.4">
      <c r="A500" s="425" t="s">
        <v>1139</v>
      </c>
      <c r="B500" s="427" t="s">
        <v>1233</v>
      </c>
      <c r="C500" s="6" t="s">
        <v>557</v>
      </c>
      <c r="D500" s="328">
        <v>1</v>
      </c>
    </row>
    <row r="501" spans="1:4" s="409" customFormat="1" x14ac:dyDescent="0.4">
      <c r="A501" s="425" t="s">
        <v>1141</v>
      </c>
      <c r="B501" s="427" t="s">
        <v>1234</v>
      </c>
      <c r="C501" s="6" t="s">
        <v>557</v>
      </c>
      <c r="D501" s="328">
        <v>1</v>
      </c>
    </row>
    <row r="502" spans="1:4" s="409" customFormat="1" x14ac:dyDescent="0.4">
      <c r="A502" s="425" t="s">
        <v>1142</v>
      </c>
      <c r="B502" s="427" t="s">
        <v>1235</v>
      </c>
      <c r="C502" s="6" t="s">
        <v>557</v>
      </c>
      <c r="D502" s="328">
        <v>1</v>
      </c>
    </row>
    <row r="503" spans="1:4" x14ac:dyDescent="0.4">
      <c r="A503" s="307" t="s">
        <v>1144</v>
      </c>
      <c r="B503" s="306" t="s">
        <v>1236</v>
      </c>
      <c r="C503" s="28" t="s">
        <v>557</v>
      </c>
      <c r="D503" s="291">
        <v>2</v>
      </c>
    </row>
    <row r="504" spans="1:4" x14ac:dyDescent="0.4">
      <c r="A504" s="307" t="s">
        <v>1146</v>
      </c>
      <c r="B504" s="306" t="s">
        <v>1237</v>
      </c>
      <c r="C504" s="28" t="s">
        <v>557</v>
      </c>
      <c r="D504" s="291">
        <v>10</v>
      </c>
    </row>
    <row r="505" spans="1:4" x14ac:dyDescent="0.4">
      <c r="A505" s="161"/>
      <c r="B505" s="130"/>
      <c r="C505" s="28"/>
      <c r="D505" s="130"/>
    </row>
    <row r="506" spans="1:4" ht="14.7" x14ac:dyDescent="0.4">
      <c r="A506" s="161"/>
      <c r="B506" s="437" t="s">
        <v>1266</v>
      </c>
      <c r="C506" s="130"/>
      <c r="D506" s="130"/>
    </row>
    <row r="507" spans="1:4" x14ac:dyDescent="0.4">
      <c r="A507" s="161"/>
      <c r="B507" s="130"/>
      <c r="C507" s="28"/>
      <c r="D507" s="130"/>
    </row>
    <row r="508" spans="1:4" x14ac:dyDescent="0.4">
      <c r="A508" s="216" t="s">
        <v>7</v>
      </c>
      <c r="B508" s="39" t="s">
        <v>1123</v>
      </c>
      <c r="C508" s="39" t="s">
        <v>1124</v>
      </c>
      <c r="D508" s="39" t="s">
        <v>1125</v>
      </c>
    </row>
    <row r="509" spans="1:4" x14ac:dyDescent="0.4">
      <c r="A509" s="307" t="s">
        <v>1098</v>
      </c>
      <c r="B509" s="306" t="s">
        <v>1223</v>
      </c>
      <c r="C509" s="28" t="s">
        <v>1121</v>
      </c>
      <c r="D509" s="291">
        <v>60</v>
      </c>
    </row>
    <row r="510" spans="1:4" x14ac:dyDescent="0.4">
      <c r="A510" s="307" t="s">
        <v>1100</v>
      </c>
      <c r="B510" s="306" t="s">
        <v>1238</v>
      </c>
      <c r="C510" s="28" t="s">
        <v>1121</v>
      </c>
      <c r="D510" s="291">
        <v>60</v>
      </c>
    </row>
    <row r="511" spans="1:4" x14ac:dyDescent="0.4">
      <c r="A511" s="307" t="s">
        <v>1103</v>
      </c>
      <c r="B511" s="306" t="s">
        <v>1224</v>
      </c>
      <c r="C511" s="28" t="s">
        <v>1121</v>
      </c>
      <c r="D511" s="291">
        <v>80</v>
      </c>
    </row>
    <row r="512" spans="1:4" x14ac:dyDescent="0.4">
      <c r="A512" s="307" t="s">
        <v>1105</v>
      </c>
      <c r="B512" s="306" t="s">
        <v>1225</v>
      </c>
      <c r="C512" s="28" t="s">
        <v>1121</v>
      </c>
      <c r="D512" s="291">
        <v>80</v>
      </c>
    </row>
    <row r="513" spans="1:4" x14ac:dyDescent="0.4">
      <c r="A513" s="307" t="s">
        <v>1107</v>
      </c>
      <c r="B513" s="306" t="s">
        <v>1239</v>
      </c>
      <c r="C513" s="28" t="s">
        <v>1121</v>
      </c>
      <c r="D513" s="291">
        <v>6</v>
      </c>
    </row>
    <row r="514" spans="1:4" x14ac:dyDescent="0.4">
      <c r="A514" s="307" t="s">
        <v>1109</v>
      </c>
      <c r="B514" s="36" t="s">
        <v>1226</v>
      </c>
      <c r="C514" s="28" t="s">
        <v>5</v>
      </c>
      <c r="D514" s="291">
        <v>16</v>
      </c>
    </row>
    <row r="515" spans="1:4" x14ac:dyDescent="0.4">
      <c r="A515" s="307" t="s">
        <v>1111</v>
      </c>
      <c r="B515" s="36" t="s">
        <v>1161</v>
      </c>
      <c r="C515" s="28" t="s">
        <v>5</v>
      </c>
      <c r="D515" s="291">
        <v>16</v>
      </c>
    </row>
    <row r="516" spans="1:4" x14ac:dyDescent="0.4">
      <c r="A516" s="307" t="s">
        <v>1113</v>
      </c>
      <c r="B516" s="306" t="s">
        <v>1227</v>
      </c>
      <c r="C516" s="28" t="s">
        <v>557</v>
      </c>
      <c r="D516" s="291">
        <v>24</v>
      </c>
    </row>
    <row r="517" spans="1:4" x14ac:dyDescent="0.4">
      <c r="A517" s="307" t="s">
        <v>1115</v>
      </c>
      <c r="B517" s="306" t="s">
        <v>1240</v>
      </c>
      <c r="C517" s="28" t="s">
        <v>557</v>
      </c>
      <c r="D517" s="291">
        <v>25</v>
      </c>
    </row>
    <row r="518" spans="1:4" x14ac:dyDescent="0.4">
      <c r="A518" s="307" t="s">
        <v>1117</v>
      </c>
      <c r="B518" s="306" t="s">
        <v>1241</v>
      </c>
      <c r="C518" s="28" t="s">
        <v>557</v>
      </c>
      <c r="D518" s="291">
        <v>5</v>
      </c>
    </row>
    <row r="519" spans="1:4" x14ac:dyDescent="0.4">
      <c r="A519" s="307" t="s">
        <v>1119</v>
      </c>
      <c r="B519" s="306" t="s">
        <v>1242</v>
      </c>
      <c r="C519" s="28" t="s">
        <v>557</v>
      </c>
      <c r="D519" s="291">
        <v>3</v>
      </c>
    </row>
    <row r="520" spans="1:4" x14ac:dyDescent="0.4">
      <c r="A520" s="307" t="s">
        <v>1139</v>
      </c>
      <c r="B520" s="306" t="s">
        <v>1243</v>
      </c>
      <c r="C520" s="28" t="s">
        <v>557</v>
      </c>
      <c r="D520" s="291">
        <v>7</v>
      </c>
    </row>
    <row r="521" spans="1:4" x14ac:dyDescent="0.4">
      <c r="A521" s="307" t="s">
        <v>1141</v>
      </c>
      <c r="B521" s="306" t="s">
        <v>1231</v>
      </c>
      <c r="C521" s="28" t="s">
        <v>557</v>
      </c>
      <c r="D521" s="291">
        <v>8</v>
      </c>
    </row>
    <row r="522" spans="1:4" x14ac:dyDescent="0.4">
      <c r="A522" s="307" t="s">
        <v>1142</v>
      </c>
      <c r="B522" s="306" t="s">
        <v>1232</v>
      </c>
      <c r="C522" s="28" t="s">
        <v>557</v>
      </c>
      <c r="D522" s="291">
        <v>2</v>
      </c>
    </row>
    <row r="523" spans="1:4" x14ac:dyDescent="0.4">
      <c r="A523" s="307" t="s">
        <v>1144</v>
      </c>
      <c r="B523" s="306" t="s">
        <v>1233</v>
      </c>
      <c r="C523" s="28" t="s">
        <v>557</v>
      </c>
      <c r="D523" s="291">
        <v>2</v>
      </c>
    </row>
    <row r="524" spans="1:4" x14ac:dyDescent="0.4">
      <c r="A524" s="307" t="s">
        <v>1146</v>
      </c>
      <c r="B524" s="306" t="s">
        <v>1234</v>
      </c>
      <c r="C524" s="28" t="s">
        <v>557</v>
      </c>
      <c r="D524" s="291">
        <v>11</v>
      </c>
    </row>
    <row r="525" spans="1:4" x14ac:dyDescent="0.4">
      <c r="A525" s="307" t="s">
        <v>1148</v>
      </c>
      <c r="B525" s="306" t="s">
        <v>1244</v>
      </c>
      <c r="C525" s="28" t="s">
        <v>557</v>
      </c>
      <c r="D525" s="291">
        <v>6</v>
      </c>
    </row>
    <row r="526" spans="1:4" x14ac:dyDescent="0.4">
      <c r="A526" s="307" t="s">
        <v>1170</v>
      </c>
      <c r="B526" s="306" t="s">
        <v>1235</v>
      </c>
      <c r="C526" s="28" t="s">
        <v>557</v>
      </c>
      <c r="D526" s="291">
        <v>2</v>
      </c>
    </row>
    <row r="527" spans="1:4" x14ac:dyDescent="0.4">
      <c r="A527" s="307" t="s">
        <v>1181</v>
      </c>
      <c r="B527" s="306" t="s">
        <v>1245</v>
      </c>
      <c r="C527" s="28" t="s">
        <v>557</v>
      </c>
      <c r="D527" s="291">
        <v>10</v>
      </c>
    </row>
    <row r="528" spans="1:4" x14ac:dyDescent="0.4">
      <c r="A528" s="307" t="s">
        <v>1183</v>
      </c>
      <c r="B528" s="306" t="s">
        <v>1236</v>
      </c>
      <c r="C528" s="28" t="s">
        <v>557</v>
      </c>
      <c r="D528" s="291">
        <v>20</v>
      </c>
    </row>
    <row r="529" spans="1:4" x14ac:dyDescent="0.4">
      <c r="A529" s="192"/>
      <c r="B529" s="194"/>
      <c r="C529" s="123"/>
      <c r="D529" s="62"/>
    </row>
    <row r="530" spans="1:4" ht="14.7" x14ac:dyDescent="0.4">
      <c r="A530" s="161"/>
      <c r="B530" s="437" t="s">
        <v>1246</v>
      </c>
      <c r="C530" s="285"/>
      <c r="D530" s="62"/>
    </row>
    <row r="531" spans="1:4" x14ac:dyDescent="0.4">
      <c r="A531" s="161"/>
      <c r="B531" s="285"/>
      <c r="C531" s="285"/>
      <c r="D531" s="62"/>
    </row>
    <row r="532" spans="1:4" x14ac:dyDescent="0.4">
      <c r="A532" s="315" t="s">
        <v>1090</v>
      </c>
      <c r="B532" s="281" t="s">
        <v>1091</v>
      </c>
      <c r="C532" s="285" t="s">
        <v>1247</v>
      </c>
      <c r="D532" s="39" t="s">
        <v>1125</v>
      </c>
    </row>
    <row r="533" spans="1:4" ht="27.6" x14ac:dyDescent="0.4">
      <c r="A533" s="308">
        <v>1</v>
      </c>
      <c r="B533" s="317" t="s">
        <v>1267</v>
      </c>
      <c r="C533" s="285"/>
      <c r="D533" s="62"/>
    </row>
    <row r="534" spans="1:4" x14ac:dyDescent="0.4">
      <c r="A534" s="315"/>
      <c r="B534" s="317" t="s">
        <v>1249</v>
      </c>
      <c r="C534" s="281" t="s">
        <v>1102</v>
      </c>
      <c r="D534" s="24">
        <f>'Подробна КС- част ВиК'!H183</f>
        <v>564.50630000000001</v>
      </c>
    </row>
    <row r="535" spans="1:4" x14ac:dyDescent="0.4">
      <c r="A535" s="308">
        <v>2</v>
      </c>
      <c r="B535" s="317" t="s">
        <v>1101</v>
      </c>
      <c r="C535" s="281" t="s">
        <v>1102</v>
      </c>
      <c r="D535" s="24">
        <f>'Подробна КС- част ВиК'!H184</f>
        <v>40.77000000000001</v>
      </c>
    </row>
    <row r="536" spans="1:4" x14ac:dyDescent="0.4">
      <c r="A536" s="308">
        <v>3</v>
      </c>
      <c r="B536" s="317" t="s">
        <v>1251</v>
      </c>
      <c r="C536" s="281" t="s">
        <v>1102</v>
      </c>
      <c r="D536" s="24">
        <f>'Подробна КС- част ВиК'!H185</f>
        <v>523.74</v>
      </c>
    </row>
    <row r="537" spans="1:4" x14ac:dyDescent="0.4">
      <c r="A537" s="308">
        <v>4</v>
      </c>
      <c r="B537" s="317" t="s">
        <v>1252</v>
      </c>
      <c r="C537" s="281" t="s">
        <v>1102</v>
      </c>
      <c r="D537" s="24">
        <f>'Подробна КС- част ВиК'!H186</f>
        <v>523.74</v>
      </c>
    </row>
    <row r="538" spans="1:4" x14ac:dyDescent="0.4">
      <c r="A538" s="308">
        <v>5</v>
      </c>
      <c r="B538" s="317" t="s">
        <v>1253</v>
      </c>
      <c r="C538" s="281" t="s">
        <v>1121</v>
      </c>
      <c r="D538" s="24">
        <f>'Подробна КС- част ВиК'!H187</f>
        <v>220</v>
      </c>
    </row>
    <row r="539" spans="1:4" x14ac:dyDescent="0.4">
      <c r="A539" s="308">
        <v>6</v>
      </c>
      <c r="B539" s="317" t="s">
        <v>1254</v>
      </c>
      <c r="C539" s="281" t="s">
        <v>1121</v>
      </c>
      <c r="D539" s="24">
        <f>'Подробна КС- част ВиК'!H188</f>
        <v>80</v>
      </c>
    </row>
    <row r="540" spans="1:4" x14ac:dyDescent="0.4">
      <c r="A540" s="308">
        <v>7</v>
      </c>
      <c r="B540" s="317" t="s">
        <v>1255</v>
      </c>
      <c r="C540" s="281" t="s">
        <v>1121</v>
      </c>
      <c r="D540" s="24">
        <f>'Подробна КС- част ВиК'!H189</f>
        <v>6</v>
      </c>
    </row>
    <row r="541" spans="1:4" x14ac:dyDescent="0.4">
      <c r="A541" s="308">
        <v>8</v>
      </c>
      <c r="B541" s="317" t="s">
        <v>1256</v>
      </c>
      <c r="C541" s="281" t="s">
        <v>1121</v>
      </c>
      <c r="D541" s="24">
        <f>'Подробна КС- част ВиК'!H190</f>
        <v>20</v>
      </c>
    </row>
    <row r="542" spans="1:4" x14ac:dyDescent="0.4">
      <c r="A542" s="308">
        <v>9</v>
      </c>
      <c r="B542" s="317" t="s">
        <v>1257</v>
      </c>
      <c r="C542" s="281" t="s">
        <v>1121</v>
      </c>
      <c r="D542" s="24">
        <f>'Подробна КС- част ВиК'!H191</f>
        <v>65</v>
      </c>
    </row>
    <row r="543" spans="1:4" x14ac:dyDescent="0.4">
      <c r="A543" s="308">
        <v>10</v>
      </c>
      <c r="B543" s="317" t="s">
        <v>1258</v>
      </c>
      <c r="C543" s="281" t="s">
        <v>557</v>
      </c>
      <c r="D543" s="24">
        <f>'Подробна КС- част ВиК'!H192</f>
        <v>4</v>
      </c>
    </row>
    <row r="544" spans="1:4" x14ac:dyDescent="0.4">
      <c r="A544" s="308">
        <v>11</v>
      </c>
      <c r="B544" s="317" t="s">
        <v>1259</v>
      </c>
      <c r="C544" s="281" t="s">
        <v>557</v>
      </c>
      <c r="D544" s="24">
        <f>'Подробна КС- част ВиК'!H193</f>
        <v>17</v>
      </c>
    </row>
    <row r="545" spans="1:4" x14ac:dyDescent="0.4">
      <c r="A545" s="308">
        <v>12</v>
      </c>
      <c r="B545" s="317" t="s">
        <v>1260</v>
      </c>
      <c r="C545" s="281" t="s">
        <v>557</v>
      </c>
      <c r="D545" s="24">
        <f>'Подробна КС- част ВиК'!H194</f>
        <v>1</v>
      </c>
    </row>
    <row r="546" spans="1:4" x14ac:dyDescent="0.4">
      <c r="A546" s="308">
        <v>13</v>
      </c>
      <c r="B546" s="317" t="s">
        <v>1261</v>
      </c>
      <c r="C546" s="281" t="s">
        <v>5</v>
      </c>
      <c r="D546" s="24">
        <f>'Подробна КС- част ВиК'!H195</f>
        <v>302</v>
      </c>
    </row>
    <row r="549" spans="1:4" ht="17.399999999999999" x14ac:dyDescent="0.4">
      <c r="B549" s="456" t="s">
        <v>1278</v>
      </c>
      <c r="C549" s="456"/>
    </row>
    <row r="551" spans="1:4" x14ac:dyDescent="0.4">
      <c r="A551" s="137" t="s">
        <v>7</v>
      </c>
      <c r="B551" s="31" t="s">
        <v>807</v>
      </c>
      <c r="C551" s="341" t="s">
        <v>808</v>
      </c>
      <c r="D551" s="40" t="s">
        <v>809</v>
      </c>
    </row>
    <row r="552" spans="1:4" x14ac:dyDescent="0.4">
      <c r="A552" s="264"/>
      <c r="B552" s="339" t="s">
        <v>810</v>
      </c>
      <c r="C552" s="224"/>
      <c r="D552" s="224"/>
    </row>
    <row r="553" spans="1:4" ht="27.6" x14ac:dyDescent="0.4">
      <c r="A553" s="132">
        <v>1</v>
      </c>
      <c r="B553" s="252" t="s">
        <v>811</v>
      </c>
      <c r="C553" s="28" t="s">
        <v>557</v>
      </c>
      <c r="D553" s="28">
        <v>9</v>
      </c>
    </row>
    <row r="554" spans="1:4" x14ac:dyDescent="0.4">
      <c r="A554" s="132">
        <v>2</v>
      </c>
      <c r="B554" s="252" t="s">
        <v>812</v>
      </c>
      <c r="C554" s="28" t="s">
        <v>557</v>
      </c>
      <c r="D554" s="28">
        <v>4</v>
      </c>
    </row>
    <row r="555" spans="1:4" x14ac:dyDescent="0.4">
      <c r="A555" s="132">
        <v>3</v>
      </c>
      <c r="B555" s="252" t="s">
        <v>813</v>
      </c>
      <c r="C555" s="28" t="s">
        <v>557</v>
      </c>
      <c r="D555" s="28">
        <v>7</v>
      </c>
    </row>
    <row r="556" spans="1:4" x14ac:dyDescent="0.4">
      <c r="A556" s="132">
        <v>4</v>
      </c>
      <c r="B556" s="252" t="s">
        <v>814</v>
      </c>
      <c r="C556" s="28" t="s">
        <v>557</v>
      </c>
      <c r="D556" s="28">
        <v>4</v>
      </c>
    </row>
    <row r="557" spans="1:4" x14ac:dyDescent="0.4">
      <c r="A557" s="132">
        <v>5</v>
      </c>
      <c r="B557" s="252" t="s">
        <v>815</v>
      </c>
      <c r="C557" s="28" t="s">
        <v>557</v>
      </c>
      <c r="D557" s="28">
        <v>2</v>
      </c>
    </row>
    <row r="558" spans="1:4" ht="27.6" x14ac:dyDescent="0.4">
      <c r="A558" s="132">
        <v>6</v>
      </c>
      <c r="B558" s="252" t="s">
        <v>1025</v>
      </c>
      <c r="C558" s="28" t="s">
        <v>557</v>
      </c>
      <c r="D558" s="28">
        <v>86</v>
      </c>
    </row>
    <row r="559" spans="1:4" ht="27.6" x14ac:dyDescent="0.4">
      <c r="A559" s="132">
        <v>7</v>
      </c>
      <c r="B559" s="252" t="s">
        <v>1026</v>
      </c>
      <c r="C559" s="28" t="s">
        <v>557</v>
      </c>
      <c r="D559" s="28">
        <v>34</v>
      </c>
    </row>
    <row r="560" spans="1:4" ht="27.6" x14ac:dyDescent="0.4">
      <c r="A560" s="132">
        <v>8</v>
      </c>
      <c r="B560" s="252" t="s">
        <v>1027</v>
      </c>
      <c r="C560" s="28" t="s">
        <v>557</v>
      </c>
      <c r="D560" s="28">
        <v>73</v>
      </c>
    </row>
    <row r="561" spans="1:4" ht="27.6" x14ac:dyDescent="0.4">
      <c r="A561" s="132">
        <v>9</v>
      </c>
      <c r="B561" s="252" t="s">
        <v>1028</v>
      </c>
      <c r="C561" s="28" t="s">
        <v>557</v>
      </c>
      <c r="D561" s="28">
        <v>31</v>
      </c>
    </row>
    <row r="562" spans="1:4" x14ac:dyDescent="0.4">
      <c r="A562" s="132">
        <v>10</v>
      </c>
      <c r="B562" s="252" t="s">
        <v>1023</v>
      </c>
      <c r="C562" s="28" t="s">
        <v>557</v>
      </c>
      <c r="D562" s="28">
        <v>2</v>
      </c>
    </row>
    <row r="563" spans="1:4" ht="27.6" x14ac:dyDescent="0.4">
      <c r="A563" s="132">
        <v>11</v>
      </c>
      <c r="B563" s="252" t="s">
        <v>1021</v>
      </c>
      <c r="C563" s="28" t="s">
        <v>557</v>
      </c>
      <c r="D563" s="28">
        <v>55</v>
      </c>
    </row>
    <row r="564" spans="1:4" x14ac:dyDescent="0.4">
      <c r="A564" s="132">
        <v>12</v>
      </c>
      <c r="B564" s="252" t="s">
        <v>1022</v>
      </c>
      <c r="C564" s="28" t="s">
        <v>557</v>
      </c>
      <c r="D564" s="28">
        <v>10</v>
      </c>
    </row>
    <row r="565" spans="1:4" x14ac:dyDescent="0.4">
      <c r="A565" s="132">
        <v>13</v>
      </c>
      <c r="B565" s="252" t="s">
        <v>816</v>
      </c>
      <c r="C565" s="28" t="s">
        <v>557</v>
      </c>
      <c r="D565" s="28">
        <v>3</v>
      </c>
    </row>
    <row r="566" spans="1:4" x14ac:dyDescent="0.4">
      <c r="A566" s="132">
        <v>14</v>
      </c>
      <c r="B566" s="252" t="s">
        <v>817</v>
      </c>
      <c r="C566" s="28" t="s">
        <v>557</v>
      </c>
      <c r="D566" s="28">
        <v>15</v>
      </c>
    </row>
    <row r="567" spans="1:4" ht="27.6" x14ac:dyDescent="0.4">
      <c r="A567" s="132">
        <v>15</v>
      </c>
      <c r="B567" s="252" t="s">
        <v>818</v>
      </c>
      <c r="C567" s="28" t="s">
        <v>557</v>
      </c>
      <c r="D567" s="28">
        <v>26</v>
      </c>
    </row>
    <row r="568" spans="1:4" x14ac:dyDescent="0.4">
      <c r="A568" s="132">
        <v>16</v>
      </c>
      <c r="B568" s="252" t="s">
        <v>1024</v>
      </c>
      <c r="C568" s="28" t="s">
        <v>557</v>
      </c>
      <c r="D568" s="28">
        <v>2</v>
      </c>
    </row>
    <row r="569" spans="1:4" ht="27.6" x14ac:dyDescent="0.4">
      <c r="A569" s="132">
        <v>17</v>
      </c>
      <c r="B569" s="252" t="s">
        <v>819</v>
      </c>
      <c r="C569" s="28" t="s">
        <v>557</v>
      </c>
      <c r="D569" s="28">
        <v>29</v>
      </c>
    </row>
    <row r="570" spans="1:4" ht="27.6" x14ac:dyDescent="0.4">
      <c r="A570" s="132">
        <v>18</v>
      </c>
      <c r="B570" s="252" t="s">
        <v>820</v>
      </c>
      <c r="C570" s="28" t="s">
        <v>557</v>
      </c>
      <c r="D570" s="28">
        <v>17</v>
      </c>
    </row>
    <row r="571" spans="1:4" ht="27.6" x14ac:dyDescent="0.4">
      <c r="A571" s="132">
        <v>19</v>
      </c>
      <c r="B571" s="252" t="s">
        <v>821</v>
      </c>
      <c r="C571" s="28" t="s">
        <v>557</v>
      </c>
      <c r="D571" s="28">
        <v>6</v>
      </c>
    </row>
    <row r="572" spans="1:4" x14ac:dyDescent="0.4">
      <c r="A572" s="132">
        <v>20</v>
      </c>
      <c r="B572" s="252" t="s">
        <v>822</v>
      </c>
      <c r="C572" s="28" t="s">
        <v>557</v>
      </c>
      <c r="D572" s="28">
        <v>1</v>
      </c>
    </row>
    <row r="573" spans="1:4" ht="27.6" x14ac:dyDescent="0.4">
      <c r="A573" s="132">
        <v>21</v>
      </c>
      <c r="B573" s="252" t="s">
        <v>1029</v>
      </c>
      <c r="C573" s="28" t="s">
        <v>557</v>
      </c>
      <c r="D573" s="28">
        <v>5</v>
      </c>
    </row>
    <row r="574" spans="1:4" x14ac:dyDescent="0.4">
      <c r="A574" s="132">
        <v>22</v>
      </c>
      <c r="B574" s="252" t="s">
        <v>823</v>
      </c>
      <c r="C574" s="28" t="s">
        <v>557</v>
      </c>
      <c r="D574" s="28">
        <v>70</v>
      </c>
    </row>
    <row r="575" spans="1:4" x14ac:dyDescent="0.4">
      <c r="A575" s="132">
        <v>23</v>
      </c>
      <c r="B575" s="252" t="s">
        <v>824</v>
      </c>
      <c r="C575" s="28" t="s">
        <v>557</v>
      </c>
      <c r="D575" s="28">
        <v>32</v>
      </c>
    </row>
    <row r="576" spans="1:4" x14ac:dyDescent="0.4">
      <c r="A576" s="132">
        <v>24</v>
      </c>
      <c r="B576" s="252" t="s">
        <v>825</v>
      </c>
      <c r="C576" s="28" t="s">
        <v>557</v>
      </c>
      <c r="D576" s="28">
        <v>3</v>
      </c>
    </row>
    <row r="577" spans="1:4" x14ac:dyDescent="0.4">
      <c r="A577" s="132">
        <v>25</v>
      </c>
      <c r="B577" s="252" t="s">
        <v>826</v>
      </c>
      <c r="C577" s="28" t="s">
        <v>557</v>
      </c>
      <c r="D577" s="28">
        <v>2</v>
      </c>
    </row>
    <row r="578" spans="1:4" x14ac:dyDescent="0.4">
      <c r="A578" s="132">
        <v>26</v>
      </c>
      <c r="B578" s="252" t="s">
        <v>827</v>
      </c>
      <c r="C578" s="28" t="s">
        <v>557</v>
      </c>
      <c r="D578" s="28">
        <v>27</v>
      </c>
    </row>
    <row r="579" spans="1:4" x14ac:dyDescent="0.4">
      <c r="A579" s="132">
        <v>27</v>
      </c>
      <c r="B579" s="252" t="s">
        <v>828</v>
      </c>
      <c r="C579" s="28" t="s">
        <v>557</v>
      </c>
      <c r="D579" s="28">
        <v>17</v>
      </c>
    </row>
    <row r="580" spans="1:4" x14ac:dyDescent="0.4">
      <c r="A580" s="132">
        <v>28</v>
      </c>
      <c r="B580" s="252" t="s">
        <v>829</v>
      </c>
      <c r="C580" s="28" t="s">
        <v>557</v>
      </c>
      <c r="D580" s="28">
        <v>24</v>
      </c>
    </row>
    <row r="581" spans="1:4" x14ac:dyDescent="0.4">
      <c r="A581" s="132">
        <v>29</v>
      </c>
      <c r="B581" s="252" t="s">
        <v>830</v>
      </c>
      <c r="C581" s="28"/>
      <c r="D581" s="28">
        <v>1</v>
      </c>
    </row>
    <row r="582" spans="1:4" x14ac:dyDescent="0.4">
      <c r="A582" s="132">
        <v>30</v>
      </c>
      <c r="B582" s="252" t="s">
        <v>831</v>
      </c>
      <c r="C582" s="28" t="s">
        <v>557</v>
      </c>
      <c r="D582" s="28">
        <v>3</v>
      </c>
    </row>
    <row r="583" spans="1:4" x14ac:dyDescent="0.4">
      <c r="A583" s="132">
        <v>31</v>
      </c>
      <c r="B583" s="252" t="s">
        <v>832</v>
      </c>
      <c r="C583" s="28" t="s">
        <v>557</v>
      </c>
      <c r="D583" s="28">
        <v>6</v>
      </c>
    </row>
    <row r="584" spans="1:4" x14ac:dyDescent="0.4">
      <c r="A584" s="132">
        <v>32</v>
      </c>
      <c r="B584" s="252" t="s">
        <v>833</v>
      </c>
      <c r="C584" s="28" t="s">
        <v>557</v>
      </c>
      <c r="D584" s="28">
        <v>10</v>
      </c>
    </row>
    <row r="585" spans="1:4" x14ac:dyDescent="0.4">
      <c r="A585" s="132">
        <v>33</v>
      </c>
      <c r="B585" s="36" t="s">
        <v>834</v>
      </c>
      <c r="C585" s="28" t="s">
        <v>557</v>
      </c>
      <c r="D585" s="28">
        <v>4</v>
      </c>
    </row>
    <row r="586" spans="1:4" ht="27.6" x14ac:dyDescent="0.4">
      <c r="A586" s="132">
        <v>34</v>
      </c>
      <c r="B586" s="36" t="s">
        <v>1030</v>
      </c>
      <c r="C586" s="28" t="s">
        <v>557</v>
      </c>
      <c r="D586" s="28">
        <v>6</v>
      </c>
    </row>
    <row r="587" spans="1:4" x14ac:dyDescent="0.4">
      <c r="A587" s="132">
        <v>35</v>
      </c>
      <c r="B587" s="36" t="s">
        <v>835</v>
      </c>
      <c r="C587" s="28" t="s">
        <v>557</v>
      </c>
      <c r="D587" s="28">
        <v>1</v>
      </c>
    </row>
    <row r="588" spans="1:4" x14ac:dyDescent="0.4">
      <c r="A588" s="132">
        <v>36</v>
      </c>
      <c r="B588" s="252" t="s">
        <v>836</v>
      </c>
      <c r="C588" s="28" t="s">
        <v>557</v>
      </c>
      <c r="D588" s="28">
        <v>7</v>
      </c>
    </row>
    <row r="589" spans="1:4" x14ac:dyDescent="0.4">
      <c r="A589" s="132">
        <v>37</v>
      </c>
      <c r="B589" s="252" t="s">
        <v>837</v>
      </c>
      <c r="C589" s="28" t="s">
        <v>557</v>
      </c>
      <c r="D589" s="28">
        <v>4</v>
      </c>
    </row>
    <row r="590" spans="1:4" x14ac:dyDescent="0.4">
      <c r="A590" s="132">
        <v>38</v>
      </c>
      <c r="B590" s="252" t="s">
        <v>838</v>
      </c>
      <c r="C590" s="28" t="s">
        <v>557</v>
      </c>
      <c r="D590" s="28">
        <v>2</v>
      </c>
    </row>
    <row r="591" spans="1:4" x14ac:dyDescent="0.4">
      <c r="A591" s="132">
        <v>39</v>
      </c>
      <c r="B591" s="252" t="s">
        <v>839</v>
      </c>
      <c r="C591" s="28" t="s">
        <v>557</v>
      </c>
      <c r="D591" s="28">
        <v>4</v>
      </c>
    </row>
    <row r="592" spans="1:4" x14ac:dyDescent="0.4">
      <c r="A592" s="132">
        <v>40</v>
      </c>
      <c r="B592" s="252" t="s">
        <v>840</v>
      </c>
      <c r="C592" s="28" t="s">
        <v>557</v>
      </c>
      <c r="D592" s="28">
        <v>22</v>
      </c>
    </row>
    <row r="593" spans="1:4" x14ac:dyDescent="0.4">
      <c r="A593" s="132">
        <v>41</v>
      </c>
      <c r="B593" s="252" t="s">
        <v>841</v>
      </c>
      <c r="C593" s="28" t="s">
        <v>557</v>
      </c>
      <c r="D593" s="28">
        <v>172</v>
      </c>
    </row>
    <row r="594" spans="1:4" x14ac:dyDescent="0.4">
      <c r="A594" s="132">
        <v>42</v>
      </c>
      <c r="B594" s="252" t="s">
        <v>842</v>
      </c>
      <c r="C594" s="28" t="s">
        <v>557</v>
      </c>
      <c r="D594" s="28">
        <v>64</v>
      </c>
    </row>
    <row r="595" spans="1:4" x14ac:dyDescent="0.4">
      <c r="A595" s="132">
        <v>43</v>
      </c>
      <c r="B595" s="252" t="s">
        <v>843</v>
      </c>
      <c r="C595" s="28" t="s">
        <v>557</v>
      </c>
      <c r="D595" s="28">
        <v>67</v>
      </c>
    </row>
    <row r="596" spans="1:4" x14ac:dyDescent="0.4">
      <c r="A596" s="132">
        <v>44</v>
      </c>
      <c r="B596" s="252" t="s">
        <v>844</v>
      </c>
      <c r="C596" s="28" t="s">
        <v>557</v>
      </c>
      <c r="D596" s="28">
        <v>6</v>
      </c>
    </row>
    <row r="597" spans="1:4" x14ac:dyDescent="0.4">
      <c r="A597" s="132">
        <v>45</v>
      </c>
      <c r="B597" s="252" t="s">
        <v>845</v>
      </c>
      <c r="C597" s="28" t="s">
        <v>557</v>
      </c>
      <c r="D597" s="28">
        <v>46</v>
      </c>
    </row>
    <row r="598" spans="1:4" ht="27.6" x14ac:dyDescent="0.4">
      <c r="A598" s="132">
        <v>46</v>
      </c>
      <c r="B598" s="252" t="s">
        <v>846</v>
      </c>
      <c r="C598" s="28" t="s">
        <v>557</v>
      </c>
      <c r="D598" s="28">
        <v>6</v>
      </c>
    </row>
    <row r="599" spans="1:4" x14ac:dyDescent="0.4">
      <c r="A599" s="132">
        <v>47</v>
      </c>
      <c r="B599" s="252" t="s">
        <v>847</v>
      </c>
      <c r="C599" s="28" t="s">
        <v>557</v>
      </c>
      <c r="D599" s="28">
        <v>104</v>
      </c>
    </row>
    <row r="600" spans="1:4" x14ac:dyDescent="0.4">
      <c r="A600" s="132">
        <v>48</v>
      </c>
      <c r="B600" s="252" t="s">
        <v>848</v>
      </c>
      <c r="C600" s="28" t="s">
        <v>557</v>
      </c>
      <c r="D600" s="28">
        <v>16</v>
      </c>
    </row>
    <row r="601" spans="1:4" x14ac:dyDescent="0.4">
      <c r="A601" s="132">
        <v>49</v>
      </c>
      <c r="B601" s="252" t="s">
        <v>849</v>
      </c>
      <c r="C601" s="28" t="s">
        <v>557</v>
      </c>
      <c r="D601" s="28">
        <v>2</v>
      </c>
    </row>
    <row r="602" spans="1:4" ht="27.6" x14ac:dyDescent="0.4">
      <c r="A602" s="132">
        <v>50</v>
      </c>
      <c r="B602" s="252" t="s">
        <v>850</v>
      </c>
      <c r="C602" s="28" t="s">
        <v>557</v>
      </c>
      <c r="D602" s="28">
        <v>1</v>
      </c>
    </row>
    <row r="603" spans="1:4" x14ac:dyDescent="0.4">
      <c r="A603" s="132">
        <v>51</v>
      </c>
      <c r="B603" s="252" t="s">
        <v>851</v>
      </c>
      <c r="C603" s="28" t="s">
        <v>557</v>
      </c>
      <c r="D603" s="28">
        <v>4</v>
      </c>
    </row>
    <row r="604" spans="1:4" x14ac:dyDescent="0.4">
      <c r="A604" s="132">
        <v>52</v>
      </c>
      <c r="B604" s="252" t="s">
        <v>852</v>
      </c>
      <c r="C604" s="28" t="s">
        <v>557</v>
      </c>
      <c r="D604" s="28">
        <v>5</v>
      </c>
    </row>
    <row r="605" spans="1:4" x14ac:dyDescent="0.4">
      <c r="A605" s="132">
        <v>53</v>
      </c>
      <c r="B605" s="252" t="s">
        <v>853</v>
      </c>
      <c r="C605" s="28" t="s">
        <v>557</v>
      </c>
      <c r="D605" s="28">
        <v>2</v>
      </c>
    </row>
    <row r="606" spans="1:4" x14ac:dyDescent="0.4">
      <c r="A606" s="132">
        <v>54</v>
      </c>
      <c r="B606" s="252" t="s">
        <v>854</v>
      </c>
      <c r="C606" s="28" t="s">
        <v>557</v>
      </c>
      <c r="D606" s="28">
        <v>10</v>
      </c>
    </row>
    <row r="607" spans="1:4" x14ac:dyDescent="0.4">
      <c r="A607" s="132">
        <v>55</v>
      </c>
      <c r="B607" s="252" t="s">
        <v>855</v>
      </c>
      <c r="C607" s="28" t="s">
        <v>557</v>
      </c>
      <c r="D607" s="28">
        <v>2</v>
      </c>
    </row>
    <row r="608" spans="1:4" x14ac:dyDescent="0.4">
      <c r="A608" s="132">
        <v>56</v>
      </c>
      <c r="B608" s="252" t="s">
        <v>856</v>
      </c>
      <c r="C608" s="28" t="s">
        <v>5</v>
      </c>
      <c r="D608" s="28">
        <v>7</v>
      </c>
    </row>
    <row r="609" spans="1:4" x14ac:dyDescent="0.4">
      <c r="A609" s="132">
        <v>57</v>
      </c>
      <c r="B609" s="252" t="s">
        <v>857</v>
      </c>
      <c r="C609" s="28" t="s">
        <v>5</v>
      </c>
      <c r="D609" s="28">
        <v>180</v>
      </c>
    </row>
    <row r="610" spans="1:4" x14ac:dyDescent="0.4">
      <c r="A610" s="132">
        <v>58</v>
      </c>
      <c r="B610" s="252" t="s">
        <v>858</v>
      </c>
      <c r="C610" s="28" t="s">
        <v>5</v>
      </c>
      <c r="D610" s="28">
        <v>127</v>
      </c>
    </row>
    <row r="611" spans="1:4" x14ac:dyDescent="0.4">
      <c r="A611" s="132">
        <v>59</v>
      </c>
      <c r="B611" s="252" t="s">
        <v>859</v>
      </c>
      <c r="C611" s="28" t="s">
        <v>5</v>
      </c>
      <c r="D611" s="28">
        <v>60</v>
      </c>
    </row>
    <row r="612" spans="1:4" x14ac:dyDescent="0.4">
      <c r="A612" s="132">
        <v>60</v>
      </c>
      <c r="B612" s="252" t="s">
        <v>860</v>
      </c>
      <c r="C612" s="28" t="s">
        <v>5</v>
      </c>
      <c r="D612" s="28">
        <v>35</v>
      </c>
    </row>
    <row r="613" spans="1:4" x14ac:dyDescent="0.4">
      <c r="A613" s="132">
        <v>61</v>
      </c>
      <c r="B613" s="252" t="s">
        <v>861</v>
      </c>
      <c r="C613" s="28" t="s">
        <v>5</v>
      </c>
      <c r="D613" s="28">
        <v>10</v>
      </c>
    </row>
    <row r="614" spans="1:4" x14ac:dyDescent="0.4">
      <c r="A614" s="132">
        <v>62</v>
      </c>
      <c r="B614" s="252" t="s">
        <v>862</v>
      </c>
      <c r="C614" s="28" t="s">
        <v>5</v>
      </c>
      <c r="D614" s="28">
        <v>110</v>
      </c>
    </row>
    <row r="615" spans="1:4" x14ac:dyDescent="0.4">
      <c r="A615" s="132">
        <v>63</v>
      </c>
      <c r="B615" s="252" t="s">
        <v>863</v>
      </c>
      <c r="C615" s="28" t="s">
        <v>5</v>
      </c>
      <c r="D615" s="28">
        <v>40</v>
      </c>
    </row>
    <row r="616" spans="1:4" x14ac:dyDescent="0.4">
      <c r="A616" s="132">
        <v>64</v>
      </c>
      <c r="B616" s="252" t="s">
        <v>864</v>
      </c>
      <c r="C616" s="28" t="s">
        <v>5</v>
      </c>
      <c r="D616" s="28">
        <v>215</v>
      </c>
    </row>
    <row r="617" spans="1:4" x14ac:dyDescent="0.4">
      <c r="A617" s="132">
        <v>65</v>
      </c>
      <c r="B617" s="252" t="s">
        <v>865</v>
      </c>
      <c r="C617" s="28" t="s">
        <v>5</v>
      </c>
      <c r="D617" s="28">
        <v>9</v>
      </c>
    </row>
    <row r="618" spans="1:4" x14ac:dyDescent="0.4">
      <c r="A618" s="132">
        <v>66</v>
      </c>
      <c r="B618" s="252" t="s">
        <v>866</v>
      </c>
      <c r="C618" s="28" t="s">
        <v>5</v>
      </c>
      <c r="D618" s="28">
        <v>20</v>
      </c>
    </row>
    <row r="619" spans="1:4" x14ac:dyDescent="0.4">
      <c r="A619" s="132">
        <v>67</v>
      </c>
      <c r="B619" s="252" t="s">
        <v>867</v>
      </c>
      <c r="C619" s="28" t="s">
        <v>5</v>
      </c>
      <c r="D619" s="28">
        <v>8</v>
      </c>
    </row>
    <row r="620" spans="1:4" x14ac:dyDescent="0.4">
      <c r="A620" s="132">
        <v>68</v>
      </c>
      <c r="B620" s="252" t="s">
        <v>868</v>
      </c>
      <c r="C620" s="28" t="s">
        <v>5</v>
      </c>
      <c r="D620" s="28">
        <v>51</v>
      </c>
    </row>
    <row r="621" spans="1:4" x14ac:dyDescent="0.4">
      <c r="A621" s="132">
        <v>69</v>
      </c>
      <c r="B621" s="252" t="s">
        <v>869</v>
      </c>
      <c r="C621" s="28" t="s">
        <v>5</v>
      </c>
      <c r="D621" s="28">
        <v>28</v>
      </c>
    </row>
    <row r="622" spans="1:4" x14ac:dyDescent="0.4">
      <c r="A622" s="132">
        <v>70</v>
      </c>
      <c r="B622" s="252" t="s">
        <v>870</v>
      </c>
      <c r="C622" s="28" t="s">
        <v>5</v>
      </c>
      <c r="D622" s="28">
        <v>46</v>
      </c>
    </row>
    <row r="623" spans="1:4" x14ac:dyDescent="0.4">
      <c r="A623" s="132">
        <v>71</v>
      </c>
      <c r="B623" s="252" t="s">
        <v>871</v>
      </c>
      <c r="C623" s="28" t="s">
        <v>5</v>
      </c>
      <c r="D623" s="28">
        <v>76</v>
      </c>
    </row>
    <row r="624" spans="1:4" x14ac:dyDescent="0.4">
      <c r="A624" s="132">
        <v>72</v>
      </c>
      <c r="B624" s="252" t="s">
        <v>872</v>
      </c>
      <c r="C624" s="28" t="s">
        <v>5</v>
      </c>
      <c r="D624" s="28">
        <v>43</v>
      </c>
    </row>
    <row r="625" spans="1:4" x14ac:dyDescent="0.4">
      <c r="A625" s="132">
        <v>73</v>
      </c>
      <c r="B625" s="252" t="s">
        <v>873</v>
      </c>
      <c r="C625" s="28" t="s">
        <v>5</v>
      </c>
      <c r="D625" s="28">
        <v>125</v>
      </c>
    </row>
    <row r="626" spans="1:4" x14ac:dyDescent="0.4">
      <c r="A626" s="132">
        <v>74</v>
      </c>
      <c r="B626" s="252" t="s">
        <v>874</v>
      </c>
      <c r="C626" s="28" t="s">
        <v>5</v>
      </c>
      <c r="D626" s="28">
        <v>8</v>
      </c>
    </row>
    <row r="627" spans="1:4" x14ac:dyDescent="0.4">
      <c r="A627" s="132">
        <v>75</v>
      </c>
      <c r="B627" s="252" t="s">
        <v>875</v>
      </c>
      <c r="C627" s="28" t="s">
        <v>5</v>
      </c>
      <c r="D627" s="28">
        <v>35</v>
      </c>
    </row>
    <row r="628" spans="1:4" x14ac:dyDescent="0.4">
      <c r="A628" s="132">
        <v>76</v>
      </c>
      <c r="B628" s="252" t="s">
        <v>876</v>
      </c>
      <c r="C628" s="28" t="s">
        <v>5</v>
      </c>
      <c r="D628" s="28">
        <v>22</v>
      </c>
    </row>
    <row r="629" spans="1:4" x14ac:dyDescent="0.4">
      <c r="A629" s="132">
        <v>77</v>
      </c>
      <c r="B629" s="252" t="s">
        <v>877</v>
      </c>
      <c r="C629" s="28" t="s">
        <v>5</v>
      </c>
      <c r="D629" s="28">
        <v>1</v>
      </c>
    </row>
    <row r="630" spans="1:4" x14ac:dyDescent="0.4">
      <c r="A630" s="132">
        <v>78</v>
      </c>
      <c r="B630" s="252" t="s">
        <v>878</v>
      </c>
      <c r="C630" s="28" t="s">
        <v>5</v>
      </c>
      <c r="D630" s="28">
        <v>60</v>
      </c>
    </row>
    <row r="631" spans="1:4" x14ac:dyDescent="0.4">
      <c r="A631" s="132">
        <v>79</v>
      </c>
      <c r="B631" s="252" t="s">
        <v>879</v>
      </c>
      <c r="C631" s="28" t="s">
        <v>5</v>
      </c>
      <c r="D631" s="28">
        <v>42</v>
      </c>
    </row>
    <row r="632" spans="1:4" x14ac:dyDescent="0.4">
      <c r="A632" s="132">
        <v>80</v>
      </c>
      <c r="B632" s="252" t="s">
        <v>880</v>
      </c>
      <c r="C632" s="28" t="s">
        <v>5</v>
      </c>
      <c r="D632" s="28">
        <v>27</v>
      </c>
    </row>
    <row r="633" spans="1:4" x14ac:dyDescent="0.4">
      <c r="A633" s="132">
        <v>81</v>
      </c>
      <c r="B633" s="252" t="s">
        <v>881</v>
      </c>
      <c r="C633" s="28" t="s">
        <v>5</v>
      </c>
      <c r="D633" s="28">
        <v>8</v>
      </c>
    </row>
    <row r="634" spans="1:4" x14ac:dyDescent="0.4">
      <c r="A634" s="132">
        <v>82</v>
      </c>
      <c r="B634" s="252" t="s">
        <v>882</v>
      </c>
      <c r="C634" s="28" t="s">
        <v>5</v>
      </c>
      <c r="D634" s="28">
        <v>86</v>
      </c>
    </row>
    <row r="635" spans="1:4" x14ac:dyDescent="0.4">
      <c r="A635" s="132">
        <v>83</v>
      </c>
      <c r="B635" s="252" t="s">
        <v>883</v>
      </c>
      <c r="C635" s="28" t="s">
        <v>5</v>
      </c>
      <c r="D635" s="28">
        <v>17</v>
      </c>
    </row>
    <row r="636" spans="1:4" x14ac:dyDescent="0.4">
      <c r="A636" s="132">
        <v>84</v>
      </c>
      <c r="B636" s="252" t="s">
        <v>884</v>
      </c>
      <c r="C636" s="28" t="s">
        <v>5</v>
      </c>
      <c r="D636" s="28">
        <v>8</v>
      </c>
    </row>
    <row r="637" spans="1:4" x14ac:dyDescent="0.4">
      <c r="A637" s="132">
        <v>85</v>
      </c>
      <c r="B637" s="36" t="s">
        <v>885</v>
      </c>
      <c r="C637" s="28" t="s">
        <v>5</v>
      </c>
      <c r="D637" s="28">
        <v>140</v>
      </c>
    </row>
    <row r="638" spans="1:4" x14ac:dyDescent="0.4">
      <c r="A638" s="132">
        <v>86</v>
      </c>
      <c r="B638" s="252" t="s">
        <v>886</v>
      </c>
      <c r="C638" s="28" t="s">
        <v>557</v>
      </c>
      <c r="D638" s="28">
        <v>172</v>
      </c>
    </row>
    <row r="639" spans="1:4" x14ac:dyDescent="0.4">
      <c r="A639" s="132">
        <v>87</v>
      </c>
      <c r="B639" s="252" t="s">
        <v>887</v>
      </c>
      <c r="C639" s="28" t="s">
        <v>557</v>
      </c>
      <c r="D639" s="28">
        <v>170</v>
      </c>
    </row>
    <row r="640" spans="1:4" x14ac:dyDescent="0.4">
      <c r="A640" s="132">
        <v>88</v>
      </c>
      <c r="B640" s="252" t="s">
        <v>888</v>
      </c>
      <c r="C640" s="28" t="s">
        <v>557</v>
      </c>
      <c r="D640" s="28">
        <v>10</v>
      </c>
    </row>
    <row r="641" spans="1:4" x14ac:dyDescent="0.4">
      <c r="A641" s="132">
        <v>89</v>
      </c>
      <c r="B641" s="252" t="s">
        <v>889</v>
      </c>
      <c r="C641" s="28" t="s">
        <v>557</v>
      </c>
      <c r="D641" s="28">
        <v>61</v>
      </c>
    </row>
    <row r="642" spans="1:4" x14ac:dyDescent="0.4">
      <c r="A642" s="132">
        <v>90</v>
      </c>
      <c r="B642" s="252" t="s">
        <v>890</v>
      </c>
      <c r="C642" s="28" t="s">
        <v>557</v>
      </c>
      <c r="D642" s="28">
        <v>17</v>
      </c>
    </row>
    <row r="643" spans="1:4" x14ac:dyDescent="0.4">
      <c r="A643" s="132">
        <v>91</v>
      </c>
      <c r="B643" s="252" t="s">
        <v>891</v>
      </c>
      <c r="C643" s="28" t="s">
        <v>557</v>
      </c>
      <c r="D643" s="28">
        <v>2</v>
      </c>
    </row>
    <row r="644" spans="1:4" x14ac:dyDescent="0.4">
      <c r="A644" s="132">
        <v>92</v>
      </c>
      <c r="B644" s="252" t="s">
        <v>892</v>
      </c>
      <c r="C644" s="28" t="s">
        <v>5</v>
      </c>
      <c r="D644" s="28">
        <v>25</v>
      </c>
    </row>
    <row r="645" spans="1:4" x14ac:dyDescent="0.4">
      <c r="A645" s="132">
        <v>93</v>
      </c>
      <c r="B645" s="252" t="s">
        <v>893</v>
      </c>
      <c r="C645" s="28" t="s">
        <v>5</v>
      </c>
      <c r="D645" s="28">
        <v>25</v>
      </c>
    </row>
    <row r="646" spans="1:4" x14ac:dyDescent="0.4">
      <c r="A646" s="132">
        <v>94</v>
      </c>
      <c r="B646" s="252" t="s">
        <v>894</v>
      </c>
      <c r="C646" s="28" t="s">
        <v>5</v>
      </c>
      <c r="D646" s="28">
        <v>25</v>
      </c>
    </row>
    <row r="647" spans="1:4" x14ac:dyDescent="0.4">
      <c r="A647" s="132">
        <v>95</v>
      </c>
      <c r="B647" s="252" t="s">
        <v>895</v>
      </c>
      <c r="C647" s="28" t="s">
        <v>5</v>
      </c>
      <c r="D647" s="28">
        <v>25</v>
      </c>
    </row>
    <row r="648" spans="1:4" ht="27.6" x14ac:dyDescent="0.4">
      <c r="A648" s="132">
        <v>96</v>
      </c>
      <c r="B648" s="252" t="s">
        <v>896</v>
      </c>
      <c r="C648" s="28" t="s">
        <v>557</v>
      </c>
      <c r="D648" s="28">
        <v>1</v>
      </c>
    </row>
    <row r="649" spans="1:4" x14ac:dyDescent="0.4">
      <c r="A649" s="265"/>
      <c r="B649" s="340"/>
      <c r="C649" s="249"/>
      <c r="D649" s="249"/>
    </row>
    <row r="650" spans="1:4" x14ac:dyDescent="0.4">
      <c r="A650" s="338"/>
      <c r="B650" s="339" t="s">
        <v>897</v>
      </c>
      <c r="C650" s="224"/>
      <c r="D650" s="224"/>
    </row>
    <row r="651" spans="1:4" ht="27.6" x14ac:dyDescent="0.4">
      <c r="A651" s="132">
        <v>1</v>
      </c>
      <c r="B651" s="252" t="s">
        <v>898</v>
      </c>
      <c r="C651" s="28" t="s">
        <v>5</v>
      </c>
      <c r="D651" s="28">
        <v>85</v>
      </c>
    </row>
    <row r="652" spans="1:4" ht="41.4" x14ac:dyDescent="0.4">
      <c r="A652" s="132">
        <v>2</v>
      </c>
      <c r="B652" s="252" t="s">
        <v>899</v>
      </c>
      <c r="C652" s="28" t="s">
        <v>5</v>
      </c>
      <c r="D652" s="28">
        <v>10</v>
      </c>
    </row>
    <row r="653" spans="1:4" x14ac:dyDescent="0.4">
      <c r="A653" s="132">
        <v>3</v>
      </c>
      <c r="B653" s="252" t="s">
        <v>900</v>
      </c>
      <c r="C653" s="28" t="s">
        <v>557</v>
      </c>
      <c r="D653" s="28">
        <v>1</v>
      </c>
    </row>
    <row r="654" spans="1:4" x14ac:dyDescent="0.4">
      <c r="A654" s="132">
        <v>4</v>
      </c>
      <c r="B654" s="252" t="s">
        <v>901</v>
      </c>
      <c r="C654" s="28" t="s">
        <v>557</v>
      </c>
      <c r="D654" s="28">
        <v>1</v>
      </c>
    </row>
    <row r="655" spans="1:4" x14ac:dyDescent="0.4">
      <c r="A655" s="132">
        <v>5</v>
      </c>
      <c r="B655" s="252" t="s">
        <v>902</v>
      </c>
      <c r="C655" s="28" t="s">
        <v>5</v>
      </c>
      <c r="D655" s="28">
        <v>3</v>
      </c>
    </row>
    <row r="656" spans="1:4" x14ac:dyDescent="0.4">
      <c r="A656" s="132">
        <v>6</v>
      </c>
      <c r="B656" s="252" t="s">
        <v>903</v>
      </c>
      <c r="C656" s="28" t="s">
        <v>5</v>
      </c>
      <c r="D656" s="28">
        <v>9</v>
      </c>
    </row>
    <row r="657" spans="1:4" x14ac:dyDescent="0.4">
      <c r="A657" s="132">
        <v>7</v>
      </c>
      <c r="B657" s="252" t="s">
        <v>904</v>
      </c>
      <c r="C657" s="28" t="s">
        <v>5</v>
      </c>
      <c r="D657" s="28">
        <v>14</v>
      </c>
    </row>
    <row r="658" spans="1:4" x14ac:dyDescent="0.4">
      <c r="A658" s="132">
        <v>8</v>
      </c>
      <c r="B658" s="252" t="s">
        <v>905</v>
      </c>
      <c r="C658" s="28" t="s">
        <v>557</v>
      </c>
      <c r="D658" s="28">
        <v>2</v>
      </c>
    </row>
    <row r="659" spans="1:4" x14ac:dyDescent="0.4">
      <c r="A659" s="132">
        <v>9</v>
      </c>
      <c r="B659" s="252" t="s">
        <v>906</v>
      </c>
      <c r="C659" s="28" t="s">
        <v>557</v>
      </c>
      <c r="D659" s="28">
        <v>2</v>
      </c>
    </row>
    <row r="660" spans="1:4" x14ac:dyDescent="0.4">
      <c r="A660" s="132">
        <v>10</v>
      </c>
      <c r="B660" s="252" t="s">
        <v>1031</v>
      </c>
      <c r="C660" s="28" t="s">
        <v>907</v>
      </c>
      <c r="D660" s="28">
        <v>3</v>
      </c>
    </row>
    <row r="661" spans="1:4" x14ac:dyDescent="0.4">
      <c r="A661" s="132">
        <v>11</v>
      </c>
      <c r="B661" s="252" t="s">
        <v>908</v>
      </c>
      <c r="C661" s="28" t="s">
        <v>5</v>
      </c>
      <c r="D661" s="28">
        <v>15</v>
      </c>
    </row>
    <row r="662" spans="1:4" x14ac:dyDescent="0.4">
      <c r="A662" s="132">
        <v>12</v>
      </c>
      <c r="B662" s="252" t="s">
        <v>909</v>
      </c>
      <c r="C662" s="28" t="s">
        <v>557</v>
      </c>
      <c r="D662" s="28">
        <v>2</v>
      </c>
    </row>
    <row r="663" spans="1:4" x14ac:dyDescent="0.4">
      <c r="A663" s="132">
        <v>13</v>
      </c>
      <c r="B663" s="252" t="s">
        <v>910</v>
      </c>
      <c r="C663" s="28" t="s">
        <v>557</v>
      </c>
      <c r="D663" s="28">
        <v>1</v>
      </c>
    </row>
    <row r="664" spans="1:4" x14ac:dyDescent="0.4">
      <c r="A664" s="265"/>
      <c r="B664" s="340"/>
      <c r="C664" s="332"/>
      <c r="D664" s="332"/>
    </row>
    <row r="665" spans="1:4" ht="27.6" x14ac:dyDescent="0.4">
      <c r="A665" s="338"/>
      <c r="B665" s="334" t="s">
        <v>911</v>
      </c>
      <c r="C665" s="331"/>
      <c r="D665" s="331"/>
    </row>
    <row r="666" spans="1:4" x14ac:dyDescent="0.4">
      <c r="A666" s="132">
        <v>1</v>
      </c>
      <c r="B666" s="36" t="s">
        <v>912</v>
      </c>
      <c r="C666" s="28" t="s">
        <v>913</v>
      </c>
      <c r="D666" s="28">
        <v>0.375</v>
      </c>
    </row>
    <row r="667" spans="1:4" x14ac:dyDescent="0.4">
      <c r="A667" s="132">
        <v>2</v>
      </c>
      <c r="B667" s="36" t="s">
        <v>914</v>
      </c>
      <c r="C667" s="28" t="s">
        <v>5</v>
      </c>
      <c r="D667" s="28">
        <v>375</v>
      </c>
    </row>
    <row r="668" spans="1:4" x14ac:dyDescent="0.4">
      <c r="A668" s="132">
        <v>3</v>
      </c>
      <c r="B668" s="36" t="s">
        <v>915</v>
      </c>
      <c r="C668" s="28" t="s">
        <v>5</v>
      </c>
      <c r="D668" s="28">
        <v>375</v>
      </c>
    </row>
    <row r="669" spans="1:4" x14ac:dyDescent="0.4">
      <c r="A669" s="132">
        <v>4</v>
      </c>
      <c r="B669" s="36" t="s">
        <v>916</v>
      </c>
      <c r="C669" s="28" t="s">
        <v>5</v>
      </c>
      <c r="D669" s="28">
        <v>375</v>
      </c>
    </row>
    <row r="670" spans="1:4" x14ac:dyDescent="0.4">
      <c r="A670" s="132">
        <v>5</v>
      </c>
      <c r="B670" s="36" t="s">
        <v>917</v>
      </c>
      <c r="C670" s="28" t="s">
        <v>5</v>
      </c>
      <c r="D670" s="28">
        <v>82</v>
      </c>
    </row>
    <row r="671" spans="1:4" x14ac:dyDescent="0.4">
      <c r="A671" s="132">
        <v>6</v>
      </c>
      <c r="B671" s="36" t="s">
        <v>918</v>
      </c>
      <c r="C671" s="28" t="s">
        <v>5</v>
      </c>
      <c r="D671" s="28">
        <v>20</v>
      </c>
    </row>
    <row r="672" spans="1:4" x14ac:dyDescent="0.4">
      <c r="A672" s="132">
        <v>7</v>
      </c>
      <c r="B672" s="36" t="s">
        <v>919</v>
      </c>
      <c r="C672" s="28" t="s">
        <v>5</v>
      </c>
      <c r="D672" s="28">
        <v>20</v>
      </c>
    </row>
    <row r="673" spans="1:4" x14ac:dyDescent="0.4">
      <c r="A673" s="132">
        <v>8</v>
      </c>
      <c r="B673" s="36" t="s">
        <v>920</v>
      </c>
      <c r="C673" s="28" t="s">
        <v>5</v>
      </c>
      <c r="D673" s="28">
        <v>8</v>
      </c>
    </row>
    <row r="674" spans="1:4" x14ac:dyDescent="0.4">
      <c r="A674" s="132">
        <v>9</v>
      </c>
      <c r="B674" s="36" t="s">
        <v>921</v>
      </c>
      <c r="C674" s="28" t="s">
        <v>5</v>
      </c>
      <c r="D674" s="28">
        <v>88</v>
      </c>
    </row>
    <row r="675" spans="1:4" x14ac:dyDescent="0.4">
      <c r="A675" s="132">
        <v>10</v>
      </c>
      <c r="B675" s="36" t="s">
        <v>922</v>
      </c>
      <c r="C675" s="28" t="s">
        <v>5</v>
      </c>
      <c r="D675" s="28">
        <v>9</v>
      </c>
    </row>
    <row r="676" spans="1:4" x14ac:dyDescent="0.4">
      <c r="A676" s="132">
        <v>11</v>
      </c>
      <c r="B676" s="36" t="s">
        <v>923</v>
      </c>
      <c r="C676" s="28" t="s">
        <v>5</v>
      </c>
      <c r="D676" s="28">
        <v>4</v>
      </c>
    </row>
    <row r="677" spans="1:4" x14ac:dyDescent="0.4">
      <c r="A677" s="132">
        <v>12</v>
      </c>
      <c r="B677" s="36" t="s">
        <v>924</v>
      </c>
      <c r="C677" s="28" t="s">
        <v>5</v>
      </c>
      <c r="D677" s="28">
        <v>2</v>
      </c>
    </row>
    <row r="678" spans="1:4" x14ac:dyDescent="0.4">
      <c r="A678" s="132">
        <v>13</v>
      </c>
      <c r="B678" s="36" t="s">
        <v>925</v>
      </c>
      <c r="C678" s="28" t="s">
        <v>5</v>
      </c>
      <c r="D678" s="28">
        <v>100</v>
      </c>
    </row>
    <row r="679" spans="1:4" x14ac:dyDescent="0.4">
      <c r="A679" s="132">
        <v>14</v>
      </c>
      <c r="B679" s="36" t="s">
        <v>926</v>
      </c>
      <c r="C679" s="28" t="s">
        <v>5</v>
      </c>
      <c r="D679" s="28">
        <v>460</v>
      </c>
    </row>
    <row r="680" spans="1:4" x14ac:dyDescent="0.4">
      <c r="A680" s="132">
        <v>15</v>
      </c>
      <c r="B680" s="36" t="s">
        <v>927</v>
      </c>
      <c r="C680" s="28" t="s">
        <v>5</v>
      </c>
      <c r="D680" s="28">
        <v>30</v>
      </c>
    </row>
    <row r="681" spans="1:4" x14ac:dyDescent="0.4">
      <c r="A681" s="132">
        <v>16</v>
      </c>
      <c r="B681" s="36" t="s">
        <v>928</v>
      </c>
      <c r="C681" s="28" t="s">
        <v>5</v>
      </c>
      <c r="D681" s="28">
        <v>8</v>
      </c>
    </row>
    <row r="682" spans="1:4" x14ac:dyDescent="0.4">
      <c r="A682" s="132">
        <v>17</v>
      </c>
      <c r="B682" s="36" t="s">
        <v>929</v>
      </c>
      <c r="C682" s="28" t="s">
        <v>5</v>
      </c>
      <c r="D682" s="28">
        <v>84</v>
      </c>
    </row>
    <row r="683" spans="1:4" x14ac:dyDescent="0.4">
      <c r="A683" s="132">
        <v>18</v>
      </c>
      <c r="B683" s="36" t="s">
        <v>930</v>
      </c>
      <c r="C683" s="28" t="s">
        <v>5</v>
      </c>
      <c r="D683" s="28">
        <v>3</v>
      </c>
    </row>
    <row r="684" spans="1:4" x14ac:dyDescent="0.4">
      <c r="A684" s="132">
        <v>19</v>
      </c>
      <c r="B684" s="36" t="s">
        <v>931</v>
      </c>
      <c r="C684" s="28" t="s">
        <v>5</v>
      </c>
      <c r="D684" s="28">
        <v>385</v>
      </c>
    </row>
    <row r="685" spans="1:4" x14ac:dyDescent="0.4">
      <c r="A685" s="132">
        <v>20</v>
      </c>
      <c r="B685" s="36" t="s">
        <v>932</v>
      </c>
      <c r="C685" s="28" t="s">
        <v>5</v>
      </c>
      <c r="D685" s="28">
        <v>24</v>
      </c>
    </row>
    <row r="686" spans="1:4" x14ac:dyDescent="0.4">
      <c r="A686" s="132">
        <v>21</v>
      </c>
      <c r="B686" s="36" t="s">
        <v>933</v>
      </c>
      <c r="C686" s="28" t="s">
        <v>5</v>
      </c>
      <c r="D686" s="28">
        <v>25</v>
      </c>
    </row>
    <row r="687" spans="1:4" x14ac:dyDescent="0.4">
      <c r="A687" s="132">
        <v>22</v>
      </c>
      <c r="B687" s="36" t="s">
        <v>934</v>
      </c>
      <c r="C687" s="28" t="s">
        <v>5</v>
      </c>
      <c r="D687" s="28">
        <v>35</v>
      </c>
    </row>
    <row r="688" spans="1:4" x14ac:dyDescent="0.4">
      <c r="A688" s="132">
        <v>23</v>
      </c>
      <c r="B688" s="36" t="s">
        <v>935</v>
      </c>
      <c r="C688" s="28" t="s">
        <v>5</v>
      </c>
      <c r="D688" s="28">
        <v>33</v>
      </c>
    </row>
    <row r="689" spans="1:4" x14ac:dyDescent="0.4">
      <c r="A689" s="132">
        <v>24</v>
      </c>
      <c r="B689" s="36" t="s">
        <v>936</v>
      </c>
      <c r="C689" s="28" t="s">
        <v>5</v>
      </c>
      <c r="D689" s="28">
        <v>84</v>
      </c>
    </row>
    <row r="690" spans="1:4" x14ac:dyDescent="0.4">
      <c r="A690" s="132">
        <v>25</v>
      </c>
      <c r="B690" s="36" t="s">
        <v>937</v>
      </c>
      <c r="C690" s="28" t="s">
        <v>5</v>
      </c>
      <c r="D690" s="28">
        <v>6</v>
      </c>
    </row>
    <row r="691" spans="1:4" x14ac:dyDescent="0.4">
      <c r="A691" s="132">
        <v>26</v>
      </c>
      <c r="B691" s="36" t="s">
        <v>938</v>
      </c>
      <c r="C691" s="28" t="s">
        <v>5</v>
      </c>
      <c r="D691" s="28">
        <v>70</v>
      </c>
    </row>
    <row r="692" spans="1:4" x14ac:dyDescent="0.4">
      <c r="A692" s="132">
        <v>27</v>
      </c>
      <c r="B692" s="36" t="s">
        <v>939</v>
      </c>
      <c r="C692" s="28" t="s">
        <v>5</v>
      </c>
      <c r="D692" s="28">
        <v>8</v>
      </c>
    </row>
    <row r="693" spans="1:4" x14ac:dyDescent="0.4">
      <c r="A693" s="132">
        <v>28</v>
      </c>
      <c r="B693" s="36" t="s">
        <v>940</v>
      </c>
      <c r="C693" s="28" t="s">
        <v>5</v>
      </c>
      <c r="D693" s="28">
        <v>19</v>
      </c>
    </row>
    <row r="694" spans="1:4" x14ac:dyDescent="0.4">
      <c r="A694" s="132">
        <v>29</v>
      </c>
      <c r="B694" s="36" t="s">
        <v>941</v>
      </c>
      <c r="C694" s="28" t="s">
        <v>5</v>
      </c>
      <c r="D694" s="28">
        <v>46</v>
      </c>
    </row>
    <row r="695" spans="1:4" x14ac:dyDescent="0.4">
      <c r="A695" s="132">
        <v>30</v>
      </c>
      <c r="B695" s="36" t="s">
        <v>942</v>
      </c>
      <c r="C695" s="28" t="s">
        <v>5</v>
      </c>
      <c r="D695" s="28">
        <v>3</v>
      </c>
    </row>
    <row r="696" spans="1:4" x14ac:dyDescent="0.4">
      <c r="A696" s="132">
        <v>31</v>
      </c>
      <c r="B696" s="36" t="s">
        <v>943</v>
      </c>
      <c r="C696" s="28" t="s">
        <v>5</v>
      </c>
      <c r="D696" s="28">
        <v>40</v>
      </c>
    </row>
    <row r="697" spans="1:4" x14ac:dyDescent="0.4">
      <c r="A697" s="132">
        <v>32</v>
      </c>
      <c r="B697" s="36" t="s">
        <v>944</v>
      </c>
      <c r="C697" s="28" t="s">
        <v>5</v>
      </c>
      <c r="D697" s="28">
        <v>9</v>
      </c>
    </row>
    <row r="698" spans="1:4" x14ac:dyDescent="0.4">
      <c r="A698" s="132">
        <v>33</v>
      </c>
      <c r="B698" s="36" t="s">
        <v>945</v>
      </c>
      <c r="C698" s="28" t="s">
        <v>5</v>
      </c>
      <c r="D698" s="28">
        <v>153</v>
      </c>
    </row>
    <row r="699" spans="1:4" x14ac:dyDescent="0.4">
      <c r="A699" s="132">
        <v>34</v>
      </c>
      <c r="B699" s="36" t="s">
        <v>946</v>
      </c>
      <c r="C699" s="28" t="s">
        <v>5</v>
      </c>
      <c r="D699" s="28">
        <v>80</v>
      </c>
    </row>
    <row r="700" spans="1:4" x14ac:dyDescent="0.4">
      <c r="A700" s="132">
        <v>35</v>
      </c>
      <c r="B700" s="36" t="s">
        <v>947</v>
      </c>
      <c r="C700" s="28" t="s">
        <v>5</v>
      </c>
      <c r="D700" s="28">
        <v>29</v>
      </c>
    </row>
    <row r="701" spans="1:4" x14ac:dyDescent="0.4">
      <c r="A701" s="132">
        <v>36</v>
      </c>
      <c r="B701" s="36" t="s">
        <v>948</v>
      </c>
      <c r="C701" s="28" t="s">
        <v>5</v>
      </c>
      <c r="D701" s="28">
        <v>20</v>
      </c>
    </row>
    <row r="702" spans="1:4" x14ac:dyDescent="0.4">
      <c r="A702" s="132">
        <v>37</v>
      </c>
      <c r="B702" s="36" t="s">
        <v>949</v>
      </c>
      <c r="C702" s="28" t="s">
        <v>5</v>
      </c>
      <c r="D702" s="28">
        <v>18</v>
      </c>
    </row>
    <row r="703" spans="1:4" x14ac:dyDescent="0.4">
      <c r="A703" s="132">
        <v>38</v>
      </c>
      <c r="B703" s="36" t="s">
        <v>950</v>
      </c>
      <c r="C703" s="28" t="s">
        <v>5</v>
      </c>
      <c r="D703" s="28">
        <v>310</v>
      </c>
    </row>
    <row r="704" spans="1:4" x14ac:dyDescent="0.4">
      <c r="A704" s="132">
        <v>39</v>
      </c>
      <c r="B704" s="36" t="s">
        <v>951</v>
      </c>
      <c r="C704" s="28" t="s">
        <v>5</v>
      </c>
      <c r="D704" s="28">
        <v>96</v>
      </c>
    </row>
    <row r="705" spans="1:4" x14ac:dyDescent="0.4">
      <c r="A705" s="132">
        <v>40</v>
      </c>
      <c r="B705" s="36" t="s">
        <v>952</v>
      </c>
      <c r="C705" s="28" t="s">
        <v>5</v>
      </c>
      <c r="D705" s="28">
        <v>116</v>
      </c>
    </row>
    <row r="706" spans="1:4" x14ac:dyDescent="0.4">
      <c r="A706" s="132">
        <v>41</v>
      </c>
      <c r="B706" s="36" t="s">
        <v>953</v>
      </c>
      <c r="C706" s="28" t="s">
        <v>5</v>
      </c>
      <c r="D706" s="28">
        <v>50</v>
      </c>
    </row>
    <row r="707" spans="1:4" x14ac:dyDescent="0.4">
      <c r="A707" s="132">
        <v>42</v>
      </c>
      <c r="B707" s="36" t="s">
        <v>954</v>
      </c>
      <c r="C707" s="28" t="s">
        <v>557</v>
      </c>
      <c r="D707" s="28">
        <v>60</v>
      </c>
    </row>
    <row r="708" spans="1:4" x14ac:dyDescent="0.4">
      <c r="A708" s="132">
        <v>43</v>
      </c>
      <c r="B708" s="36" t="s">
        <v>955</v>
      </c>
      <c r="C708" s="28" t="s">
        <v>557</v>
      </c>
      <c r="D708" s="28">
        <v>22</v>
      </c>
    </row>
    <row r="709" spans="1:4" x14ac:dyDescent="0.4">
      <c r="A709" s="132">
        <v>44</v>
      </c>
      <c r="B709" s="36" t="s">
        <v>956</v>
      </c>
      <c r="C709" s="28" t="s">
        <v>557</v>
      </c>
      <c r="D709" s="28">
        <v>4</v>
      </c>
    </row>
    <row r="710" spans="1:4" x14ac:dyDescent="0.4">
      <c r="A710" s="132">
        <v>45</v>
      </c>
      <c r="B710" s="36" t="s">
        <v>957</v>
      </c>
      <c r="C710" s="28" t="s">
        <v>557</v>
      </c>
      <c r="D710" s="28">
        <v>4</v>
      </c>
    </row>
    <row r="711" spans="1:4" x14ac:dyDescent="0.4">
      <c r="A711" s="132">
        <v>46</v>
      </c>
      <c r="B711" s="36" t="s">
        <v>958</v>
      </c>
      <c r="C711" s="28" t="s">
        <v>557</v>
      </c>
      <c r="D711" s="28">
        <v>4</v>
      </c>
    </row>
    <row r="712" spans="1:4" x14ac:dyDescent="0.4">
      <c r="A712" s="132">
        <v>47</v>
      </c>
      <c r="B712" s="36" t="s">
        <v>959</v>
      </c>
      <c r="C712" s="28" t="s">
        <v>557</v>
      </c>
      <c r="D712" s="28">
        <v>184</v>
      </c>
    </row>
    <row r="713" spans="1:4" x14ac:dyDescent="0.4">
      <c r="A713" s="132">
        <v>48</v>
      </c>
      <c r="B713" s="36" t="s">
        <v>960</v>
      </c>
      <c r="C713" s="28" t="s">
        <v>557</v>
      </c>
      <c r="D713" s="28">
        <v>106</v>
      </c>
    </row>
    <row r="714" spans="1:4" x14ac:dyDescent="0.4">
      <c r="A714" s="132">
        <v>49</v>
      </c>
      <c r="B714" s="36" t="s">
        <v>961</v>
      </c>
      <c r="C714" s="28" t="s">
        <v>557</v>
      </c>
      <c r="D714" s="28">
        <v>20</v>
      </c>
    </row>
    <row r="715" spans="1:4" x14ac:dyDescent="0.4">
      <c r="A715" s="132">
        <v>50</v>
      </c>
      <c r="B715" s="36" t="s">
        <v>962</v>
      </c>
      <c r="C715" s="28" t="s">
        <v>557</v>
      </c>
      <c r="D715" s="28">
        <v>20</v>
      </c>
    </row>
    <row r="716" spans="1:4" x14ac:dyDescent="0.4">
      <c r="A716" s="132">
        <v>51</v>
      </c>
      <c r="B716" s="36" t="s">
        <v>963</v>
      </c>
      <c r="C716" s="28" t="s">
        <v>557</v>
      </c>
      <c r="D716" s="28">
        <v>16</v>
      </c>
    </row>
    <row r="717" spans="1:4" x14ac:dyDescent="0.4">
      <c r="A717" s="132">
        <v>52</v>
      </c>
      <c r="B717" s="252" t="s">
        <v>964</v>
      </c>
      <c r="C717" s="28" t="s">
        <v>557</v>
      </c>
      <c r="D717" s="28">
        <v>3</v>
      </c>
    </row>
    <row r="718" spans="1:4" x14ac:dyDescent="0.4">
      <c r="A718" s="132">
        <v>53</v>
      </c>
      <c r="B718" s="252" t="s">
        <v>965</v>
      </c>
      <c r="C718" s="28" t="s">
        <v>557</v>
      </c>
      <c r="D718" s="28">
        <v>6</v>
      </c>
    </row>
    <row r="719" spans="1:4" ht="27.6" x14ac:dyDescent="0.4">
      <c r="A719" s="132">
        <v>54</v>
      </c>
      <c r="B719" s="252" t="s">
        <v>966</v>
      </c>
      <c r="C719" s="28" t="s">
        <v>557</v>
      </c>
      <c r="D719" s="28">
        <v>20</v>
      </c>
    </row>
    <row r="720" spans="1:4" x14ac:dyDescent="0.4">
      <c r="A720" s="132">
        <v>55</v>
      </c>
      <c r="B720" s="36" t="s">
        <v>967</v>
      </c>
      <c r="C720" s="28" t="s">
        <v>557</v>
      </c>
      <c r="D720" s="28">
        <v>20</v>
      </c>
    </row>
    <row r="721" spans="1:4" x14ac:dyDescent="0.4">
      <c r="A721" s="132">
        <v>56</v>
      </c>
      <c r="B721" s="252" t="s">
        <v>968</v>
      </c>
      <c r="C721" s="28" t="s">
        <v>907</v>
      </c>
      <c r="D721" s="28">
        <v>7</v>
      </c>
    </row>
    <row r="722" spans="1:4" x14ac:dyDescent="0.4">
      <c r="A722" s="132">
        <v>57</v>
      </c>
      <c r="B722" s="36" t="s">
        <v>969</v>
      </c>
      <c r="C722" s="28" t="s">
        <v>5</v>
      </c>
      <c r="D722" s="28">
        <v>23</v>
      </c>
    </row>
    <row r="723" spans="1:4" x14ac:dyDescent="0.4">
      <c r="A723" s="132">
        <v>58</v>
      </c>
      <c r="B723" s="36" t="s">
        <v>970</v>
      </c>
      <c r="C723" s="28" t="s">
        <v>5</v>
      </c>
      <c r="D723" s="28">
        <v>6</v>
      </c>
    </row>
    <row r="724" spans="1:4" x14ac:dyDescent="0.4">
      <c r="A724" s="132">
        <v>59</v>
      </c>
      <c r="B724" s="36" t="s">
        <v>909</v>
      </c>
      <c r="C724" s="28" t="s">
        <v>557</v>
      </c>
      <c r="D724" s="28">
        <v>7</v>
      </c>
    </row>
    <row r="725" spans="1:4" x14ac:dyDescent="0.4">
      <c r="A725" s="132">
        <v>60</v>
      </c>
      <c r="B725" s="36" t="s">
        <v>910</v>
      </c>
      <c r="C725" s="28" t="s">
        <v>557</v>
      </c>
      <c r="D725" s="28">
        <v>1</v>
      </c>
    </row>
    <row r="726" spans="1:4" x14ac:dyDescent="0.4">
      <c r="A726" s="265"/>
      <c r="B726" s="207"/>
      <c r="C726" s="224"/>
      <c r="D726" s="224"/>
    </row>
    <row r="727" spans="1:4" x14ac:dyDescent="0.4">
      <c r="A727" s="265"/>
      <c r="B727" s="339" t="s">
        <v>971</v>
      </c>
      <c r="C727" s="249"/>
      <c r="D727" s="249"/>
    </row>
    <row r="728" spans="1:4" x14ac:dyDescent="0.4">
      <c r="A728" s="132">
        <v>1</v>
      </c>
      <c r="B728" s="36" t="s">
        <v>972</v>
      </c>
      <c r="C728" s="28" t="s">
        <v>557</v>
      </c>
      <c r="D728" s="28">
        <v>1</v>
      </c>
    </row>
    <row r="729" spans="1:4" x14ac:dyDescent="0.4">
      <c r="A729" s="132">
        <v>2</v>
      </c>
      <c r="B729" s="36" t="s">
        <v>973</v>
      </c>
      <c r="C729" s="28" t="s">
        <v>557</v>
      </c>
      <c r="D729" s="28">
        <v>42</v>
      </c>
    </row>
    <row r="730" spans="1:4" x14ac:dyDescent="0.4">
      <c r="A730" s="132">
        <v>3</v>
      </c>
      <c r="B730" s="36" t="s">
        <v>974</v>
      </c>
      <c r="C730" s="28" t="s">
        <v>557</v>
      </c>
      <c r="D730" s="28">
        <v>8</v>
      </c>
    </row>
    <row r="731" spans="1:4" x14ac:dyDescent="0.4">
      <c r="A731" s="132">
        <v>4</v>
      </c>
      <c r="B731" s="36" t="s">
        <v>975</v>
      </c>
      <c r="C731" s="28" t="s">
        <v>557</v>
      </c>
      <c r="D731" s="28">
        <v>1</v>
      </c>
    </row>
    <row r="732" spans="1:4" x14ac:dyDescent="0.4">
      <c r="A732" s="132">
        <v>5</v>
      </c>
      <c r="B732" s="36" t="s">
        <v>976</v>
      </c>
      <c r="C732" s="28" t="s">
        <v>557</v>
      </c>
      <c r="D732" s="28">
        <v>6</v>
      </c>
    </row>
    <row r="733" spans="1:4" x14ac:dyDescent="0.4">
      <c r="A733" s="132">
        <v>6</v>
      </c>
      <c r="B733" s="36" t="s">
        <v>977</v>
      </c>
      <c r="C733" s="28" t="s">
        <v>557</v>
      </c>
      <c r="D733" s="28">
        <v>3</v>
      </c>
    </row>
    <row r="734" spans="1:4" x14ac:dyDescent="0.4">
      <c r="A734" s="132">
        <v>7</v>
      </c>
      <c r="B734" s="36" t="s">
        <v>978</v>
      </c>
      <c r="C734" s="28" t="s">
        <v>557</v>
      </c>
      <c r="D734" s="28">
        <v>50</v>
      </c>
    </row>
    <row r="735" spans="1:4" x14ac:dyDescent="0.4">
      <c r="A735" s="132">
        <v>8</v>
      </c>
      <c r="B735" s="36" t="s">
        <v>979</v>
      </c>
      <c r="C735" s="28" t="s">
        <v>557</v>
      </c>
      <c r="D735" s="28">
        <v>50</v>
      </c>
    </row>
    <row r="736" spans="1:4" x14ac:dyDescent="0.4">
      <c r="A736" s="132">
        <v>9</v>
      </c>
      <c r="B736" s="36" t="s">
        <v>980</v>
      </c>
      <c r="C736" s="28" t="s">
        <v>557</v>
      </c>
      <c r="D736" s="28">
        <v>1</v>
      </c>
    </row>
    <row r="737" spans="1:4" x14ac:dyDescent="0.4">
      <c r="A737" s="132">
        <v>10</v>
      </c>
      <c r="B737" s="36" t="s">
        <v>981</v>
      </c>
      <c r="C737" s="28" t="s">
        <v>557</v>
      </c>
      <c r="D737" s="28">
        <v>42</v>
      </c>
    </row>
    <row r="738" spans="1:4" x14ac:dyDescent="0.4">
      <c r="A738" s="132">
        <v>11</v>
      </c>
      <c r="B738" s="36" t="s">
        <v>982</v>
      </c>
      <c r="C738" s="28" t="s">
        <v>557</v>
      </c>
      <c r="D738" s="28">
        <v>8</v>
      </c>
    </row>
    <row r="739" spans="1:4" x14ac:dyDescent="0.4">
      <c r="A739" s="132">
        <v>12</v>
      </c>
      <c r="B739" s="36" t="s">
        <v>983</v>
      </c>
      <c r="C739" s="28" t="s">
        <v>557</v>
      </c>
      <c r="D739" s="28">
        <v>9</v>
      </c>
    </row>
    <row r="740" spans="1:4" x14ac:dyDescent="0.4">
      <c r="A740" s="132">
        <v>13</v>
      </c>
      <c r="B740" s="36" t="s">
        <v>984</v>
      </c>
      <c r="C740" s="28" t="s">
        <v>5</v>
      </c>
      <c r="D740" s="28">
        <v>710</v>
      </c>
    </row>
    <row r="741" spans="1:4" x14ac:dyDescent="0.4">
      <c r="A741" s="132">
        <v>14</v>
      </c>
      <c r="B741" s="36" t="s">
        <v>985</v>
      </c>
      <c r="C741" s="28" t="s">
        <v>5</v>
      </c>
      <c r="D741" s="28">
        <v>710</v>
      </c>
    </row>
    <row r="742" spans="1:4" x14ac:dyDescent="0.4">
      <c r="A742" s="132">
        <v>15</v>
      </c>
      <c r="B742" s="36" t="s">
        <v>986</v>
      </c>
      <c r="C742" s="28" t="s">
        <v>5</v>
      </c>
      <c r="D742" s="28">
        <v>25</v>
      </c>
    </row>
    <row r="743" spans="1:4" x14ac:dyDescent="0.4">
      <c r="A743" s="132">
        <v>16</v>
      </c>
      <c r="B743" s="36" t="s">
        <v>987</v>
      </c>
      <c r="C743" s="28" t="s">
        <v>5</v>
      </c>
      <c r="D743" s="28">
        <v>25</v>
      </c>
    </row>
    <row r="744" spans="1:4" x14ac:dyDescent="0.4">
      <c r="A744" s="132">
        <v>17</v>
      </c>
      <c r="B744" s="36" t="s">
        <v>988</v>
      </c>
      <c r="C744" s="28" t="s">
        <v>5</v>
      </c>
      <c r="D744" s="28">
        <v>2</v>
      </c>
    </row>
    <row r="745" spans="1:4" x14ac:dyDescent="0.4">
      <c r="A745" s="132">
        <v>18</v>
      </c>
      <c r="B745" s="36" t="s">
        <v>989</v>
      </c>
      <c r="C745" s="28" t="s">
        <v>5</v>
      </c>
      <c r="D745" s="28">
        <v>710</v>
      </c>
    </row>
    <row r="746" spans="1:4" x14ac:dyDescent="0.4">
      <c r="A746" s="132">
        <v>19</v>
      </c>
      <c r="B746" s="36" t="s">
        <v>990</v>
      </c>
      <c r="C746" s="28" t="s">
        <v>5</v>
      </c>
      <c r="D746" s="28">
        <v>25</v>
      </c>
    </row>
    <row r="747" spans="1:4" x14ac:dyDescent="0.4">
      <c r="A747" s="132">
        <v>20</v>
      </c>
      <c r="B747" s="335" t="s">
        <v>991</v>
      </c>
      <c r="C747" s="28" t="s">
        <v>557</v>
      </c>
      <c r="D747" s="28">
        <v>124</v>
      </c>
    </row>
    <row r="748" spans="1:4" x14ac:dyDescent="0.4">
      <c r="A748" s="265"/>
      <c r="B748" s="207"/>
      <c r="C748" s="224"/>
      <c r="D748" s="224"/>
    </row>
    <row r="749" spans="1:4" x14ac:dyDescent="0.4">
      <c r="A749" s="265"/>
      <c r="B749" s="339" t="s">
        <v>992</v>
      </c>
      <c r="C749" s="249"/>
      <c r="D749" s="249"/>
    </row>
    <row r="750" spans="1:4" x14ac:dyDescent="0.4">
      <c r="A750" s="132">
        <v>1</v>
      </c>
      <c r="B750" s="36" t="s">
        <v>993</v>
      </c>
      <c r="C750" s="28" t="s">
        <v>557</v>
      </c>
      <c r="D750" s="28">
        <v>1</v>
      </c>
    </row>
    <row r="751" spans="1:4" x14ac:dyDescent="0.4">
      <c r="A751" s="132">
        <v>2</v>
      </c>
      <c r="B751" s="36" t="s">
        <v>994</v>
      </c>
      <c r="C751" s="28" t="s">
        <v>557</v>
      </c>
      <c r="D751" s="28">
        <v>1</v>
      </c>
    </row>
    <row r="752" spans="1:4" x14ac:dyDescent="0.4">
      <c r="A752" s="132">
        <v>3</v>
      </c>
      <c r="B752" s="36" t="s">
        <v>995</v>
      </c>
      <c r="C752" s="28" t="s">
        <v>557</v>
      </c>
      <c r="D752" s="28">
        <v>1</v>
      </c>
    </row>
    <row r="753" spans="1:4" x14ac:dyDescent="0.4">
      <c r="A753" s="132">
        <v>4</v>
      </c>
      <c r="B753" s="36" t="s">
        <v>996</v>
      </c>
      <c r="C753" s="28" t="s">
        <v>557</v>
      </c>
      <c r="D753" s="28">
        <v>1</v>
      </c>
    </row>
    <row r="754" spans="1:4" x14ac:dyDescent="0.4">
      <c r="A754" s="132">
        <v>5</v>
      </c>
      <c r="B754" s="36" t="s">
        <v>997</v>
      </c>
      <c r="C754" s="28" t="s">
        <v>5</v>
      </c>
      <c r="D754" s="28">
        <v>18</v>
      </c>
    </row>
    <row r="755" spans="1:4" x14ac:dyDescent="0.4">
      <c r="A755" s="132">
        <v>6</v>
      </c>
      <c r="B755" s="36" t="s">
        <v>998</v>
      </c>
      <c r="C755" s="28" t="s">
        <v>5</v>
      </c>
      <c r="D755" s="28">
        <v>18</v>
      </c>
    </row>
    <row r="756" spans="1:4" x14ac:dyDescent="0.4">
      <c r="A756" s="132">
        <v>7</v>
      </c>
      <c r="B756" s="36" t="s">
        <v>999</v>
      </c>
      <c r="C756" s="28" t="s">
        <v>5</v>
      </c>
      <c r="D756" s="28">
        <v>8</v>
      </c>
    </row>
    <row r="757" spans="1:4" x14ac:dyDescent="0.4">
      <c r="A757" s="132">
        <v>8</v>
      </c>
      <c r="B757" s="36" t="s">
        <v>1000</v>
      </c>
      <c r="C757" s="28" t="s">
        <v>5</v>
      </c>
      <c r="D757" s="28">
        <v>8</v>
      </c>
    </row>
    <row r="758" spans="1:4" x14ac:dyDescent="0.4">
      <c r="A758" s="132">
        <v>9</v>
      </c>
      <c r="B758" s="36" t="s">
        <v>989</v>
      </c>
      <c r="C758" s="28" t="s">
        <v>5</v>
      </c>
      <c r="D758" s="28">
        <v>20</v>
      </c>
    </row>
    <row r="759" spans="1:4" x14ac:dyDescent="0.4">
      <c r="A759" s="132">
        <v>10</v>
      </c>
      <c r="B759" s="36" t="s">
        <v>1001</v>
      </c>
      <c r="C759" s="28" t="s">
        <v>557</v>
      </c>
      <c r="D759" s="28">
        <v>5</v>
      </c>
    </row>
    <row r="760" spans="1:4" x14ac:dyDescent="0.4">
      <c r="A760" s="132">
        <v>11</v>
      </c>
      <c r="B760" s="335" t="s">
        <v>991</v>
      </c>
      <c r="C760" s="28" t="s">
        <v>557</v>
      </c>
      <c r="D760" s="28">
        <v>36</v>
      </c>
    </row>
    <row r="761" spans="1:4" x14ac:dyDescent="0.4">
      <c r="A761" s="265"/>
      <c r="B761" s="207"/>
      <c r="C761" s="249"/>
      <c r="D761" s="249"/>
    </row>
    <row r="762" spans="1:4" ht="27.6" x14ac:dyDescent="0.4">
      <c r="A762" s="265"/>
      <c r="B762" s="339" t="s">
        <v>1002</v>
      </c>
      <c r="C762" s="249"/>
      <c r="D762" s="249"/>
    </row>
    <row r="763" spans="1:4" ht="41.4" x14ac:dyDescent="0.4">
      <c r="A763" s="132">
        <v>1</v>
      </c>
      <c r="B763" s="36" t="s">
        <v>1003</v>
      </c>
      <c r="C763" s="28" t="s">
        <v>907</v>
      </c>
      <c r="D763" s="28">
        <v>1</v>
      </c>
    </row>
    <row r="764" spans="1:4" ht="27.6" x14ac:dyDescent="0.4">
      <c r="A764" s="132">
        <v>2</v>
      </c>
      <c r="B764" s="36" t="s">
        <v>1033</v>
      </c>
      <c r="C764" s="28" t="s">
        <v>4</v>
      </c>
      <c r="D764" s="28">
        <v>5</v>
      </c>
    </row>
    <row r="765" spans="1:4" x14ac:dyDescent="0.4">
      <c r="A765" s="132">
        <v>3</v>
      </c>
      <c r="B765" s="36" t="s">
        <v>1032</v>
      </c>
      <c r="C765" s="28" t="s">
        <v>4</v>
      </c>
      <c r="D765" s="28">
        <v>2</v>
      </c>
    </row>
    <row r="766" spans="1:4" x14ac:dyDescent="0.4">
      <c r="A766" s="132">
        <v>4</v>
      </c>
      <c r="B766" s="36" t="s">
        <v>1034</v>
      </c>
      <c r="C766" s="28" t="s">
        <v>4</v>
      </c>
      <c r="D766" s="28">
        <v>2</v>
      </c>
    </row>
    <row r="767" spans="1:4" ht="27.6" x14ac:dyDescent="0.4">
      <c r="A767" s="132">
        <v>5</v>
      </c>
      <c r="B767" s="36" t="s">
        <v>1004</v>
      </c>
      <c r="C767" s="28" t="s">
        <v>557</v>
      </c>
      <c r="D767" s="28">
        <v>5</v>
      </c>
    </row>
    <row r="768" spans="1:4" x14ac:dyDescent="0.4">
      <c r="A768" s="132">
        <v>6</v>
      </c>
      <c r="B768" s="36" t="s">
        <v>1005</v>
      </c>
      <c r="C768" s="28" t="s">
        <v>557</v>
      </c>
      <c r="D768" s="28">
        <v>10</v>
      </c>
    </row>
    <row r="769" spans="1:4" ht="27.6" x14ac:dyDescent="0.4">
      <c r="A769" s="132">
        <v>7</v>
      </c>
      <c r="B769" s="36" t="s">
        <v>1006</v>
      </c>
      <c r="C769" s="28" t="s">
        <v>557</v>
      </c>
      <c r="D769" s="28">
        <v>5</v>
      </c>
    </row>
    <row r="770" spans="1:4" ht="27.6" x14ac:dyDescent="0.4">
      <c r="A770" s="132">
        <v>8</v>
      </c>
      <c r="B770" s="36" t="s">
        <v>1007</v>
      </c>
      <c r="C770" s="28" t="s">
        <v>557</v>
      </c>
      <c r="D770" s="28">
        <v>10</v>
      </c>
    </row>
    <row r="771" spans="1:4" x14ac:dyDescent="0.4">
      <c r="A771" s="132">
        <v>9</v>
      </c>
      <c r="B771" s="36" t="s">
        <v>1008</v>
      </c>
      <c r="C771" s="28" t="s">
        <v>5</v>
      </c>
      <c r="D771" s="28">
        <v>470</v>
      </c>
    </row>
    <row r="772" spans="1:4" x14ac:dyDescent="0.4">
      <c r="A772" s="132">
        <v>10</v>
      </c>
      <c r="B772" s="36" t="s">
        <v>1009</v>
      </c>
      <c r="C772" s="28" t="s">
        <v>5</v>
      </c>
      <c r="D772" s="28">
        <v>120</v>
      </c>
    </row>
    <row r="773" spans="1:4" x14ac:dyDescent="0.4">
      <c r="A773" s="132">
        <v>11</v>
      </c>
      <c r="B773" s="36" t="s">
        <v>1010</v>
      </c>
      <c r="C773" s="28" t="s">
        <v>5</v>
      </c>
      <c r="D773" s="28">
        <v>175</v>
      </c>
    </row>
    <row r="774" spans="1:4" x14ac:dyDescent="0.4">
      <c r="A774" s="132">
        <v>12</v>
      </c>
      <c r="B774" s="36" t="s">
        <v>1011</v>
      </c>
      <c r="C774" s="28" t="s">
        <v>5</v>
      </c>
      <c r="D774" s="28">
        <v>2</v>
      </c>
    </row>
    <row r="775" spans="1:4" x14ac:dyDescent="0.4">
      <c r="A775" s="132">
        <v>13</v>
      </c>
      <c r="B775" s="36" t="s">
        <v>989</v>
      </c>
      <c r="C775" s="28" t="s">
        <v>5</v>
      </c>
      <c r="D775" s="28">
        <v>175</v>
      </c>
    </row>
    <row r="776" spans="1:4" x14ac:dyDescent="0.4">
      <c r="A776" s="132">
        <v>14</v>
      </c>
      <c r="B776" s="36" t="s">
        <v>1012</v>
      </c>
      <c r="C776" s="28" t="s">
        <v>5</v>
      </c>
      <c r="D776" s="28">
        <v>60</v>
      </c>
    </row>
    <row r="777" spans="1:4" x14ac:dyDescent="0.4">
      <c r="A777" s="132">
        <v>15</v>
      </c>
      <c r="B777" s="36" t="s">
        <v>1013</v>
      </c>
      <c r="C777" s="28" t="s">
        <v>5</v>
      </c>
      <c r="D777" s="28">
        <v>60</v>
      </c>
    </row>
    <row r="778" spans="1:4" x14ac:dyDescent="0.4">
      <c r="A778" s="132">
        <v>16</v>
      </c>
      <c r="B778" s="36" t="s">
        <v>1014</v>
      </c>
      <c r="C778" s="28" t="s">
        <v>5</v>
      </c>
      <c r="D778" s="28">
        <v>2</v>
      </c>
    </row>
    <row r="779" spans="1:4" x14ac:dyDescent="0.4">
      <c r="A779" s="132">
        <v>17</v>
      </c>
      <c r="B779" s="36" t="s">
        <v>1015</v>
      </c>
      <c r="C779" s="28" t="s">
        <v>5</v>
      </c>
      <c r="D779" s="28">
        <v>3</v>
      </c>
    </row>
    <row r="780" spans="1:4" x14ac:dyDescent="0.4">
      <c r="A780" s="132">
        <v>18</v>
      </c>
      <c r="B780" s="36" t="s">
        <v>1016</v>
      </c>
      <c r="C780" s="28" t="s">
        <v>557</v>
      </c>
      <c r="D780" s="28">
        <v>1</v>
      </c>
    </row>
    <row r="781" spans="1:4" x14ac:dyDescent="0.4">
      <c r="A781" s="132">
        <v>19</v>
      </c>
      <c r="B781" s="36" t="s">
        <v>1017</v>
      </c>
      <c r="C781" s="28" t="s">
        <v>557</v>
      </c>
      <c r="D781" s="28">
        <v>1</v>
      </c>
    </row>
    <row r="782" spans="1:4" x14ac:dyDescent="0.4">
      <c r="A782" s="132">
        <v>20</v>
      </c>
      <c r="B782" s="36" t="s">
        <v>1018</v>
      </c>
      <c r="C782" s="28" t="s">
        <v>557</v>
      </c>
      <c r="D782" s="28">
        <v>1</v>
      </c>
    </row>
    <row r="783" spans="1:4" x14ac:dyDescent="0.4">
      <c r="A783" s="132">
        <v>21</v>
      </c>
      <c r="B783" s="335" t="s">
        <v>1019</v>
      </c>
      <c r="C783" s="28" t="s">
        <v>907</v>
      </c>
      <c r="D783" s="28">
        <v>1</v>
      </c>
    </row>
    <row r="784" spans="1:4" x14ac:dyDescent="0.4">
      <c r="A784" s="132">
        <v>22</v>
      </c>
      <c r="B784" s="335" t="s">
        <v>991</v>
      </c>
      <c r="C784" s="28" t="s">
        <v>557</v>
      </c>
      <c r="D784" s="28">
        <v>100</v>
      </c>
    </row>
    <row r="785" spans="1:4" x14ac:dyDescent="0.4">
      <c r="A785" s="264"/>
      <c r="B785" s="207"/>
      <c r="C785" s="249"/>
      <c r="D785" s="249"/>
    </row>
    <row r="788" spans="1:4" ht="14.7" x14ac:dyDescent="0.4">
      <c r="A788" s="440" t="s">
        <v>1439</v>
      </c>
      <c r="B788" s="224"/>
      <c r="C788" s="206"/>
      <c r="D788" s="206"/>
    </row>
    <row r="789" spans="1:4" x14ac:dyDescent="0.4">
      <c r="A789" s="226"/>
      <c r="B789" s="206"/>
      <c r="C789" s="206"/>
      <c r="D789" s="206"/>
    </row>
    <row r="790" spans="1:4" ht="24.6" x14ac:dyDescent="0.4">
      <c r="A790" s="229" t="s">
        <v>7</v>
      </c>
      <c r="B790" s="86" t="s">
        <v>558</v>
      </c>
      <c r="C790" s="230" t="s">
        <v>9</v>
      </c>
      <c r="D790" s="231" t="s">
        <v>11</v>
      </c>
    </row>
    <row r="791" spans="1:4" x14ac:dyDescent="0.45">
      <c r="A791" s="137"/>
      <c r="B791" s="441" t="s">
        <v>1440</v>
      </c>
      <c r="C791" s="218"/>
      <c r="D791" s="219"/>
    </row>
    <row r="792" spans="1:4" x14ac:dyDescent="0.4">
      <c r="A792" s="233">
        <v>1</v>
      </c>
      <c r="B792" s="252" t="s">
        <v>495</v>
      </c>
      <c r="C792" s="39" t="s">
        <v>556</v>
      </c>
      <c r="D792" s="39">
        <v>3</v>
      </c>
    </row>
    <row r="793" spans="1:4" x14ac:dyDescent="0.4">
      <c r="A793" s="233">
        <v>2</v>
      </c>
      <c r="B793" s="252" t="s">
        <v>496</v>
      </c>
      <c r="C793" s="39" t="s">
        <v>556</v>
      </c>
      <c r="D793" s="39">
        <v>4</v>
      </c>
    </row>
    <row r="794" spans="1:4" x14ac:dyDescent="0.4">
      <c r="A794" s="233">
        <v>3</v>
      </c>
      <c r="B794" s="252" t="s">
        <v>497</v>
      </c>
      <c r="C794" s="39" t="s">
        <v>556</v>
      </c>
      <c r="D794" s="39">
        <v>1</v>
      </c>
    </row>
    <row r="795" spans="1:4" ht="27.6" x14ac:dyDescent="0.4">
      <c r="A795" s="233">
        <v>4</v>
      </c>
      <c r="B795" s="252" t="s">
        <v>498</v>
      </c>
      <c r="C795" s="39" t="s">
        <v>556</v>
      </c>
      <c r="D795" s="39">
        <v>5</v>
      </c>
    </row>
    <row r="796" spans="1:4" x14ac:dyDescent="0.4">
      <c r="A796" s="233">
        <v>5</v>
      </c>
      <c r="B796" s="245" t="s">
        <v>499</v>
      </c>
      <c r="C796" s="39" t="s">
        <v>556</v>
      </c>
      <c r="D796" s="39">
        <v>6</v>
      </c>
    </row>
    <row r="797" spans="1:4" ht="27.6" x14ac:dyDescent="0.4">
      <c r="A797" s="233">
        <v>6</v>
      </c>
      <c r="B797" s="252" t="s">
        <v>500</v>
      </c>
      <c r="C797" s="39" t="s">
        <v>556</v>
      </c>
      <c r="D797" s="39">
        <v>1</v>
      </c>
    </row>
    <row r="798" spans="1:4" ht="27.6" x14ac:dyDescent="0.4">
      <c r="A798" s="233">
        <v>7</v>
      </c>
      <c r="B798" s="252" t="s">
        <v>501</v>
      </c>
      <c r="C798" s="39" t="s">
        <v>556</v>
      </c>
      <c r="D798" s="39">
        <v>1</v>
      </c>
    </row>
    <row r="799" spans="1:4" ht="27.6" x14ac:dyDescent="0.4">
      <c r="A799" s="233">
        <v>8</v>
      </c>
      <c r="B799" s="252" t="s">
        <v>502</v>
      </c>
      <c r="C799" s="39" t="s">
        <v>556</v>
      </c>
      <c r="D799" s="39">
        <v>1</v>
      </c>
    </row>
    <row r="800" spans="1:4" ht="27.6" x14ac:dyDescent="0.4">
      <c r="A800" s="233">
        <v>9</v>
      </c>
      <c r="B800" s="252" t="s">
        <v>503</v>
      </c>
      <c r="C800" s="39" t="s">
        <v>556</v>
      </c>
      <c r="D800" s="39">
        <v>1</v>
      </c>
    </row>
    <row r="801" spans="1:4" x14ac:dyDescent="0.4">
      <c r="A801" s="233">
        <v>10</v>
      </c>
      <c r="B801" s="252" t="s">
        <v>504</v>
      </c>
      <c r="C801" s="39" t="s">
        <v>556</v>
      </c>
      <c r="D801" s="39">
        <v>1</v>
      </c>
    </row>
    <row r="802" spans="1:4" x14ac:dyDescent="0.4">
      <c r="A802" s="233">
        <v>11</v>
      </c>
      <c r="B802" s="252" t="s">
        <v>505</v>
      </c>
      <c r="C802" s="39" t="s">
        <v>556</v>
      </c>
      <c r="D802" s="39">
        <v>1</v>
      </c>
    </row>
    <row r="803" spans="1:4" x14ac:dyDescent="0.4">
      <c r="A803" s="233">
        <v>12</v>
      </c>
      <c r="B803" s="245" t="s">
        <v>506</v>
      </c>
      <c r="C803" s="39" t="s">
        <v>556</v>
      </c>
      <c r="D803" s="39">
        <v>7</v>
      </c>
    </row>
    <row r="804" spans="1:4" x14ac:dyDescent="0.4">
      <c r="A804" s="233">
        <v>13</v>
      </c>
      <c r="B804" s="252" t="s">
        <v>507</v>
      </c>
      <c r="C804" s="39" t="s">
        <v>556</v>
      </c>
      <c r="D804" s="39">
        <v>9</v>
      </c>
    </row>
    <row r="805" spans="1:4" x14ac:dyDescent="0.4">
      <c r="A805" s="233">
        <v>14</v>
      </c>
      <c r="B805" s="245" t="s">
        <v>508</v>
      </c>
      <c r="C805" s="39" t="s">
        <v>556</v>
      </c>
      <c r="D805" s="39">
        <v>3</v>
      </c>
    </row>
    <row r="806" spans="1:4" x14ac:dyDescent="0.4">
      <c r="A806" s="233">
        <v>15</v>
      </c>
      <c r="B806" s="245" t="s">
        <v>509</v>
      </c>
      <c r="C806" s="39" t="s">
        <v>556</v>
      </c>
      <c r="D806" s="39">
        <v>1</v>
      </c>
    </row>
    <row r="807" spans="1:4" x14ac:dyDescent="0.4">
      <c r="A807" s="233">
        <v>16</v>
      </c>
      <c r="B807" s="245" t="s">
        <v>510</v>
      </c>
      <c r="C807" s="39" t="s">
        <v>556</v>
      </c>
      <c r="D807" s="39">
        <v>1</v>
      </c>
    </row>
    <row r="808" spans="1:4" x14ac:dyDescent="0.4">
      <c r="A808" s="233">
        <v>17</v>
      </c>
      <c r="B808" s="245" t="s">
        <v>511</v>
      </c>
      <c r="C808" s="39" t="s">
        <v>556</v>
      </c>
      <c r="D808" s="39">
        <v>3</v>
      </c>
    </row>
    <row r="809" spans="1:4" x14ac:dyDescent="0.4">
      <c r="A809" s="233">
        <v>18</v>
      </c>
      <c r="B809" s="245" t="s">
        <v>512</v>
      </c>
      <c r="C809" s="39" t="s">
        <v>556</v>
      </c>
      <c r="D809" s="39">
        <v>1</v>
      </c>
    </row>
    <row r="810" spans="1:4" x14ac:dyDescent="0.4">
      <c r="A810" s="233">
        <v>19</v>
      </c>
      <c r="B810" s="245" t="s">
        <v>513</v>
      </c>
      <c r="C810" s="39" t="s">
        <v>556</v>
      </c>
      <c r="D810" s="39">
        <v>1</v>
      </c>
    </row>
    <row r="811" spans="1:4" ht="27.6" x14ac:dyDescent="0.4">
      <c r="A811" s="233">
        <v>20</v>
      </c>
      <c r="B811" s="245" t="s">
        <v>514</v>
      </c>
      <c r="C811" s="39" t="s">
        <v>556</v>
      </c>
      <c r="D811" s="39">
        <v>1</v>
      </c>
    </row>
    <row r="812" spans="1:4" x14ac:dyDescent="0.4">
      <c r="A812" s="233">
        <v>21</v>
      </c>
      <c r="B812" s="245" t="s">
        <v>515</v>
      </c>
      <c r="C812" s="39" t="s">
        <v>556</v>
      </c>
      <c r="D812" s="39">
        <v>1</v>
      </c>
    </row>
    <row r="813" spans="1:4" x14ac:dyDescent="0.4">
      <c r="A813" s="233">
        <v>22</v>
      </c>
      <c r="B813" s="245" t="s">
        <v>516</v>
      </c>
      <c r="C813" s="39" t="s">
        <v>556</v>
      </c>
      <c r="D813" s="39">
        <v>1</v>
      </c>
    </row>
    <row r="814" spans="1:4" x14ac:dyDescent="0.4">
      <c r="A814" s="233">
        <v>23</v>
      </c>
      <c r="B814" s="245" t="s">
        <v>517</v>
      </c>
      <c r="C814" s="39" t="s">
        <v>556</v>
      </c>
      <c r="D814" s="39">
        <v>2</v>
      </c>
    </row>
    <row r="815" spans="1:4" x14ac:dyDescent="0.4">
      <c r="A815" s="233">
        <v>24</v>
      </c>
      <c r="B815" s="245" t="s">
        <v>518</v>
      </c>
      <c r="C815" s="39" t="s">
        <v>556</v>
      </c>
      <c r="D815" s="39">
        <v>1</v>
      </c>
    </row>
    <row r="816" spans="1:4" x14ac:dyDescent="0.4">
      <c r="A816" s="233">
        <v>25</v>
      </c>
      <c r="B816" s="245" t="s">
        <v>519</v>
      </c>
      <c r="C816" s="39" t="s">
        <v>556</v>
      </c>
      <c r="D816" s="39">
        <v>1</v>
      </c>
    </row>
    <row r="817" spans="1:4" x14ac:dyDescent="0.4">
      <c r="A817" s="233">
        <v>26</v>
      </c>
      <c r="B817" s="245" t="s">
        <v>520</v>
      </c>
      <c r="C817" s="39" t="s">
        <v>556</v>
      </c>
      <c r="D817" s="39">
        <v>1</v>
      </c>
    </row>
    <row r="818" spans="1:4" x14ac:dyDescent="0.4">
      <c r="A818" s="233">
        <v>27</v>
      </c>
      <c r="B818" s="245" t="s">
        <v>521</v>
      </c>
      <c r="C818" s="39" t="s">
        <v>556</v>
      </c>
      <c r="D818" s="39">
        <v>1</v>
      </c>
    </row>
    <row r="819" spans="1:4" x14ac:dyDescent="0.4">
      <c r="A819" s="233">
        <v>28</v>
      </c>
      <c r="B819" s="245" t="s">
        <v>522</v>
      </c>
      <c r="C819" s="39" t="s">
        <v>556</v>
      </c>
      <c r="D819" s="39">
        <v>1</v>
      </c>
    </row>
    <row r="820" spans="1:4" x14ac:dyDescent="0.4">
      <c r="A820" s="233">
        <v>29</v>
      </c>
      <c r="B820" s="245" t="s">
        <v>523</v>
      </c>
      <c r="C820" s="39" t="s">
        <v>556</v>
      </c>
      <c r="D820" s="39">
        <v>1</v>
      </c>
    </row>
    <row r="821" spans="1:4" ht="27.6" x14ac:dyDescent="0.4">
      <c r="A821" s="233">
        <v>30</v>
      </c>
      <c r="B821" s="245" t="s">
        <v>524</v>
      </c>
      <c r="C821" s="39" t="s">
        <v>556</v>
      </c>
      <c r="D821" s="39">
        <v>1</v>
      </c>
    </row>
    <row r="822" spans="1:4" ht="27.6" x14ac:dyDescent="0.4">
      <c r="A822" s="233">
        <v>31</v>
      </c>
      <c r="B822" s="252" t="s">
        <v>525</v>
      </c>
      <c r="C822" s="39" t="s">
        <v>556</v>
      </c>
      <c r="D822" s="39">
        <v>1</v>
      </c>
    </row>
    <row r="823" spans="1:4" x14ac:dyDescent="0.4">
      <c r="A823" s="233">
        <v>32</v>
      </c>
      <c r="B823" s="245" t="s">
        <v>526</v>
      </c>
      <c r="C823" s="39" t="s">
        <v>556</v>
      </c>
      <c r="D823" s="39">
        <v>1</v>
      </c>
    </row>
    <row r="824" spans="1:4" x14ac:dyDescent="0.4">
      <c r="A824" s="233">
        <v>33</v>
      </c>
      <c r="B824" s="213" t="s">
        <v>527</v>
      </c>
      <c r="C824" s="39" t="s">
        <v>556</v>
      </c>
      <c r="D824" s="39">
        <v>1</v>
      </c>
    </row>
    <row r="825" spans="1:4" x14ac:dyDescent="0.4">
      <c r="A825" s="233">
        <v>34</v>
      </c>
      <c r="B825" s="213" t="s">
        <v>528</v>
      </c>
      <c r="C825" s="39" t="s">
        <v>556</v>
      </c>
      <c r="D825" s="39">
        <v>2</v>
      </c>
    </row>
    <row r="826" spans="1:4" x14ac:dyDescent="0.4">
      <c r="A826" s="233">
        <v>35</v>
      </c>
      <c r="B826" s="213" t="s">
        <v>529</v>
      </c>
      <c r="C826" s="39" t="s">
        <v>556</v>
      </c>
      <c r="D826" s="39">
        <v>2</v>
      </c>
    </row>
    <row r="827" spans="1:4" x14ac:dyDescent="0.4">
      <c r="A827" s="233">
        <v>36</v>
      </c>
      <c r="B827" s="213" t="s">
        <v>530</v>
      </c>
      <c r="C827" s="39" t="s">
        <v>556</v>
      </c>
      <c r="D827" s="39">
        <v>1</v>
      </c>
    </row>
    <row r="828" spans="1:4" x14ac:dyDescent="0.4">
      <c r="A828" s="233">
        <v>37</v>
      </c>
      <c r="B828" s="213" t="s">
        <v>531</v>
      </c>
      <c r="C828" s="39" t="s">
        <v>556</v>
      </c>
      <c r="D828" s="39">
        <v>1</v>
      </c>
    </row>
    <row r="829" spans="1:4" x14ac:dyDescent="0.4">
      <c r="A829" s="233">
        <v>38</v>
      </c>
      <c r="B829" s="245" t="s">
        <v>532</v>
      </c>
      <c r="C829" s="39"/>
      <c r="D829" s="39"/>
    </row>
    <row r="830" spans="1:4" x14ac:dyDescent="0.4">
      <c r="A830" s="233">
        <v>39</v>
      </c>
      <c r="B830" s="245" t="s">
        <v>533</v>
      </c>
      <c r="C830" s="39" t="s">
        <v>556</v>
      </c>
      <c r="D830" s="39">
        <v>1</v>
      </c>
    </row>
    <row r="831" spans="1:4" x14ac:dyDescent="0.4">
      <c r="A831" s="233">
        <v>40</v>
      </c>
      <c r="B831" s="245" t="s">
        <v>534</v>
      </c>
      <c r="C831" s="39" t="s">
        <v>556</v>
      </c>
      <c r="D831" s="39">
        <v>1</v>
      </c>
    </row>
    <row r="832" spans="1:4" x14ac:dyDescent="0.4">
      <c r="A832" s="233">
        <v>41</v>
      </c>
      <c r="B832" s="245" t="s">
        <v>535</v>
      </c>
      <c r="C832" s="39" t="s">
        <v>556</v>
      </c>
      <c r="D832" s="32">
        <v>2</v>
      </c>
    </row>
    <row r="833" spans="1:4" x14ac:dyDescent="0.4">
      <c r="A833" s="233">
        <v>42</v>
      </c>
      <c r="B833" s="245" t="s">
        <v>536</v>
      </c>
      <c r="C833" s="39" t="s">
        <v>556</v>
      </c>
      <c r="D833" s="32">
        <v>1</v>
      </c>
    </row>
    <row r="834" spans="1:4" x14ac:dyDescent="0.4">
      <c r="A834" s="233">
        <v>43</v>
      </c>
      <c r="B834" s="245" t="s">
        <v>537</v>
      </c>
      <c r="C834" s="39" t="s">
        <v>556</v>
      </c>
      <c r="D834" s="222">
        <v>1</v>
      </c>
    </row>
    <row r="835" spans="1:4" x14ac:dyDescent="0.4">
      <c r="A835" s="233">
        <v>44</v>
      </c>
      <c r="B835" s="245" t="s">
        <v>538</v>
      </c>
      <c r="C835" s="39" t="s">
        <v>556</v>
      </c>
      <c r="D835" s="39">
        <v>1</v>
      </c>
    </row>
    <row r="836" spans="1:4" x14ac:dyDescent="0.4">
      <c r="A836" s="233">
        <v>45</v>
      </c>
      <c r="B836" s="36" t="s">
        <v>539</v>
      </c>
      <c r="C836" s="39" t="s">
        <v>556</v>
      </c>
      <c r="D836" s="39">
        <v>1</v>
      </c>
    </row>
    <row r="837" spans="1:4" x14ac:dyDescent="0.4">
      <c r="A837" s="233">
        <v>46</v>
      </c>
      <c r="B837" s="36" t="s">
        <v>540</v>
      </c>
      <c r="C837" s="39" t="s">
        <v>556</v>
      </c>
      <c r="D837" s="39">
        <v>1</v>
      </c>
    </row>
    <row r="838" spans="1:4" ht="27.6" x14ac:dyDescent="0.4">
      <c r="A838" s="233">
        <v>47</v>
      </c>
      <c r="B838" s="36" t="s">
        <v>541</v>
      </c>
      <c r="C838" s="39" t="s">
        <v>556</v>
      </c>
      <c r="D838" s="39">
        <v>1</v>
      </c>
    </row>
    <row r="839" spans="1:4" x14ac:dyDescent="0.4">
      <c r="A839" s="233">
        <v>48</v>
      </c>
      <c r="B839" s="36" t="s">
        <v>542</v>
      </c>
      <c r="C839" s="39" t="s">
        <v>556</v>
      </c>
      <c r="D839" s="39">
        <v>1</v>
      </c>
    </row>
    <row r="840" spans="1:4" x14ac:dyDescent="0.4">
      <c r="A840" s="233">
        <v>49</v>
      </c>
      <c r="B840" s="36" t="s">
        <v>543</v>
      </c>
      <c r="C840" s="39" t="s">
        <v>556</v>
      </c>
      <c r="D840" s="39">
        <v>2</v>
      </c>
    </row>
    <row r="841" spans="1:4" x14ac:dyDescent="0.4">
      <c r="A841" s="233">
        <v>50</v>
      </c>
      <c r="B841" s="36" t="s">
        <v>1268</v>
      </c>
      <c r="C841" s="39" t="s">
        <v>557</v>
      </c>
      <c r="D841" s="39">
        <v>1</v>
      </c>
    </row>
    <row r="842" spans="1:4" x14ac:dyDescent="0.4">
      <c r="A842" s="233">
        <v>51</v>
      </c>
      <c r="B842" s="36" t="s">
        <v>544</v>
      </c>
      <c r="C842" s="39" t="s">
        <v>557</v>
      </c>
      <c r="D842" s="39">
        <v>1</v>
      </c>
    </row>
    <row r="843" spans="1:4" x14ac:dyDescent="0.4">
      <c r="A843" s="233">
        <v>52</v>
      </c>
      <c r="B843" s="36" t="s">
        <v>545</v>
      </c>
      <c r="C843" s="39" t="s">
        <v>557</v>
      </c>
      <c r="D843" s="39">
        <v>4</v>
      </c>
    </row>
    <row r="844" spans="1:4" x14ac:dyDescent="0.4">
      <c r="A844" s="216"/>
      <c r="B844" s="36"/>
      <c r="C844" s="39"/>
      <c r="D844" s="39"/>
    </row>
    <row r="845" spans="1:4" x14ac:dyDescent="0.4">
      <c r="A845" s="216"/>
      <c r="B845" s="158" t="s">
        <v>546</v>
      </c>
      <c r="C845" s="39"/>
      <c r="D845" s="39"/>
    </row>
    <row r="846" spans="1:4" x14ac:dyDescent="0.4">
      <c r="A846" s="216"/>
      <c r="B846" s="40"/>
      <c r="C846" s="39"/>
      <c r="D846" s="39"/>
    </row>
    <row r="847" spans="1:4" ht="24.6" x14ac:dyDescent="0.4">
      <c r="A847" s="229" t="s">
        <v>7</v>
      </c>
      <c r="B847" s="86" t="s">
        <v>8</v>
      </c>
      <c r="C847" s="230" t="s">
        <v>9</v>
      </c>
      <c r="D847" s="231" t="s">
        <v>11</v>
      </c>
    </row>
    <row r="848" spans="1:4" x14ac:dyDescent="0.4">
      <c r="A848" s="216">
        <v>1</v>
      </c>
      <c r="B848" s="36" t="s">
        <v>547</v>
      </c>
      <c r="C848" s="220" t="s">
        <v>556</v>
      </c>
      <c r="D848" s="221">
        <v>1</v>
      </c>
    </row>
    <row r="849" spans="1:4" x14ac:dyDescent="0.4">
      <c r="A849" s="216">
        <v>2</v>
      </c>
      <c r="B849" s="245" t="s">
        <v>535</v>
      </c>
      <c r="C849" s="39" t="s">
        <v>557</v>
      </c>
      <c r="D849" s="39">
        <v>1</v>
      </c>
    </row>
    <row r="850" spans="1:4" x14ac:dyDescent="0.4">
      <c r="A850" s="216">
        <v>3</v>
      </c>
      <c r="B850" s="36" t="s">
        <v>540</v>
      </c>
      <c r="C850" s="220" t="s">
        <v>556</v>
      </c>
      <c r="D850" s="39">
        <v>1</v>
      </c>
    </row>
    <row r="851" spans="1:4" x14ac:dyDescent="0.4">
      <c r="A851" s="216">
        <v>4</v>
      </c>
      <c r="B851" s="245" t="s">
        <v>538</v>
      </c>
      <c r="C851" s="220" t="s">
        <v>556</v>
      </c>
      <c r="D851" s="39">
        <v>1</v>
      </c>
    </row>
    <row r="852" spans="1:4" ht="27.6" x14ac:dyDescent="0.4">
      <c r="A852" s="216">
        <v>5</v>
      </c>
      <c r="B852" s="36" t="s">
        <v>541</v>
      </c>
      <c r="C852" s="220" t="s">
        <v>556</v>
      </c>
      <c r="D852" s="39">
        <v>1</v>
      </c>
    </row>
    <row r="853" spans="1:4" x14ac:dyDescent="0.4">
      <c r="A853" s="216">
        <v>6</v>
      </c>
      <c r="B853" s="245" t="s">
        <v>537</v>
      </c>
      <c r="C853" s="220" t="s">
        <v>556</v>
      </c>
      <c r="D853" s="222">
        <v>1</v>
      </c>
    </row>
    <row r="854" spans="1:4" x14ac:dyDescent="0.4">
      <c r="A854" s="216">
        <v>7</v>
      </c>
      <c r="B854" s="245" t="s">
        <v>548</v>
      </c>
      <c r="C854" s="39" t="s">
        <v>556</v>
      </c>
      <c r="D854" s="32">
        <v>4</v>
      </c>
    </row>
    <row r="855" spans="1:4" x14ac:dyDescent="0.4">
      <c r="A855" s="216">
        <v>8</v>
      </c>
      <c r="B855" s="245" t="s">
        <v>549</v>
      </c>
      <c r="C855" s="39" t="s">
        <v>556</v>
      </c>
      <c r="D855" s="222">
        <v>1</v>
      </c>
    </row>
    <row r="856" spans="1:4" x14ac:dyDescent="0.4">
      <c r="A856" s="216">
        <v>9</v>
      </c>
      <c r="B856" s="245" t="s">
        <v>550</v>
      </c>
      <c r="C856" s="39" t="s">
        <v>556</v>
      </c>
      <c r="D856" s="222">
        <v>1</v>
      </c>
    </row>
    <row r="857" spans="1:4" x14ac:dyDescent="0.4">
      <c r="A857" s="216">
        <v>10</v>
      </c>
      <c r="B857" s="245" t="s">
        <v>551</v>
      </c>
      <c r="C857" s="39" t="s">
        <v>556</v>
      </c>
      <c r="D857" s="222">
        <v>1</v>
      </c>
    </row>
    <row r="858" spans="1:4" x14ac:dyDescent="0.4">
      <c r="A858" s="216">
        <v>11</v>
      </c>
      <c r="B858" s="245" t="s">
        <v>552</v>
      </c>
      <c r="C858" s="39" t="s">
        <v>556</v>
      </c>
      <c r="D858" s="222">
        <v>1</v>
      </c>
    </row>
    <row r="859" spans="1:4" x14ac:dyDescent="0.4">
      <c r="A859" s="216">
        <v>12</v>
      </c>
      <c r="B859" s="245" t="s">
        <v>553</v>
      </c>
      <c r="C859" s="39" t="s">
        <v>556</v>
      </c>
      <c r="D859" s="222">
        <v>1</v>
      </c>
    </row>
    <row r="860" spans="1:4" x14ac:dyDescent="0.4">
      <c r="A860" s="216">
        <v>13</v>
      </c>
      <c r="B860" s="245" t="s">
        <v>554</v>
      </c>
      <c r="C860" s="39" t="s">
        <v>556</v>
      </c>
      <c r="D860" s="222">
        <v>1</v>
      </c>
    </row>
    <row r="863" spans="1:4" ht="17.399999999999999" x14ac:dyDescent="0.4">
      <c r="A863" s="342" t="s">
        <v>1283</v>
      </c>
      <c r="B863" s="224"/>
      <c r="C863" s="224"/>
      <c r="D863" s="224"/>
    </row>
    <row r="864" spans="1:4" x14ac:dyDescent="0.4">
      <c r="A864" s="264"/>
      <c r="B864" s="224"/>
      <c r="C864" s="224"/>
      <c r="D864" s="224"/>
    </row>
    <row r="865" spans="1:4" ht="17.399999999999999" x14ac:dyDescent="0.4">
      <c r="A865" s="457" t="s">
        <v>1035</v>
      </c>
      <c r="B865" s="457"/>
      <c r="C865" s="457"/>
      <c r="D865" s="457"/>
    </row>
    <row r="866" spans="1:4" x14ac:dyDescent="0.4">
      <c r="A866" s="264"/>
      <c r="B866" s="224"/>
      <c r="C866" s="224"/>
      <c r="D866" s="224"/>
    </row>
    <row r="867" spans="1:4" x14ac:dyDescent="0.4">
      <c r="A867" s="398" t="s">
        <v>7</v>
      </c>
      <c r="B867" s="399" t="s">
        <v>1036</v>
      </c>
      <c r="C867" s="399" t="s">
        <v>1037</v>
      </c>
      <c r="D867" s="399" t="s">
        <v>1038</v>
      </c>
    </row>
    <row r="868" spans="1:4" x14ac:dyDescent="0.4">
      <c r="A868" s="403"/>
      <c r="B868" s="406" t="s">
        <v>1035</v>
      </c>
      <c r="C868" s="405"/>
      <c r="D868" s="405"/>
    </row>
    <row r="869" spans="1:4" ht="14.7" x14ac:dyDescent="0.4">
      <c r="A869" s="403"/>
      <c r="B869" s="442" t="s">
        <v>1039</v>
      </c>
      <c r="C869" s="400"/>
      <c r="D869" s="400"/>
    </row>
    <row r="870" spans="1:4" x14ac:dyDescent="0.4">
      <c r="A870" s="407"/>
      <c r="C870" s="400"/>
      <c r="D870" s="400"/>
    </row>
    <row r="871" spans="1:4" ht="27.6" x14ac:dyDescent="0.4">
      <c r="A871" s="398">
        <v>1</v>
      </c>
      <c r="B871" s="401" t="s">
        <v>1279</v>
      </c>
      <c r="C871" s="399" t="s">
        <v>557</v>
      </c>
      <c r="D871" s="399">
        <v>3</v>
      </c>
    </row>
    <row r="872" spans="1:4" x14ac:dyDescent="0.4">
      <c r="A872" s="398">
        <v>2</v>
      </c>
      <c r="B872" s="402" t="s">
        <v>1040</v>
      </c>
      <c r="C872" s="399" t="s">
        <v>622</v>
      </c>
      <c r="D872" s="399">
        <v>3000</v>
      </c>
    </row>
    <row r="873" spans="1:4" x14ac:dyDescent="0.4">
      <c r="A873" s="398">
        <v>3</v>
      </c>
      <c r="B873" s="401" t="s">
        <v>1041</v>
      </c>
      <c r="C873" s="399" t="s">
        <v>557</v>
      </c>
      <c r="D873" s="399">
        <v>3</v>
      </c>
    </row>
    <row r="874" spans="1:4" x14ac:dyDescent="0.4">
      <c r="A874" s="398">
        <v>4</v>
      </c>
      <c r="B874" s="401" t="s">
        <v>1042</v>
      </c>
      <c r="C874" s="399" t="s">
        <v>557</v>
      </c>
      <c r="D874" s="399">
        <v>3</v>
      </c>
    </row>
    <row r="875" spans="1:4" ht="27.6" x14ac:dyDescent="0.4">
      <c r="A875" s="398">
        <v>5</v>
      </c>
      <c r="B875" s="402" t="s">
        <v>1284</v>
      </c>
      <c r="C875" s="399" t="s">
        <v>557</v>
      </c>
      <c r="D875" s="399">
        <v>6</v>
      </c>
    </row>
    <row r="876" spans="1:4" x14ac:dyDescent="0.4">
      <c r="A876" s="398">
        <v>6</v>
      </c>
      <c r="B876" s="402" t="s">
        <v>1045</v>
      </c>
      <c r="C876" s="399" t="s">
        <v>557</v>
      </c>
      <c r="D876" s="399">
        <v>28</v>
      </c>
    </row>
    <row r="877" spans="1:4" x14ac:dyDescent="0.4">
      <c r="A877" s="398">
        <v>7</v>
      </c>
      <c r="B877" s="402" t="s">
        <v>1046</v>
      </c>
      <c r="C877" s="399" t="s">
        <v>557</v>
      </c>
      <c r="D877" s="399">
        <v>2</v>
      </c>
    </row>
    <row r="878" spans="1:4" x14ac:dyDescent="0.4">
      <c r="A878" s="398">
        <v>8</v>
      </c>
      <c r="B878" s="402" t="s">
        <v>1047</v>
      </c>
      <c r="C878" s="399" t="s">
        <v>557</v>
      </c>
      <c r="D878" s="399">
        <v>2</v>
      </c>
    </row>
    <row r="879" spans="1:4" ht="27.6" x14ac:dyDescent="0.4">
      <c r="A879" s="398">
        <v>9</v>
      </c>
      <c r="B879" s="402" t="s">
        <v>1048</v>
      </c>
      <c r="C879" s="399" t="s">
        <v>557</v>
      </c>
      <c r="D879" s="399">
        <v>1</v>
      </c>
    </row>
    <row r="880" spans="1:4" x14ac:dyDescent="0.4">
      <c r="A880" s="398">
        <v>10</v>
      </c>
      <c r="B880" s="401" t="s">
        <v>1049</v>
      </c>
      <c r="C880" s="399" t="s">
        <v>557</v>
      </c>
      <c r="D880" s="399">
        <v>2</v>
      </c>
    </row>
    <row r="881" spans="1:4" x14ac:dyDescent="0.4">
      <c r="A881" s="398">
        <v>11</v>
      </c>
      <c r="B881" s="402" t="s">
        <v>1287</v>
      </c>
      <c r="C881" s="399" t="s">
        <v>557</v>
      </c>
      <c r="D881" s="399">
        <v>1</v>
      </c>
    </row>
    <row r="882" spans="1:4" ht="12.3" x14ac:dyDescent="0.4">
      <c r="A882" s="459">
        <v>12</v>
      </c>
      <c r="B882" s="460" t="s">
        <v>1052</v>
      </c>
      <c r="C882" s="458" t="s">
        <v>557</v>
      </c>
      <c r="D882" s="458">
        <v>1</v>
      </c>
    </row>
    <row r="883" spans="1:4" ht="12.3" x14ac:dyDescent="0.4">
      <c r="A883" s="459"/>
      <c r="B883" s="460"/>
      <c r="C883" s="458"/>
      <c r="D883" s="458"/>
    </row>
    <row r="884" spans="1:4" x14ac:dyDescent="0.4">
      <c r="A884" s="398">
        <v>13</v>
      </c>
      <c r="B884" s="402" t="s">
        <v>1053</v>
      </c>
      <c r="C884" s="399" t="s">
        <v>4</v>
      </c>
      <c r="D884" s="399">
        <v>1</v>
      </c>
    </row>
    <row r="885" spans="1:4" x14ac:dyDescent="0.4">
      <c r="A885" s="398">
        <v>14</v>
      </c>
      <c r="B885" s="402" t="s">
        <v>1280</v>
      </c>
      <c r="C885" s="399" t="s">
        <v>4</v>
      </c>
      <c r="D885" s="399">
        <v>1</v>
      </c>
    </row>
    <row r="886" spans="1:4" ht="27.6" x14ac:dyDescent="0.4">
      <c r="A886" s="398">
        <v>15</v>
      </c>
      <c r="B886" s="402" t="s">
        <v>1054</v>
      </c>
      <c r="C886" s="399" t="s">
        <v>1055</v>
      </c>
      <c r="D886" s="399">
        <v>1</v>
      </c>
    </row>
    <row r="887" spans="1:4" ht="27.6" x14ac:dyDescent="0.4">
      <c r="A887" s="398">
        <v>16</v>
      </c>
      <c r="B887" s="402" t="s">
        <v>1056</v>
      </c>
      <c r="C887" s="399" t="s">
        <v>4</v>
      </c>
      <c r="D887" s="399">
        <v>2</v>
      </c>
    </row>
    <row r="888" spans="1:4" ht="27.6" x14ac:dyDescent="0.4">
      <c r="A888" s="398">
        <v>17</v>
      </c>
      <c r="B888" s="402" t="s">
        <v>1057</v>
      </c>
      <c r="C888" s="399" t="s">
        <v>4</v>
      </c>
      <c r="D888" s="399">
        <v>2</v>
      </c>
    </row>
    <row r="889" spans="1:4" ht="27.6" x14ac:dyDescent="0.4">
      <c r="A889" s="403">
        <v>18</v>
      </c>
      <c r="B889" s="404" t="s">
        <v>1058</v>
      </c>
      <c r="C889" s="405" t="s">
        <v>4</v>
      </c>
      <c r="D889" s="405">
        <v>4</v>
      </c>
    </row>
    <row r="890" spans="1:4" x14ac:dyDescent="0.4">
      <c r="A890" s="161"/>
      <c r="B890" s="130"/>
      <c r="C890" s="130"/>
      <c r="D890" s="130"/>
    </row>
    <row r="891" spans="1:4" x14ac:dyDescent="0.4">
      <c r="A891" s="161"/>
      <c r="B891" s="130"/>
      <c r="C891" s="130"/>
      <c r="D891" s="130"/>
    </row>
    <row r="892" spans="1:4" x14ac:dyDescent="0.4">
      <c r="A892" s="398" t="s">
        <v>7</v>
      </c>
      <c r="B892" s="399" t="s">
        <v>1036</v>
      </c>
      <c r="C892" s="399" t="s">
        <v>1037</v>
      </c>
      <c r="D892" s="399" t="s">
        <v>1038</v>
      </c>
    </row>
    <row r="893" spans="1:4" ht="14.7" x14ac:dyDescent="0.4">
      <c r="A893" s="407"/>
      <c r="B893" s="436" t="s">
        <v>1061</v>
      </c>
      <c r="C893" s="408"/>
      <c r="D893" s="408"/>
    </row>
    <row r="894" spans="1:4" ht="12.3" x14ac:dyDescent="0.4">
      <c r="A894" s="462"/>
      <c r="B894" s="461" t="s">
        <v>1062</v>
      </c>
      <c r="C894" s="464"/>
      <c r="D894" s="464"/>
    </row>
    <row r="895" spans="1:4" ht="12.3" x14ac:dyDescent="0.4">
      <c r="A895" s="463"/>
      <c r="B895" s="461"/>
      <c r="C895" s="465"/>
      <c r="D895" s="465"/>
    </row>
    <row r="896" spans="1:4" ht="14.7" x14ac:dyDescent="0.4">
      <c r="A896" s="407"/>
      <c r="B896" s="436"/>
      <c r="C896" s="408"/>
      <c r="D896" s="408"/>
    </row>
    <row r="897" spans="1:4" ht="27.6" x14ac:dyDescent="0.4">
      <c r="A897" s="398">
        <v>1</v>
      </c>
      <c r="B897" s="401" t="s">
        <v>1281</v>
      </c>
      <c r="C897" s="399" t="s">
        <v>557</v>
      </c>
      <c r="D897" s="399">
        <v>4</v>
      </c>
    </row>
    <row r="898" spans="1:4" x14ac:dyDescent="0.4">
      <c r="A898" s="398">
        <v>2</v>
      </c>
      <c r="B898" s="402" t="s">
        <v>1040</v>
      </c>
      <c r="C898" s="399" t="s">
        <v>622</v>
      </c>
      <c r="D898" s="399">
        <v>5400</v>
      </c>
    </row>
    <row r="899" spans="1:4" x14ac:dyDescent="0.4">
      <c r="A899" s="398">
        <v>3</v>
      </c>
      <c r="B899" s="401" t="s">
        <v>1040</v>
      </c>
      <c r="C899" s="399" t="s">
        <v>4</v>
      </c>
      <c r="D899" s="399">
        <v>1100</v>
      </c>
    </row>
    <row r="900" spans="1:4" x14ac:dyDescent="0.4">
      <c r="A900" s="398">
        <v>4</v>
      </c>
      <c r="B900" s="401" t="s">
        <v>1063</v>
      </c>
      <c r="C900" s="399" t="s">
        <v>557</v>
      </c>
      <c r="D900" s="399">
        <v>4</v>
      </c>
    </row>
    <row r="901" spans="1:4" x14ac:dyDescent="0.4">
      <c r="A901" s="398">
        <v>5</v>
      </c>
      <c r="B901" s="402" t="s">
        <v>1064</v>
      </c>
      <c r="C901" s="399" t="s">
        <v>557</v>
      </c>
      <c r="D901" s="399">
        <v>4</v>
      </c>
    </row>
    <row r="902" spans="1:4" ht="27.6" x14ac:dyDescent="0.4">
      <c r="A902" s="398">
        <v>6</v>
      </c>
      <c r="B902" s="401" t="s">
        <v>1286</v>
      </c>
      <c r="C902" s="399" t="s">
        <v>4</v>
      </c>
      <c r="D902" s="399">
        <v>8</v>
      </c>
    </row>
    <row r="903" spans="1:4" x14ac:dyDescent="0.4">
      <c r="A903" s="398">
        <v>7</v>
      </c>
      <c r="B903" s="402" t="s">
        <v>1045</v>
      </c>
      <c r="C903" s="399" t="s">
        <v>557</v>
      </c>
      <c r="D903" s="399">
        <v>38</v>
      </c>
    </row>
    <row r="904" spans="1:4" x14ac:dyDescent="0.4">
      <c r="A904" s="398">
        <v>8</v>
      </c>
      <c r="B904" s="402" t="s">
        <v>1046</v>
      </c>
      <c r="C904" s="399" t="s">
        <v>557</v>
      </c>
      <c r="D904" s="399">
        <v>3</v>
      </c>
    </row>
    <row r="905" spans="1:4" x14ac:dyDescent="0.4">
      <c r="A905" s="398">
        <v>9</v>
      </c>
      <c r="B905" s="402" t="s">
        <v>1065</v>
      </c>
      <c r="C905" s="399" t="s">
        <v>557</v>
      </c>
      <c r="D905" s="399">
        <v>2</v>
      </c>
    </row>
    <row r="906" spans="1:4" x14ac:dyDescent="0.4">
      <c r="A906" s="398">
        <v>10</v>
      </c>
      <c r="B906" s="402" t="s">
        <v>1047</v>
      </c>
      <c r="C906" s="399" t="s">
        <v>557</v>
      </c>
      <c r="D906" s="399">
        <v>4</v>
      </c>
    </row>
    <row r="907" spans="1:4" ht="27.6" x14ac:dyDescent="0.4">
      <c r="A907" s="398">
        <v>11</v>
      </c>
      <c r="B907" s="402" t="s">
        <v>1048</v>
      </c>
      <c r="C907" s="399" t="s">
        <v>557</v>
      </c>
      <c r="D907" s="399">
        <v>1</v>
      </c>
    </row>
    <row r="908" spans="1:4" x14ac:dyDescent="0.4">
      <c r="A908" s="398">
        <v>12</v>
      </c>
      <c r="B908" s="401" t="s">
        <v>1049</v>
      </c>
      <c r="C908" s="399" t="s">
        <v>557</v>
      </c>
      <c r="D908" s="399">
        <v>2</v>
      </c>
    </row>
    <row r="909" spans="1:4" x14ac:dyDescent="0.4">
      <c r="A909" s="459">
        <v>13</v>
      </c>
      <c r="B909" s="402" t="s">
        <v>1050</v>
      </c>
      <c r="C909" s="458" t="s">
        <v>557</v>
      </c>
      <c r="D909" s="458">
        <v>1</v>
      </c>
    </row>
    <row r="910" spans="1:4" x14ac:dyDescent="0.4">
      <c r="A910" s="459"/>
      <c r="B910" s="402" t="s">
        <v>1051</v>
      </c>
      <c r="C910" s="458"/>
      <c r="D910" s="458"/>
    </row>
    <row r="911" spans="1:4" ht="12.3" x14ac:dyDescent="0.4">
      <c r="A911" s="459">
        <v>14</v>
      </c>
      <c r="B911" s="460" t="s">
        <v>1052</v>
      </c>
      <c r="C911" s="458" t="s">
        <v>557</v>
      </c>
      <c r="D911" s="458">
        <v>1</v>
      </c>
    </row>
    <row r="912" spans="1:4" ht="12.3" x14ac:dyDescent="0.4">
      <c r="A912" s="459"/>
      <c r="B912" s="460"/>
      <c r="C912" s="458"/>
      <c r="D912" s="458"/>
    </row>
    <row r="913" spans="1:4" x14ac:dyDescent="0.4">
      <c r="A913" s="398">
        <v>15</v>
      </c>
      <c r="B913" s="402" t="s">
        <v>1053</v>
      </c>
      <c r="C913" s="399" t="s">
        <v>4</v>
      </c>
      <c r="D913" s="399">
        <v>1</v>
      </c>
    </row>
    <row r="914" spans="1:4" x14ac:dyDescent="0.4">
      <c r="A914" s="398">
        <v>16</v>
      </c>
      <c r="B914" s="402" t="s">
        <v>1066</v>
      </c>
      <c r="C914" s="399" t="s">
        <v>557</v>
      </c>
      <c r="D914" s="399">
        <v>4</v>
      </c>
    </row>
    <row r="915" spans="1:4" x14ac:dyDescent="0.4">
      <c r="A915" s="398">
        <v>17</v>
      </c>
      <c r="B915" s="402" t="s">
        <v>1067</v>
      </c>
      <c r="C915" s="399" t="s">
        <v>4</v>
      </c>
      <c r="D915" s="399">
        <v>4</v>
      </c>
    </row>
    <row r="916" spans="1:4" x14ac:dyDescent="0.4">
      <c r="A916" s="398">
        <v>18</v>
      </c>
      <c r="B916" s="402" t="s">
        <v>1068</v>
      </c>
      <c r="C916" s="399" t="s">
        <v>4</v>
      </c>
      <c r="D916" s="399">
        <v>4</v>
      </c>
    </row>
    <row r="917" spans="1:4" x14ac:dyDescent="0.4">
      <c r="A917" s="398">
        <v>19</v>
      </c>
      <c r="B917" s="402" t="s">
        <v>1069</v>
      </c>
      <c r="C917" s="399" t="s">
        <v>4</v>
      </c>
      <c r="D917" s="399">
        <v>17</v>
      </c>
    </row>
    <row r="918" spans="1:4" x14ac:dyDescent="0.4">
      <c r="A918" s="398">
        <v>20</v>
      </c>
      <c r="B918" s="402" t="s">
        <v>1070</v>
      </c>
      <c r="C918" s="399" t="s">
        <v>4</v>
      </c>
      <c r="D918" s="399">
        <v>2</v>
      </c>
    </row>
    <row r="919" spans="1:4" ht="27.6" x14ac:dyDescent="0.4">
      <c r="A919" s="398">
        <v>21</v>
      </c>
      <c r="B919" s="401" t="s">
        <v>1284</v>
      </c>
      <c r="C919" s="399" t="s">
        <v>4</v>
      </c>
      <c r="D919" s="399">
        <v>4</v>
      </c>
    </row>
    <row r="920" spans="1:4" x14ac:dyDescent="0.4">
      <c r="A920" s="398">
        <v>22</v>
      </c>
      <c r="B920" s="402" t="s">
        <v>1071</v>
      </c>
      <c r="C920" s="399" t="s">
        <v>4</v>
      </c>
      <c r="D920" s="399">
        <v>3</v>
      </c>
    </row>
    <row r="921" spans="1:4" ht="12.3" x14ac:dyDescent="0.4">
      <c r="A921" s="459">
        <v>23</v>
      </c>
      <c r="B921" s="460" t="s">
        <v>1054</v>
      </c>
      <c r="C921" s="458" t="s">
        <v>1055</v>
      </c>
      <c r="D921" s="458">
        <v>1</v>
      </c>
    </row>
    <row r="922" spans="1:4" ht="12.3" x14ac:dyDescent="0.4">
      <c r="A922" s="459"/>
      <c r="B922" s="460"/>
      <c r="C922" s="458"/>
      <c r="D922" s="458"/>
    </row>
    <row r="923" spans="1:4" x14ac:dyDescent="0.4">
      <c r="A923" s="161"/>
      <c r="B923" s="130"/>
      <c r="C923" s="130"/>
      <c r="D923" s="130"/>
    </row>
    <row r="924" spans="1:4" x14ac:dyDescent="0.4">
      <c r="A924" s="445"/>
      <c r="B924" s="130"/>
      <c r="C924" s="130"/>
      <c r="D924" s="130"/>
    </row>
    <row r="925" spans="1:4" x14ac:dyDescent="0.4">
      <c r="A925" s="403" t="s">
        <v>7</v>
      </c>
      <c r="B925" s="405" t="s">
        <v>1036</v>
      </c>
      <c r="C925" s="405" t="s">
        <v>1037</v>
      </c>
      <c r="D925" s="405" t="s">
        <v>1038</v>
      </c>
    </row>
    <row r="926" spans="1:4" ht="14.7" x14ac:dyDescent="0.4">
      <c r="A926" s="403"/>
      <c r="B926" s="444" t="s">
        <v>1072</v>
      </c>
      <c r="C926" s="405"/>
      <c r="D926" s="405"/>
    </row>
    <row r="927" spans="1:4" ht="12.3" x14ac:dyDescent="0.4">
      <c r="A927" s="472"/>
      <c r="B927" s="473" t="s">
        <v>1073</v>
      </c>
      <c r="C927" s="460"/>
      <c r="D927" s="460"/>
    </row>
    <row r="928" spans="1:4" ht="12.3" x14ac:dyDescent="0.4">
      <c r="A928" s="472"/>
      <c r="B928" s="473"/>
      <c r="C928" s="460"/>
      <c r="D928" s="460"/>
    </row>
    <row r="929" spans="1:4" x14ac:dyDescent="0.4">
      <c r="A929" s="398">
        <v>1</v>
      </c>
      <c r="B929" s="401" t="s">
        <v>1074</v>
      </c>
      <c r="C929" s="399" t="s">
        <v>557</v>
      </c>
      <c r="D929" s="399">
        <v>1</v>
      </c>
    </row>
    <row r="930" spans="1:4" x14ac:dyDescent="0.4">
      <c r="A930" s="398">
        <v>2</v>
      </c>
      <c r="B930" s="402" t="s">
        <v>1040</v>
      </c>
      <c r="C930" s="399" t="s">
        <v>622</v>
      </c>
      <c r="D930" s="399">
        <v>450</v>
      </c>
    </row>
    <row r="931" spans="1:4" x14ac:dyDescent="0.4">
      <c r="A931" s="398">
        <v>3</v>
      </c>
      <c r="B931" s="401" t="s">
        <v>1075</v>
      </c>
      <c r="C931" s="399" t="s">
        <v>557</v>
      </c>
      <c r="D931" s="399">
        <v>1</v>
      </c>
    </row>
    <row r="932" spans="1:4" ht="27.6" x14ac:dyDescent="0.4">
      <c r="A932" s="398">
        <v>4</v>
      </c>
      <c r="B932" s="402" t="s">
        <v>1284</v>
      </c>
      <c r="C932" s="399" t="s">
        <v>557</v>
      </c>
      <c r="D932" s="399">
        <v>1</v>
      </c>
    </row>
    <row r="933" spans="1:4" x14ac:dyDescent="0.4">
      <c r="A933" s="398">
        <v>5</v>
      </c>
      <c r="B933" s="402" t="s">
        <v>1045</v>
      </c>
      <c r="C933" s="399" t="s">
        <v>557</v>
      </c>
      <c r="D933" s="399">
        <v>8</v>
      </c>
    </row>
    <row r="934" spans="1:4" x14ac:dyDescent="0.4">
      <c r="A934" s="398">
        <v>6</v>
      </c>
      <c r="B934" s="402" t="s">
        <v>1065</v>
      </c>
      <c r="C934" s="399" t="s">
        <v>557</v>
      </c>
      <c r="D934" s="399">
        <v>3</v>
      </c>
    </row>
    <row r="935" spans="1:4" x14ac:dyDescent="0.4">
      <c r="A935" s="398">
        <v>7</v>
      </c>
      <c r="B935" s="402" t="s">
        <v>1047</v>
      </c>
      <c r="C935" s="399" t="s">
        <v>557</v>
      </c>
      <c r="D935" s="399">
        <v>2</v>
      </c>
    </row>
    <row r="936" spans="1:4" x14ac:dyDescent="0.4">
      <c r="A936" s="398">
        <v>8</v>
      </c>
      <c r="B936" s="402" t="s">
        <v>1076</v>
      </c>
      <c r="C936" s="399" t="s">
        <v>557</v>
      </c>
      <c r="D936" s="399">
        <v>1</v>
      </c>
    </row>
    <row r="937" spans="1:4" x14ac:dyDescent="0.4">
      <c r="A937" s="398">
        <v>9</v>
      </c>
      <c r="B937" s="401" t="s">
        <v>1077</v>
      </c>
      <c r="C937" s="399" t="s">
        <v>4</v>
      </c>
      <c r="D937" s="399">
        <v>1</v>
      </c>
    </row>
    <row r="938" spans="1:4" x14ac:dyDescent="0.4">
      <c r="A938" s="398">
        <v>10</v>
      </c>
      <c r="B938" s="401" t="s">
        <v>1078</v>
      </c>
      <c r="C938" s="399" t="s">
        <v>557</v>
      </c>
      <c r="D938" s="399">
        <v>1</v>
      </c>
    </row>
    <row r="939" spans="1:4" x14ac:dyDescent="0.4">
      <c r="A939" s="398">
        <v>11</v>
      </c>
      <c r="B939" s="401" t="s">
        <v>1071</v>
      </c>
      <c r="C939" s="399" t="s">
        <v>4</v>
      </c>
      <c r="D939" s="399">
        <v>2</v>
      </c>
    </row>
    <row r="940" spans="1:4" x14ac:dyDescent="0.4">
      <c r="A940" s="398">
        <v>12</v>
      </c>
      <c r="B940" s="401" t="s">
        <v>1079</v>
      </c>
      <c r="C940" s="399" t="s">
        <v>4</v>
      </c>
      <c r="D940" s="399">
        <v>1</v>
      </c>
    </row>
    <row r="941" spans="1:4" ht="27.6" x14ac:dyDescent="0.4">
      <c r="A941" s="398">
        <v>13</v>
      </c>
      <c r="B941" s="401" t="s">
        <v>1284</v>
      </c>
      <c r="C941" s="399" t="s">
        <v>4</v>
      </c>
      <c r="D941" s="399">
        <v>2</v>
      </c>
    </row>
    <row r="942" spans="1:4" x14ac:dyDescent="0.4">
      <c r="A942" s="398">
        <v>14</v>
      </c>
      <c r="B942" s="402" t="s">
        <v>1080</v>
      </c>
      <c r="C942" s="399" t="s">
        <v>557</v>
      </c>
      <c r="D942" s="399">
        <v>1</v>
      </c>
    </row>
    <row r="943" spans="1:4" ht="27.6" x14ac:dyDescent="0.4">
      <c r="A943" s="398">
        <v>15</v>
      </c>
      <c r="B943" s="402" t="s">
        <v>1285</v>
      </c>
      <c r="C943" s="399" t="s">
        <v>557</v>
      </c>
      <c r="D943" s="399">
        <v>1</v>
      </c>
    </row>
    <row r="944" spans="1:4" x14ac:dyDescent="0.4">
      <c r="A944" s="398">
        <v>16</v>
      </c>
      <c r="B944" s="402" t="s">
        <v>1053</v>
      </c>
      <c r="C944" s="399" t="s">
        <v>557</v>
      </c>
      <c r="D944" s="399">
        <v>1</v>
      </c>
    </row>
    <row r="945" spans="1:4" ht="12.3" x14ac:dyDescent="0.4">
      <c r="A945" s="459">
        <v>17</v>
      </c>
      <c r="B945" s="460" t="s">
        <v>1054</v>
      </c>
      <c r="C945" s="458" t="s">
        <v>1055</v>
      </c>
      <c r="D945" s="458">
        <v>1</v>
      </c>
    </row>
    <row r="946" spans="1:4" ht="12.3" x14ac:dyDescent="0.4">
      <c r="A946" s="459"/>
      <c r="B946" s="460"/>
      <c r="C946" s="458"/>
      <c r="D946" s="458"/>
    </row>
    <row r="950" spans="1:4" ht="17.399999999999999" x14ac:dyDescent="0.4">
      <c r="A950" s="365" t="s">
        <v>805</v>
      </c>
      <c r="B950" s="224"/>
      <c r="C950" s="206"/>
      <c r="D950" s="206"/>
    </row>
    <row r="951" spans="1:4" x14ac:dyDescent="0.4">
      <c r="A951" s="247"/>
      <c r="B951" s="248"/>
      <c r="C951" s="249"/>
      <c r="D951" s="247"/>
    </row>
    <row r="952" spans="1:4" ht="27.75" customHeight="1" x14ac:dyDescent="0.4">
      <c r="A952" s="230" t="s">
        <v>7</v>
      </c>
      <c r="B952" s="86" t="s">
        <v>558</v>
      </c>
      <c r="C952" s="230" t="s">
        <v>9</v>
      </c>
      <c r="D952" s="231" t="s">
        <v>11</v>
      </c>
    </row>
    <row r="953" spans="1:4" x14ac:dyDescent="0.4">
      <c r="A953" s="137"/>
      <c r="B953" s="158" t="s">
        <v>559</v>
      </c>
      <c r="C953" s="218"/>
      <c r="D953" s="219"/>
    </row>
    <row r="954" spans="1:4" ht="12.3" x14ac:dyDescent="0.4">
      <c r="A954" s="477">
        <v>1</v>
      </c>
      <c r="B954" s="480" t="s">
        <v>1442</v>
      </c>
      <c r="C954" s="474" t="s">
        <v>556</v>
      </c>
      <c r="D954" s="474">
        <v>1</v>
      </c>
    </row>
    <row r="955" spans="1:4" ht="12.3" x14ac:dyDescent="0.4">
      <c r="A955" s="478"/>
      <c r="B955" s="480"/>
      <c r="C955" s="475"/>
      <c r="D955" s="475"/>
    </row>
    <row r="956" spans="1:4" ht="12.3" x14ac:dyDescent="0.4">
      <c r="A956" s="478"/>
      <c r="B956" s="480"/>
      <c r="C956" s="475"/>
      <c r="D956" s="475"/>
    </row>
    <row r="957" spans="1:4" ht="12.3" x14ac:dyDescent="0.4">
      <c r="A957" s="478"/>
      <c r="B957" s="480"/>
      <c r="C957" s="475"/>
      <c r="D957" s="475"/>
    </row>
    <row r="958" spans="1:4" x14ac:dyDescent="0.4">
      <c r="A958" s="478"/>
      <c r="B958" s="252" t="s">
        <v>561</v>
      </c>
      <c r="C958" s="475"/>
      <c r="D958" s="475"/>
    </row>
    <row r="959" spans="1:4" x14ac:dyDescent="0.4">
      <c r="A959" s="478"/>
      <c r="B959" s="252" t="s">
        <v>562</v>
      </c>
      <c r="C959" s="475"/>
      <c r="D959" s="475"/>
    </row>
    <row r="960" spans="1:4" x14ac:dyDescent="0.4">
      <c r="A960" s="478"/>
      <c r="B960" s="252" t="s">
        <v>563</v>
      </c>
      <c r="C960" s="475"/>
      <c r="D960" s="475"/>
    </row>
    <row r="961" spans="1:4" x14ac:dyDescent="0.4">
      <c r="A961" s="478"/>
      <c r="B961" s="252" t="s">
        <v>564</v>
      </c>
      <c r="C961" s="475"/>
      <c r="D961" s="475"/>
    </row>
    <row r="962" spans="1:4" x14ac:dyDescent="0.4">
      <c r="A962" s="478"/>
      <c r="B962" s="252" t="s">
        <v>565</v>
      </c>
      <c r="C962" s="475"/>
      <c r="D962" s="475"/>
    </row>
    <row r="963" spans="1:4" ht="41.4" x14ac:dyDescent="0.4">
      <c r="A963" s="478"/>
      <c r="B963" s="252" t="s">
        <v>566</v>
      </c>
      <c r="C963" s="475"/>
      <c r="D963" s="475"/>
    </row>
    <row r="964" spans="1:4" ht="27.6" x14ac:dyDescent="0.4">
      <c r="A964" s="478"/>
      <c r="B964" s="252" t="s">
        <v>1441</v>
      </c>
      <c r="C964" s="475"/>
      <c r="D964" s="475"/>
    </row>
    <row r="965" spans="1:4" ht="27.6" x14ac:dyDescent="0.4">
      <c r="A965" s="478"/>
      <c r="B965" s="252" t="s">
        <v>568</v>
      </c>
      <c r="C965" s="475"/>
      <c r="D965" s="475"/>
    </row>
    <row r="966" spans="1:4" ht="31.5" customHeight="1" x14ac:dyDescent="0.4">
      <c r="A966" s="478"/>
      <c r="B966" s="252" t="s">
        <v>1443</v>
      </c>
      <c r="C966" s="475"/>
      <c r="D966" s="475"/>
    </row>
    <row r="967" spans="1:4" x14ac:dyDescent="0.4">
      <c r="A967" s="478"/>
      <c r="B967" s="252" t="s">
        <v>570</v>
      </c>
      <c r="C967" s="475"/>
      <c r="D967" s="475"/>
    </row>
    <row r="968" spans="1:4" x14ac:dyDescent="0.4">
      <c r="A968" s="478"/>
      <c r="B968" s="252" t="s">
        <v>571</v>
      </c>
      <c r="C968" s="475"/>
      <c r="D968" s="475"/>
    </row>
    <row r="969" spans="1:4" x14ac:dyDescent="0.4">
      <c r="A969" s="478"/>
      <c r="B969" s="252" t="s">
        <v>572</v>
      </c>
      <c r="C969" s="475"/>
      <c r="D969" s="475"/>
    </row>
    <row r="970" spans="1:4" x14ac:dyDescent="0.4">
      <c r="A970" s="478"/>
      <c r="B970" s="252" t="s">
        <v>565</v>
      </c>
      <c r="C970" s="475"/>
      <c r="D970" s="475"/>
    </row>
    <row r="971" spans="1:4" ht="41.4" x14ac:dyDescent="0.4">
      <c r="A971" s="478"/>
      <c r="B971" s="252" t="s">
        <v>566</v>
      </c>
      <c r="C971" s="475"/>
      <c r="D971" s="475"/>
    </row>
    <row r="972" spans="1:4" ht="27.6" x14ac:dyDescent="0.4">
      <c r="A972" s="478"/>
      <c r="B972" s="252" t="s">
        <v>573</v>
      </c>
      <c r="C972" s="475"/>
      <c r="D972" s="475"/>
    </row>
    <row r="973" spans="1:4" x14ac:dyDescent="0.4">
      <c r="A973" s="478"/>
      <c r="B973" s="252" t="s">
        <v>574</v>
      </c>
      <c r="C973" s="475"/>
      <c r="D973" s="475"/>
    </row>
    <row r="974" spans="1:4" x14ac:dyDescent="0.4">
      <c r="A974" s="478"/>
      <c r="B974" s="252" t="s">
        <v>575</v>
      </c>
      <c r="C974" s="475"/>
      <c r="D974" s="475"/>
    </row>
    <row r="975" spans="1:4" x14ac:dyDescent="0.4">
      <c r="A975" s="478"/>
      <c r="B975" s="252" t="s">
        <v>576</v>
      </c>
      <c r="C975" s="475"/>
      <c r="D975" s="475"/>
    </row>
    <row r="976" spans="1:4" x14ac:dyDescent="0.4">
      <c r="A976" s="478"/>
      <c r="B976" s="252" t="s">
        <v>577</v>
      </c>
      <c r="C976" s="475"/>
      <c r="D976" s="475"/>
    </row>
    <row r="977" spans="1:4" x14ac:dyDescent="0.4">
      <c r="A977" s="478"/>
      <c r="B977" s="252" t="s">
        <v>578</v>
      </c>
      <c r="C977" s="475"/>
      <c r="D977" s="475"/>
    </row>
    <row r="978" spans="1:4" x14ac:dyDescent="0.4">
      <c r="A978" s="478"/>
      <c r="B978" s="252" t="s">
        <v>579</v>
      </c>
      <c r="C978" s="475"/>
      <c r="D978" s="475"/>
    </row>
    <row r="979" spans="1:4" x14ac:dyDescent="0.4">
      <c r="A979" s="478"/>
      <c r="B979" s="252" t="s">
        <v>580</v>
      </c>
      <c r="C979" s="475"/>
      <c r="D979" s="475"/>
    </row>
    <row r="980" spans="1:4" x14ac:dyDescent="0.4">
      <c r="A980" s="478"/>
      <c r="B980" s="252" t="s">
        <v>581</v>
      </c>
      <c r="C980" s="475"/>
      <c r="D980" s="475"/>
    </row>
    <row r="981" spans="1:4" x14ac:dyDescent="0.4">
      <c r="A981" s="478"/>
      <c r="B981" s="252" t="s">
        <v>582</v>
      </c>
      <c r="C981" s="475"/>
      <c r="D981" s="475"/>
    </row>
    <row r="982" spans="1:4" x14ac:dyDescent="0.4">
      <c r="A982" s="479"/>
      <c r="B982" s="252" t="s">
        <v>583</v>
      </c>
      <c r="C982" s="476"/>
      <c r="D982" s="476"/>
    </row>
    <row r="983" spans="1:4" ht="27.6" x14ac:dyDescent="0.4">
      <c r="A983" s="216">
        <v>2</v>
      </c>
      <c r="B983" s="245" t="s">
        <v>584</v>
      </c>
      <c r="C983" s="240" t="s">
        <v>4</v>
      </c>
      <c r="D983" s="39">
        <v>24</v>
      </c>
    </row>
    <row r="984" spans="1:4" ht="27.6" x14ac:dyDescent="0.4">
      <c r="A984" s="132">
        <v>3</v>
      </c>
      <c r="B984" s="245" t="s">
        <v>585</v>
      </c>
      <c r="C984" s="240" t="s">
        <v>4</v>
      </c>
      <c r="D984" s="241">
        <v>12</v>
      </c>
    </row>
    <row r="985" spans="1:4" x14ac:dyDescent="0.4">
      <c r="A985" s="132">
        <v>4</v>
      </c>
      <c r="B985" s="213" t="s">
        <v>586</v>
      </c>
      <c r="C985" s="240" t="s">
        <v>4</v>
      </c>
      <c r="D985" s="241">
        <v>1</v>
      </c>
    </row>
    <row r="986" spans="1:4" x14ac:dyDescent="0.4">
      <c r="A986" s="132">
        <v>5</v>
      </c>
      <c r="B986" s="213" t="s">
        <v>587</v>
      </c>
      <c r="C986" s="240" t="s">
        <v>4</v>
      </c>
      <c r="D986" s="241">
        <v>1</v>
      </c>
    </row>
    <row r="987" spans="1:4" x14ac:dyDescent="0.4">
      <c r="A987" s="132">
        <v>6</v>
      </c>
      <c r="B987" s="213" t="s">
        <v>588</v>
      </c>
      <c r="C987" s="240" t="s">
        <v>4</v>
      </c>
      <c r="D987" s="241">
        <v>2</v>
      </c>
    </row>
    <row r="988" spans="1:4" x14ac:dyDescent="0.4">
      <c r="A988" s="132">
        <v>7</v>
      </c>
      <c r="B988" s="213" t="s">
        <v>589</v>
      </c>
      <c r="C988" s="240" t="s">
        <v>4</v>
      </c>
      <c r="D988" s="241">
        <v>1</v>
      </c>
    </row>
    <row r="989" spans="1:4" x14ac:dyDescent="0.4">
      <c r="A989" s="132">
        <v>8</v>
      </c>
      <c r="B989" s="213" t="s">
        <v>590</v>
      </c>
      <c r="C989" s="240" t="s">
        <v>4</v>
      </c>
      <c r="D989" s="241">
        <v>1</v>
      </c>
    </row>
    <row r="990" spans="1:4" x14ac:dyDescent="0.4">
      <c r="A990" s="132">
        <v>9</v>
      </c>
      <c r="B990" s="213" t="s">
        <v>591</v>
      </c>
      <c r="C990" s="240" t="s">
        <v>4</v>
      </c>
      <c r="D990" s="242">
        <v>2</v>
      </c>
    </row>
    <row r="991" spans="1:4" x14ac:dyDescent="0.4">
      <c r="A991" s="132">
        <v>10</v>
      </c>
      <c r="B991" s="245" t="s">
        <v>592</v>
      </c>
      <c r="C991" s="243" t="s">
        <v>1</v>
      </c>
      <c r="D991" s="39">
        <v>326</v>
      </c>
    </row>
    <row r="992" spans="1:4" x14ac:dyDescent="0.4">
      <c r="A992" s="132">
        <v>11</v>
      </c>
      <c r="B992" s="245" t="s">
        <v>593</v>
      </c>
      <c r="C992" s="243" t="s">
        <v>1</v>
      </c>
      <c r="D992" s="39">
        <v>171</v>
      </c>
    </row>
    <row r="993" spans="1:4" x14ac:dyDescent="0.4">
      <c r="A993" s="132">
        <v>12</v>
      </c>
      <c r="B993" s="245" t="s">
        <v>594</v>
      </c>
      <c r="C993" s="243" t="s">
        <v>5</v>
      </c>
      <c r="D993" s="39">
        <v>17</v>
      </c>
    </row>
    <row r="994" spans="1:4" x14ac:dyDescent="0.4">
      <c r="A994" s="132">
        <v>13</v>
      </c>
      <c r="B994" s="245" t="s">
        <v>595</v>
      </c>
      <c r="C994" s="243" t="s">
        <v>5</v>
      </c>
      <c r="D994" s="39">
        <v>15</v>
      </c>
    </row>
    <row r="995" spans="1:4" x14ac:dyDescent="0.4">
      <c r="A995" s="132">
        <v>14</v>
      </c>
      <c r="B995" s="245" t="s">
        <v>596</v>
      </c>
      <c r="C995" s="243" t="s">
        <v>5</v>
      </c>
      <c r="D995" s="39">
        <v>6</v>
      </c>
    </row>
    <row r="996" spans="1:4" x14ac:dyDescent="0.4">
      <c r="A996" s="132">
        <v>15</v>
      </c>
      <c r="B996" s="245" t="s">
        <v>597</v>
      </c>
      <c r="C996" s="243" t="s">
        <v>5</v>
      </c>
      <c r="D996" s="39">
        <v>12</v>
      </c>
    </row>
    <row r="997" spans="1:4" x14ac:dyDescent="0.4">
      <c r="A997" s="132">
        <v>16</v>
      </c>
      <c r="B997" s="245" t="s">
        <v>598</v>
      </c>
      <c r="C997" s="243" t="s">
        <v>5</v>
      </c>
      <c r="D997" s="39">
        <v>16</v>
      </c>
    </row>
    <row r="998" spans="1:4" x14ac:dyDescent="0.4">
      <c r="A998" s="132">
        <v>17</v>
      </c>
      <c r="B998" s="245" t="s">
        <v>599</v>
      </c>
      <c r="C998" s="243" t="s">
        <v>5</v>
      </c>
      <c r="D998" s="39">
        <v>15</v>
      </c>
    </row>
    <row r="999" spans="1:4" x14ac:dyDescent="0.4">
      <c r="A999" s="132">
        <v>18</v>
      </c>
      <c r="B999" s="245" t="s">
        <v>600</v>
      </c>
      <c r="C999" s="243" t="s">
        <v>5</v>
      </c>
      <c r="D999" s="39">
        <v>38</v>
      </c>
    </row>
    <row r="1000" spans="1:4" x14ac:dyDescent="0.4">
      <c r="A1000" s="132">
        <v>19</v>
      </c>
      <c r="B1000" s="245" t="s">
        <v>601</v>
      </c>
      <c r="C1000" s="243" t="s">
        <v>5</v>
      </c>
      <c r="D1000" s="39">
        <v>6</v>
      </c>
    </row>
    <row r="1001" spans="1:4" x14ac:dyDescent="0.4">
      <c r="A1001" s="132">
        <v>20</v>
      </c>
      <c r="B1001" s="245" t="s">
        <v>602</v>
      </c>
      <c r="C1001" s="243" t="s">
        <v>5</v>
      </c>
      <c r="D1001" s="39">
        <v>14</v>
      </c>
    </row>
    <row r="1002" spans="1:4" x14ac:dyDescent="0.4">
      <c r="A1002" s="132">
        <v>21</v>
      </c>
      <c r="B1002" s="245" t="s">
        <v>603</v>
      </c>
      <c r="C1002" s="243" t="s">
        <v>5</v>
      </c>
      <c r="D1002" s="39">
        <v>12</v>
      </c>
    </row>
    <row r="1003" spans="1:4" x14ac:dyDescent="0.4">
      <c r="A1003" s="132">
        <v>22</v>
      </c>
      <c r="B1003" s="245" t="s">
        <v>604</v>
      </c>
      <c r="C1003" s="240" t="s">
        <v>4</v>
      </c>
      <c r="D1003" s="241">
        <v>3</v>
      </c>
    </row>
    <row r="1004" spans="1:4" x14ac:dyDescent="0.4">
      <c r="A1004" s="132">
        <v>23</v>
      </c>
      <c r="B1004" s="245" t="s">
        <v>605</v>
      </c>
      <c r="C1004" s="240" t="s">
        <v>4</v>
      </c>
      <c r="D1004" s="241">
        <v>2</v>
      </c>
    </row>
    <row r="1005" spans="1:4" x14ac:dyDescent="0.4">
      <c r="A1005" s="132">
        <v>24</v>
      </c>
      <c r="B1005" s="245" t="s">
        <v>606</v>
      </c>
      <c r="C1005" s="240" t="s">
        <v>4</v>
      </c>
      <c r="D1005" s="241">
        <v>4</v>
      </c>
    </row>
    <row r="1006" spans="1:4" x14ac:dyDescent="0.4">
      <c r="A1006" s="132">
        <v>25</v>
      </c>
      <c r="B1006" s="245" t="s">
        <v>607</v>
      </c>
      <c r="C1006" s="240" t="s">
        <v>4</v>
      </c>
      <c r="D1006" s="241">
        <v>3</v>
      </c>
    </row>
    <row r="1007" spans="1:4" x14ac:dyDescent="0.4">
      <c r="A1007" s="132">
        <v>26</v>
      </c>
      <c r="B1007" s="245" t="s">
        <v>608</v>
      </c>
      <c r="C1007" s="240" t="s">
        <v>4</v>
      </c>
      <c r="D1007" s="241">
        <v>2</v>
      </c>
    </row>
    <row r="1008" spans="1:4" x14ac:dyDescent="0.4">
      <c r="A1008" s="132">
        <v>27</v>
      </c>
      <c r="B1008" s="245" t="s">
        <v>609</v>
      </c>
      <c r="C1008" s="240" t="s">
        <v>4</v>
      </c>
      <c r="D1008" s="241">
        <v>1</v>
      </c>
    </row>
    <row r="1009" spans="1:4" x14ac:dyDescent="0.4">
      <c r="A1009" s="132">
        <v>28</v>
      </c>
      <c r="B1009" s="245" t="s">
        <v>610</v>
      </c>
      <c r="C1009" s="240" t="s">
        <v>4</v>
      </c>
      <c r="D1009" s="241">
        <v>2</v>
      </c>
    </row>
    <row r="1010" spans="1:4" x14ac:dyDescent="0.4">
      <c r="A1010" s="132">
        <v>29</v>
      </c>
      <c r="B1010" s="245" t="s">
        <v>611</v>
      </c>
      <c r="C1010" s="240" t="s">
        <v>4</v>
      </c>
      <c r="D1010" s="241">
        <v>3</v>
      </c>
    </row>
    <row r="1011" spans="1:4" x14ac:dyDescent="0.4">
      <c r="A1011" s="132">
        <v>30</v>
      </c>
      <c r="B1011" s="245" t="s">
        <v>612</v>
      </c>
      <c r="C1011" s="240" t="s">
        <v>4</v>
      </c>
      <c r="D1011" s="241">
        <v>3</v>
      </c>
    </row>
    <row r="1012" spans="1:4" x14ac:dyDescent="0.4">
      <c r="A1012" s="132">
        <v>31</v>
      </c>
      <c r="B1012" s="245" t="s">
        <v>613</v>
      </c>
      <c r="C1012" s="240" t="s">
        <v>4</v>
      </c>
      <c r="D1012" s="241">
        <v>3</v>
      </c>
    </row>
    <row r="1013" spans="1:4" x14ac:dyDescent="0.4">
      <c r="A1013" s="132">
        <v>32</v>
      </c>
      <c r="B1013" s="245" t="s">
        <v>614</v>
      </c>
      <c r="C1013" s="240" t="s">
        <v>4</v>
      </c>
      <c r="D1013" s="241">
        <v>1</v>
      </c>
    </row>
    <row r="1014" spans="1:4" x14ac:dyDescent="0.4">
      <c r="A1014" s="132">
        <v>33</v>
      </c>
      <c r="B1014" s="245" t="s">
        <v>615</v>
      </c>
      <c r="C1014" s="240" t="s">
        <v>4</v>
      </c>
      <c r="D1014" s="241">
        <v>1</v>
      </c>
    </row>
    <row r="1015" spans="1:4" x14ac:dyDescent="0.4">
      <c r="A1015" s="132">
        <v>34</v>
      </c>
      <c r="B1015" s="245" t="s">
        <v>616</v>
      </c>
      <c r="C1015" s="240" t="s">
        <v>4</v>
      </c>
      <c r="D1015" s="241">
        <v>1</v>
      </c>
    </row>
    <row r="1016" spans="1:4" x14ac:dyDescent="0.4">
      <c r="A1016" s="132">
        <v>35</v>
      </c>
      <c r="B1016" s="245" t="s">
        <v>617</v>
      </c>
      <c r="C1016" s="240" t="s">
        <v>4</v>
      </c>
      <c r="D1016" s="241">
        <v>2</v>
      </c>
    </row>
    <row r="1017" spans="1:4" x14ac:dyDescent="0.4">
      <c r="A1017" s="132">
        <v>36</v>
      </c>
      <c r="B1017" s="245" t="s">
        <v>618</v>
      </c>
      <c r="C1017" s="240" t="s">
        <v>4</v>
      </c>
      <c r="D1017" s="241">
        <v>1</v>
      </c>
    </row>
    <row r="1018" spans="1:4" x14ac:dyDescent="0.4">
      <c r="A1018" s="132">
        <v>37</v>
      </c>
      <c r="B1018" s="245" t="s">
        <v>619</v>
      </c>
      <c r="C1018" s="240" t="s">
        <v>4</v>
      </c>
      <c r="D1018" s="241">
        <v>2</v>
      </c>
    </row>
    <row r="1019" spans="1:4" x14ac:dyDescent="0.4">
      <c r="A1019" s="132">
        <v>38</v>
      </c>
      <c r="B1019" s="36" t="s">
        <v>620</v>
      </c>
      <c r="C1019" s="243" t="s">
        <v>1</v>
      </c>
      <c r="D1019" s="32">
        <v>497</v>
      </c>
    </row>
    <row r="1020" spans="1:4" x14ac:dyDescent="0.4">
      <c r="A1020" s="132">
        <v>39</v>
      </c>
      <c r="B1020" s="36" t="s">
        <v>620</v>
      </c>
      <c r="C1020" s="243" t="s">
        <v>5</v>
      </c>
      <c r="D1020" s="32">
        <v>151</v>
      </c>
    </row>
    <row r="1021" spans="1:4" x14ac:dyDescent="0.4">
      <c r="A1021" s="132">
        <v>40</v>
      </c>
      <c r="B1021" s="36" t="s">
        <v>621</v>
      </c>
      <c r="C1021" s="243" t="s">
        <v>622</v>
      </c>
      <c r="D1021" s="32">
        <v>520</v>
      </c>
    </row>
    <row r="1022" spans="1:4" x14ac:dyDescent="0.4">
      <c r="A1022" s="132">
        <v>41</v>
      </c>
      <c r="B1022" s="36" t="s">
        <v>623</v>
      </c>
      <c r="C1022" s="243" t="s">
        <v>4</v>
      </c>
      <c r="D1022" s="32">
        <v>1</v>
      </c>
    </row>
    <row r="1023" spans="1:4" x14ac:dyDescent="0.4">
      <c r="A1023" s="132">
        <v>42</v>
      </c>
      <c r="B1023" s="36" t="s">
        <v>624</v>
      </c>
      <c r="C1023" s="243" t="s">
        <v>4</v>
      </c>
      <c r="D1023" s="32">
        <v>1</v>
      </c>
    </row>
    <row r="1024" spans="1:4" x14ac:dyDescent="0.4">
      <c r="A1024" s="132">
        <v>43</v>
      </c>
      <c r="B1024" s="36" t="s">
        <v>625</v>
      </c>
      <c r="C1024" s="243" t="s">
        <v>4</v>
      </c>
      <c r="D1024" s="32">
        <v>36</v>
      </c>
    </row>
    <row r="1025" spans="1:4" x14ac:dyDescent="0.4">
      <c r="A1025" s="132">
        <v>44</v>
      </c>
      <c r="B1025" s="36" t="s">
        <v>626</v>
      </c>
      <c r="C1025" s="243" t="s">
        <v>4</v>
      </c>
      <c r="D1025" s="32">
        <v>2</v>
      </c>
    </row>
    <row r="1026" spans="1:4" x14ac:dyDescent="0.4">
      <c r="A1026" s="132">
        <v>45</v>
      </c>
      <c r="B1026" s="36" t="s">
        <v>627</v>
      </c>
      <c r="C1026" s="243" t="s">
        <v>4</v>
      </c>
      <c r="D1026" s="32">
        <v>1</v>
      </c>
    </row>
    <row r="1027" spans="1:4" x14ac:dyDescent="0.4">
      <c r="A1027" s="132">
        <v>46</v>
      </c>
      <c r="B1027" s="36" t="s">
        <v>628</v>
      </c>
      <c r="C1027" s="243" t="s">
        <v>4</v>
      </c>
      <c r="D1027" s="32">
        <v>1</v>
      </c>
    </row>
    <row r="1028" spans="1:4" x14ac:dyDescent="0.4">
      <c r="A1028" s="132">
        <v>47</v>
      </c>
      <c r="B1028" s="36" t="s">
        <v>629</v>
      </c>
      <c r="C1028" s="243" t="s">
        <v>4</v>
      </c>
      <c r="D1028" s="32">
        <v>1</v>
      </c>
    </row>
    <row r="1029" spans="1:4" x14ac:dyDescent="0.4">
      <c r="A1029" s="205"/>
      <c r="B1029" s="36"/>
      <c r="C1029" s="243"/>
      <c r="D1029" s="244"/>
    </row>
    <row r="1030" spans="1:4" x14ac:dyDescent="0.4">
      <c r="A1030" s="137"/>
      <c r="B1030" s="158" t="s">
        <v>630</v>
      </c>
      <c r="C1030" s="218"/>
      <c r="D1030" s="219"/>
    </row>
    <row r="1031" spans="1:4" x14ac:dyDescent="0.4">
      <c r="A1031" s="466">
        <v>1</v>
      </c>
      <c r="B1031" s="252" t="s">
        <v>631</v>
      </c>
      <c r="C1031" s="469" t="s">
        <v>4</v>
      </c>
      <c r="D1031" s="469">
        <v>1</v>
      </c>
    </row>
    <row r="1032" spans="1:4" x14ac:dyDescent="0.4">
      <c r="A1032" s="467"/>
      <c r="B1032" s="252" t="s">
        <v>632</v>
      </c>
      <c r="C1032" s="470"/>
      <c r="D1032" s="470"/>
    </row>
    <row r="1033" spans="1:4" x14ac:dyDescent="0.4">
      <c r="A1033" s="467"/>
      <c r="B1033" s="252" t="s">
        <v>633</v>
      </c>
      <c r="C1033" s="470"/>
      <c r="D1033" s="470"/>
    </row>
    <row r="1034" spans="1:4" x14ac:dyDescent="0.4">
      <c r="A1034" s="467"/>
      <c r="B1034" s="252" t="s">
        <v>634</v>
      </c>
      <c r="C1034" s="470"/>
      <c r="D1034" s="470"/>
    </row>
    <row r="1035" spans="1:4" x14ac:dyDescent="0.4">
      <c r="A1035" s="467"/>
      <c r="B1035" s="252" t="s">
        <v>635</v>
      </c>
      <c r="C1035" s="470"/>
      <c r="D1035" s="470"/>
    </row>
    <row r="1036" spans="1:4" x14ac:dyDescent="0.4">
      <c r="A1036" s="468"/>
      <c r="B1036" s="252" t="s">
        <v>636</v>
      </c>
      <c r="C1036" s="471"/>
      <c r="D1036" s="471"/>
    </row>
    <row r="1037" spans="1:4" ht="27.6" x14ac:dyDescent="0.4">
      <c r="A1037" s="216">
        <v>2</v>
      </c>
      <c r="B1037" s="245" t="s">
        <v>637</v>
      </c>
      <c r="C1037" s="240" t="s">
        <v>4</v>
      </c>
      <c r="D1037" s="39">
        <v>6</v>
      </c>
    </row>
    <row r="1038" spans="1:4" x14ac:dyDescent="0.4">
      <c r="A1038" s="132">
        <v>3</v>
      </c>
      <c r="B1038" s="245" t="s">
        <v>638</v>
      </c>
      <c r="C1038" s="240" t="s">
        <v>4</v>
      </c>
      <c r="D1038" s="241">
        <v>2</v>
      </c>
    </row>
    <row r="1039" spans="1:4" x14ac:dyDescent="0.4">
      <c r="A1039" s="132">
        <v>4</v>
      </c>
      <c r="B1039" s="245" t="s">
        <v>639</v>
      </c>
      <c r="C1039" s="240" t="s">
        <v>4</v>
      </c>
      <c r="D1039" s="241">
        <v>2</v>
      </c>
    </row>
    <row r="1040" spans="1:4" x14ac:dyDescent="0.4">
      <c r="A1040" s="132">
        <v>5</v>
      </c>
      <c r="B1040" s="245" t="s">
        <v>640</v>
      </c>
      <c r="C1040" s="240" t="s">
        <v>4</v>
      </c>
      <c r="D1040" s="241">
        <v>1</v>
      </c>
    </row>
    <row r="1041" spans="1:4" x14ac:dyDescent="0.4">
      <c r="A1041" s="132">
        <v>6</v>
      </c>
      <c r="B1041" s="213" t="s">
        <v>641</v>
      </c>
      <c r="C1041" s="28" t="s">
        <v>4</v>
      </c>
      <c r="D1041" s="28">
        <v>4</v>
      </c>
    </row>
    <row r="1042" spans="1:4" x14ac:dyDescent="0.4">
      <c r="A1042" s="132">
        <v>7</v>
      </c>
      <c r="B1042" s="213" t="s">
        <v>642</v>
      </c>
      <c r="C1042" s="28" t="s">
        <v>4</v>
      </c>
      <c r="D1042" s="28">
        <v>2</v>
      </c>
    </row>
    <row r="1043" spans="1:4" x14ac:dyDescent="0.4">
      <c r="A1043" s="132">
        <v>8</v>
      </c>
      <c r="B1043" s="245" t="s">
        <v>643</v>
      </c>
      <c r="C1043" s="240" t="s">
        <v>4</v>
      </c>
      <c r="D1043" s="241">
        <v>2</v>
      </c>
    </row>
    <row r="1044" spans="1:4" x14ac:dyDescent="0.4">
      <c r="A1044" s="132">
        <v>9</v>
      </c>
      <c r="B1044" s="213" t="s">
        <v>644</v>
      </c>
      <c r="C1044" s="240" t="s">
        <v>4</v>
      </c>
      <c r="D1044" s="242">
        <v>2</v>
      </c>
    </row>
    <row r="1045" spans="1:4" x14ac:dyDescent="0.4">
      <c r="A1045" s="132">
        <v>10</v>
      </c>
      <c r="B1045" s="213" t="s">
        <v>645</v>
      </c>
      <c r="C1045" s="240" t="s">
        <v>4</v>
      </c>
      <c r="D1045" s="242">
        <v>1</v>
      </c>
    </row>
    <row r="1046" spans="1:4" x14ac:dyDescent="0.4">
      <c r="A1046" s="132">
        <v>11</v>
      </c>
      <c r="B1046" s="213" t="s">
        <v>646</v>
      </c>
      <c r="C1046" s="240" t="s">
        <v>4</v>
      </c>
      <c r="D1046" s="242">
        <v>1</v>
      </c>
    </row>
    <row r="1047" spans="1:4" x14ac:dyDescent="0.4">
      <c r="A1047" s="132">
        <v>12</v>
      </c>
      <c r="B1047" s="245" t="s">
        <v>647</v>
      </c>
      <c r="C1047" s="243" t="s">
        <v>1</v>
      </c>
      <c r="D1047" s="39">
        <v>17</v>
      </c>
    </row>
    <row r="1048" spans="1:4" x14ac:dyDescent="0.4">
      <c r="A1048" s="132">
        <v>13</v>
      </c>
      <c r="B1048" s="245" t="s">
        <v>648</v>
      </c>
      <c r="C1048" s="243" t="s">
        <v>1</v>
      </c>
      <c r="D1048" s="39">
        <v>98</v>
      </c>
    </row>
    <row r="1049" spans="1:4" x14ac:dyDescent="0.4">
      <c r="A1049" s="132">
        <v>14</v>
      </c>
      <c r="B1049" s="245" t="s">
        <v>649</v>
      </c>
      <c r="C1049" s="243" t="s">
        <v>1</v>
      </c>
      <c r="D1049" s="39">
        <v>5</v>
      </c>
    </row>
    <row r="1050" spans="1:4" x14ac:dyDescent="0.4">
      <c r="A1050" s="132">
        <v>15</v>
      </c>
      <c r="B1050" s="245" t="s">
        <v>650</v>
      </c>
      <c r="C1050" s="243" t="s">
        <v>1</v>
      </c>
      <c r="D1050" s="39">
        <v>29</v>
      </c>
    </row>
    <row r="1051" spans="1:4" x14ac:dyDescent="0.4">
      <c r="A1051" s="132">
        <v>16</v>
      </c>
      <c r="B1051" s="245" t="s">
        <v>651</v>
      </c>
      <c r="C1051" s="243" t="s">
        <v>5</v>
      </c>
      <c r="D1051" s="39">
        <v>10</v>
      </c>
    </row>
    <row r="1052" spans="1:4" x14ac:dyDescent="0.4">
      <c r="A1052" s="132">
        <v>17</v>
      </c>
      <c r="B1052" s="245" t="s">
        <v>652</v>
      </c>
      <c r="C1052" s="243" t="s">
        <v>5</v>
      </c>
      <c r="D1052" s="39">
        <v>3</v>
      </c>
    </row>
    <row r="1053" spans="1:4" x14ac:dyDescent="0.4">
      <c r="A1053" s="132">
        <v>18</v>
      </c>
      <c r="B1053" s="245" t="s">
        <v>653</v>
      </c>
      <c r="C1053" s="243" t="s">
        <v>5</v>
      </c>
      <c r="D1053" s="39">
        <v>4</v>
      </c>
    </row>
    <row r="1054" spans="1:4" x14ac:dyDescent="0.4">
      <c r="A1054" s="132">
        <v>19</v>
      </c>
      <c r="B1054" s="245" t="s">
        <v>654</v>
      </c>
      <c r="C1054" s="243" t="s">
        <v>4</v>
      </c>
      <c r="D1054" s="32">
        <v>4</v>
      </c>
    </row>
    <row r="1055" spans="1:4" x14ac:dyDescent="0.4">
      <c r="A1055" s="132">
        <v>20</v>
      </c>
      <c r="B1055" s="245" t="s">
        <v>655</v>
      </c>
      <c r="C1055" s="243" t="s">
        <v>4</v>
      </c>
      <c r="D1055" s="32">
        <v>3</v>
      </c>
    </row>
    <row r="1056" spans="1:4" x14ac:dyDescent="0.4">
      <c r="A1056" s="132">
        <v>21</v>
      </c>
      <c r="B1056" s="36" t="s">
        <v>620</v>
      </c>
      <c r="C1056" s="243" t="s">
        <v>1</v>
      </c>
      <c r="D1056" s="32">
        <v>149</v>
      </c>
    </row>
    <row r="1057" spans="1:4" x14ac:dyDescent="0.4">
      <c r="A1057" s="132">
        <v>22</v>
      </c>
      <c r="B1057" s="36" t="s">
        <v>656</v>
      </c>
      <c r="C1057" s="243" t="s">
        <v>622</v>
      </c>
      <c r="D1057" s="32">
        <v>150</v>
      </c>
    </row>
    <row r="1058" spans="1:4" x14ac:dyDescent="0.4">
      <c r="A1058" s="132">
        <v>23</v>
      </c>
      <c r="B1058" s="36" t="s">
        <v>657</v>
      </c>
      <c r="C1058" s="243" t="s">
        <v>4</v>
      </c>
      <c r="D1058" s="32">
        <v>1</v>
      </c>
    </row>
    <row r="1059" spans="1:4" x14ac:dyDescent="0.4">
      <c r="A1059" s="132">
        <v>24</v>
      </c>
      <c r="B1059" s="36" t="s">
        <v>625</v>
      </c>
      <c r="C1059" s="243" t="s">
        <v>4</v>
      </c>
      <c r="D1059" s="32">
        <v>16</v>
      </c>
    </row>
    <row r="1060" spans="1:4" x14ac:dyDescent="0.4">
      <c r="A1060" s="132">
        <v>25</v>
      </c>
      <c r="B1060" s="36" t="s">
        <v>626</v>
      </c>
      <c r="C1060" s="243" t="s">
        <v>4</v>
      </c>
      <c r="D1060" s="32">
        <v>2</v>
      </c>
    </row>
    <row r="1061" spans="1:4" x14ac:dyDescent="0.4">
      <c r="A1061" s="132">
        <v>26</v>
      </c>
      <c r="B1061" s="36" t="s">
        <v>658</v>
      </c>
      <c r="C1061" s="243" t="s">
        <v>4</v>
      </c>
      <c r="D1061" s="32">
        <v>1</v>
      </c>
    </row>
    <row r="1062" spans="1:4" x14ac:dyDescent="0.4">
      <c r="A1062" s="132">
        <v>27</v>
      </c>
      <c r="B1062" s="36" t="s">
        <v>659</v>
      </c>
      <c r="C1062" s="243" t="s">
        <v>4</v>
      </c>
      <c r="D1062" s="32">
        <v>1</v>
      </c>
    </row>
    <row r="1063" spans="1:4" x14ac:dyDescent="0.4">
      <c r="A1063" s="132">
        <v>28</v>
      </c>
      <c r="B1063" s="36" t="s">
        <v>660</v>
      </c>
      <c r="C1063" s="243" t="s">
        <v>4</v>
      </c>
      <c r="D1063" s="32">
        <v>1</v>
      </c>
    </row>
    <row r="1064" spans="1:4" x14ac:dyDescent="0.4">
      <c r="A1064" s="205"/>
      <c r="B1064" s="246"/>
      <c r="C1064" s="28"/>
      <c r="D1064" s="32"/>
    </row>
    <row r="1065" spans="1:4" x14ac:dyDescent="0.4">
      <c r="A1065" s="137"/>
      <c r="B1065" s="158" t="s">
        <v>494</v>
      </c>
      <c r="C1065" s="218"/>
      <c r="D1065" s="219"/>
    </row>
    <row r="1066" spans="1:4" x14ac:dyDescent="0.4">
      <c r="A1066" s="132">
        <v>1</v>
      </c>
      <c r="B1066" s="36" t="s">
        <v>661</v>
      </c>
      <c r="C1066" s="243" t="s">
        <v>4</v>
      </c>
      <c r="D1066" s="32">
        <v>1</v>
      </c>
    </row>
    <row r="1067" spans="1:4" x14ac:dyDescent="0.4">
      <c r="A1067" s="132">
        <v>2</v>
      </c>
      <c r="B1067" s="36" t="s">
        <v>662</v>
      </c>
      <c r="C1067" s="243" t="s">
        <v>4</v>
      </c>
      <c r="D1067" s="32">
        <v>1</v>
      </c>
    </row>
    <row r="1068" spans="1:4" x14ac:dyDescent="0.4">
      <c r="A1068" s="132">
        <v>3</v>
      </c>
      <c r="B1068" s="36" t="s">
        <v>639</v>
      </c>
      <c r="C1068" s="243" t="s">
        <v>4</v>
      </c>
      <c r="D1068" s="32">
        <v>2</v>
      </c>
    </row>
    <row r="1069" spans="1:4" x14ac:dyDescent="0.4">
      <c r="A1069" s="132">
        <v>4</v>
      </c>
      <c r="B1069" s="36" t="s">
        <v>663</v>
      </c>
      <c r="C1069" s="243" t="s">
        <v>4</v>
      </c>
      <c r="D1069" s="32">
        <v>1</v>
      </c>
    </row>
    <row r="1070" spans="1:4" x14ac:dyDescent="0.4">
      <c r="A1070" s="132">
        <v>5</v>
      </c>
      <c r="B1070" s="36" t="s">
        <v>664</v>
      </c>
      <c r="C1070" s="243" t="s">
        <v>4</v>
      </c>
      <c r="D1070" s="32">
        <v>4</v>
      </c>
    </row>
    <row r="1071" spans="1:4" x14ac:dyDescent="0.4">
      <c r="A1071" s="132">
        <v>6</v>
      </c>
      <c r="B1071" s="36" t="s">
        <v>665</v>
      </c>
      <c r="C1071" s="243" t="s">
        <v>4</v>
      </c>
      <c r="D1071" s="32">
        <v>1</v>
      </c>
    </row>
    <row r="1072" spans="1:4" x14ac:dyDescent="0.4">
      <c r="A1072" s="132">
        <v>7</v>
      </c>
      <c r="B1072" s="36" t="s">
        <v>666</v>
      </c>
      <c r="C1072" s="243" t="s">
        <v>4</v>
      </c>
      <c r="D1072" s="32">
        <v>1</v>
      </c>
    </row>
    <row r="1073" spans="1:4" x14ac:dyDescent="0.4">
      <c r="A1073" s="132">
        <v>8</v>
      </c>
      <c r="B1073" s="213" t="s">
        <v>644</v>
      </c>
      <c r="C1073" s="243" t="s">
        <v>4</v>
      </c>
      <c r="D1073" s="32">
        <v>2</v>
      </c>
    </row>
    <row r="1074" spans="1:4" x14ac:dyDescent="0.4">
      <c r="A1074" s="132">
        <v>9</v>
      </c>
      <c r="B1074" s="245" t="s">
        <v>667</v>
      </c>
      <c r="C1074" s="243" t="s">
        <v>4</v>
      </c>
      <c r="D1074" s="32">
        <v>2</v>
      </c>
    </row>
    <row r="1075" spans="1:4" x14ac:dyDescent="0.4">
      <c r="A1075" s="132">
        <v>10</v>
      </c>
      <c r="B1075" s="245" t="s">
        <v>668</v>
      </c>
      <c r="C1075" s="243" t="s">
        <v>4</v>
      </c>
      <c r="D1075" s="32">
        <v>2</v>
      </c>
    </row>
    <row r="1076" spans="1:4" x14ac:dyDescent="0.4">
      <c r="A1076" s="132">
        <v>11</v>
      </c>
      <c r="B1076" s="245" t="s">
        <v>669</v>
      </c>
      <c r="C1076" s="243" t="s">
        <v>4</v>
      </c>
      <c r="D1076" s="32">
        <v>7</v>
      </c>
    </row>
    <row r="1077" spans="1:4" x14ac:dyDescent="0.4">
      <c r="A1077" s="132">
        <v>12</v>
      </c>
      <c r="B1077" s="245" t="s">
        <v>670</v>
      </c>
      <c r="C1077" s="243" t="s">
        <v>4</v>
      </c>
      <c r="D1077" s="32">
        <v>4</v>
      </c>
    </row>
    <row r="1078" spans="1:4" ht="27.6" x14ac:dyDescent="0.4">
      <c r="A1078" s="132">
        <v>13</v>
      </c>
      <c r="B1078" s="245" t="s">
        <v>671</v>
      </c>
      <c r="C1078" s="243" t="s">
        <v>4</v>
      </c>
      <c r="D1078" s="32">
        <v>2</v>
      </c>
    </row>
    <row r="1079" spans="1:4" ht="27.6" x14ac:dyDescent="0.4">
      <c r="A1079" s="132">
        <v>14</v>
      </c>
      <c r="B1079" s="245" t="s">
        <v>584</v>
      </c>
      <c r="C1079" s="243" t="s">
        <v>4</v>
      </c>
      <c r="D1079" s="32">
        <v>1</v>
      </c>
    </row>
    <row r="1080" spans="1:4" x14ac:dyDescent="0.4">
      <c r="A1080" s="132">
        <v>15</v>
      </c>
      <c r="B1080" s="213" t="s">
        <v>672</v>
      </c>
      <c r="C1080" s="240" t="s">
        <v>4</v>
      </c>
      <c r="D1080" s="241">
        <v>1</v>
      </c>
    </row>
    <row r="1081" spans="1:4" x14ac:dyDescent="0.4">
      <c r="A1081" s="132">
        <v>16</v>
      </c>
      <c r="B1081" s="213" t="s">
        <v>673</v>
      </c>
      <c r="C1081" s="240" t="s">
        <v>4</v>
      </c>
      <c r="D1081" s="241">
        <v>1</v>
      </c>
    </row>
    <row r="1082" spans="1:4" x14ac:dyDescent="0.4">
      <c r="A1082" s="132">
        <v>17</v>
      </c>
      <c r="B1082" s="245" t="s">
        <v>647</v>
      </c>
      <c r="C1082" s="240" t="s">
        <v>4</v>
      </c>
      <c r="D1082" s="242">
        <v>15</v>
      </c>
    </row>
    <row r="1083" spans="1:4" x14ac:dyDescent="0.4">
      <c r="A1083" s="132">
        <v>18</v>
      </c>
      <c r="B1083" s="245" t="s">
        <v>648</v>
      </c>
      <c r="C1083" s="243" t="s">
        <v>1</v>
      </c>
      <c r="D1083" s="39">
        <v>43</v>
      </c>
    </row>
    <row r="1084" spans="1:4" x14ac:dyDescent="0.4">
      <c r="A1084" s="132">
        <v>19</v>
      </c>
      <c r="B1084" s="245" t="s">
        <v>649</v>
      </c>
      <c r="C1084" s="243" t="s">
        <v>1</v>
      </c>
      <c r="D1084" s="32">
        <v>7</v>
      </c>
    </row>
    <row r="1085" spans="1:4" x14ac:dyDescent="0.4">
      <c r="A1085" s="132">
        <v>20</v>
      </c>
      <c r="B1085" s="245" t="s">
        <v>650</v>
      </c>
      <c r="C1085" s="243" t="s">
        <v>1</v>
      </c>
      <c r="D1085" s="32">
        <v>19</v>
      </c>
    </row>
    <row r="1086" spans="1:4" x14ac:dyDescent="0.4">
      <c r="A1086" s="132">
        <v>21</v>
      </c>
      <c r="B1086" s="245" t="s">
        <v>674</v>
      </c>
      <c r="C1086" s="240" t="s">
        <v>4</v>
      </c>
      <c r="D1086" s="241">
        <v>5</v>
      </c>
    </row>
    <row r="1087" spans="1:4" x14ac:dyDescent="0.4">
      <c r="A1087" s="132">
        <v>22</v>
      </c>
      <c r="B1087" s="245" t="s">
        <v>675</v>
      </c>
      <c r="C1087" s="240" t="s">
        <v>4</v>
      </c>
      <c r="D1087" s="241">
        <v>2</v>
      </c>
    </row>
    <row r="1088" spans="1:4" x14ac:dyDescent="0.4">
      <c r="A1088" s="132">
        <v>23</v>
      </c>
      <c r="B1088" s="245" t="s">
        <v>676</v>
      </c>
      <c r="C1088" s="240" t="s">
        <v>4</v>
      </c>
      <c r="D1088" s="241">
        <v>1</v>
      </c>
    </row>
    <row r="1089" spans="1:4" x14ac:dyDescent="0.4">
      <c r="A1089" s="132">
        <v>24</v>
      </c>
      <c r="B1089" s="245" t="s">
        <v>651</v>
      </c>
      <c r="C1089" s="243" t="s">
        <v>5</v>
      </c>
      <c r="D1089" s="39">
        <v>10</v>
      </c>
    </row>
    <row r="1090" spans="1:4" x14ac:dyDescent="0.4">
      <c r="A1090" s="132">
        <v>25</v>
      </c>
      <c r="B1090" s="245" t="s">
        <v>652</v>
      </c>
      <c r="C1090" s="243" t="s">
        <v>5</v>
      </c>
      <c r="D1090" s="39">
        <v>3</v>
      </c>
    </row>
    <row r="1091" spans="1:4" x14ac:dyDescent="0.4">
      <c r="A1091" s="132">
        <v>26</v>
      </c>
      <c r="B1091" s="245" t="s">
        <v>653</v>
      </c>
      <c r="C1091" s="243" t="s">
        <v>5</v>
      </c>
      <c r="D1091" s="39">
        <v>4</v>
      </c>
    </row>
    <row r="1092" spans="1:4" x14ac:dyDescent="0.4">
      <c r="A1092" s="132">
        <v>27</v>
      </c>
      <c r="B1092" s="245" t="s">
        <v>654</v>
      </c>
      <c r="C1092" s="243" t="s">
        <v>4</v>
      </c>
      <c r="D1092" s="32">
        <v>4</v>
      </c>
    </row>
    <row r="1093" spans="1:4" x14ac:dyDescent="0.4">
      <c r="A1093" s="132">
        <v>28</v>
      </c>
      <c r="B1093" s="245" t="s">
        <v>655</v>
      </c>
      <c r="C1093" s="243" t="s">
        <v>4</v>
      </c>
      <c r="D1093" s="32">
        <v>3</v>
      </c>
    </row>
    <row r="1094" spans="1:4" x14ac:dyDescent="0.4">
      <c r="A1094" s="132">
        <v>29</v>
      </c>
      <c r="B1094" s="36" t="s">
        <v>620</v>
      </c>
      <c r="C1094" s="243" t="s">
        <v>1</v>
      </c>
      <c r="D1094" s="32">
        <v>84</v>
      </c>
    </row>
    <row r="1095" spans="1:4" x14ac:dyDescent="0.4">
      <c r="A1095" s="132">
        <v>30</v>
      </c>
      <c r="B1095" s="36" t="s">
        <v>625</v>
      </c>
      <c r="C1095" s="243" t="s">
        <v>4</v>
      </c>
      <c r="D1095" s="32">
        <v>3</v>
      </c>
    </row>
    <row r="1096" spans="1:4" x14ac:dyDescent="0.4">
      <c r="A1096" s="132">
        <v>31</v>
      </c>
      <c r="B1096" s="36" t="s">
        <v>657</v>
      </c>
      <c r="C1096" s="243" t="s">
        <v>4</v>
      </c>
      <c r="D1096" s="32">
        <v>1</v>
      </c>
    </row>
    <row r="1097" spans="1:4" x14ac:dyDescent="0.4">
      <c r="A1097" s="132">
        <v>32</v>
      </c>
      <c r="B1097" s="36" t="s">
        <v>626</v>
      </c>
      <c r="C1097" s="243" t="s">
        <v>4</v>
      </c>
      <c r="D1097" s="32">
        <v>2</v>
      </c>
    </row>
    <row r="1098" spans="1:4" x14ac:dyDescent="0.4">
      <c r="A1098" s="132">
        <v>33</v>
      </c>
      <c r="B1098" s="36" t="s">
        <v>658</v>
      </c>
      <c r="C1098" s="243" t="s">
        <v>4</v>
      </c>
      <c r="D1098" s="32">
        <v>2</v>
      </c>
    </row>
    <row r="1099" spans="1:4" x14ac:dyDescent="0.4">
      <c r="A1099" s="132">
        <v>34</v>
      </c>
      <c r="B1099" s="36" t="s">
        <v>659</v>
      </c>
      <c r="C1099" s="243" t="s">
        <v>4</v>
      </c>
      <c r="D1099" s="32">
        <v>2</v>
      </c>
    </row>
    <row r="1100" spans="1:4" x14ac:dyDescent="0.4">
      <c r="A1100" s="132">
        <v>35</v>
      </c>
      <c r="B1100" s="36" t="s">
        <v>656</v>
      </c>
      <c r="C1100" s="243" t="s">
        <v>622</v>
      </c>
      <c r="D1100" s="32">
        <v>150</v>
      </c>
    </row>
    <row r="1101" spans="1:4" x14ac:dyDescent="0.4">
      <c r="A1101" s="132">
        <v>36</v>
      </c>
      <c r="B1101" s="36" t="s">
        <v>629</v>
      </c>
      <c r="C1101" s="243" t="s">
        <v>4</v>
      </c>
      <c r="D1101" s="32">
        <v>2</v>
      </c>
    </row>
    <row r="1102" spans="1:4" x14ac:dyDescent="0.4">
      <c r="A1102" s="216"/>
      <c r="B1102" s="36"/>
      <c r="C1102" s="243"/>
      <c r="D1102" s="32"/>
    </row>
    <row r="1103" spans="1:4" x14ac:dyDescent="0.4">
      <c r="A1103" s="216"/>
      <c r="B1103" s="446" t="s">
        <v>677</v>
      </c>
      <c r="C1103" s="243"/>
      <c r="D1103" s="32"/>
    </row>
    <row r="1104" spans="1:4" x14ac:dyDescent="0.4">
      <c r="A1104" s="466">
        <v>1</v>
      </c>
      <c r="B1104" s="252" t="s">
        <v>631</v>
      </c>
      <c r="C1104" s="469" t="s">
        <v>4</v>
      </c>
      <c r="D1104" s="469">
        <v>1</v>
      </c>
    </row>
    <row r="1105" spans="1:4" x14ac:dyDescent="0.4">
      <c r="A1105" s="467"/>
      <c r="B1105" s="252" t="s">
        <v>632</v>
      </c>
      <c r="C1105" s="470"/>
      <c r="D1105" s="470"/>
    </row>
    <row r="1106" spans="1:4" x14ac:dyDescent="0.4">
      <c r="A1106" s="467"/>
      <c r="B1106" s="252" t="s">
        <v>633</v>
      </c>
      <c r="C1106" s="470"/>
      <c r="D1106" s="470"/>
    </row>
    <row r="1107" spans="1:4" x14ac:dyDescent="0.4">
      <c r="A1107" s="467"/>
      <c r="B1107" s="252" t="s">
        <v>634</v>
      </c>
      <c r="C1107" s="470"/>
      <c r="D1107" s="470"/>
    </row>
    <row r="1108" spans="1:4" x14ac:dyDescent="0.4">
      <c r="A1108" s="467"/>
      <c r="B1108" s="252" t="s">
        <v>635</v>
      </c>
      <c r="C1108" s="470"/>
      <c r="D1108" s="470"/>
    </row>
    <row r="1109" spans="1:4" x14ac:dyDescent="0.4">
      <c r="A1109" s="468"/>
      <c r="B1109" s="252" t="s">
        <v>636</v>
      </c>
      <c r="C1109" s="471"/>
      <c r="D1109" s="471"/>
    </row>
    <row r="1110" spans="1:4" ht="27.6" x14ac:dyDescent="0.4">
      <c r="A1110" s="216">
        <v>2</v>
      </c>
      <c r="B1110" s="245" t="s">
        <v>637</v>
      </c>
      <c r="C1110" s="240" t="s">
        <v>4</v>
      </c>
      <c r="D1110" s="39">
        <v>12</v>
      </c>
    </row>
    <row r="1111" spans="1:4" x14ac:dyDescent="0.4">
      <c r="A1111" s="132">
        <v>3</v>
      </c>
      <c r="B1111" s="245" t="s">
        <v>638</v>
      </c>
      <c r="C1111" s="240" t="s">
        <v>4</v>
      </c>
      <c r="D1111" s="241">
        <v>1</v>
      </c>
    </row>
    <row r="1112" spans="1:4" x14ac:dyDescent="0.4">
      <c r="A1112" s="132">
        <v>4</v>
      </c>
      <c r="B1112" s="245" t="s">
        <v>639</v>
      </c>
      <c r="C1112" s="240" t="s">
        <v>4</v>
      </c>
      <c r="D1112" s="241">
        <v>2</v>
      </c>
    </row>
    <row r="1113" spans="1:4" x14ac:dyDescent="0.4">
      <c r="A1113" s="132">
        <v>5</v>
      </c>
      <c r="B1113" s="213" t="s">
        <v>641</v>
      </c>
      <c r="C1113" s="28" t="s">
        <v>4</v>
      </c>
      <c r="D1113" s="28">
        <v>4</v>
      </c>
    </row>
    <row r="1114" spans="1:4" x14ac:dyDescent="0.4">
      <c r="A1114" s="132">
        <v>6</v>
      </c>
      <c r="B1114" s="213" t="s">
        <v>644</v>
      </c>
      <c r="C1114" s="240" t="s">
        <v>4</v>
      </c>
      <c r="D1114" s="242">
        <v>2</v>
      </c>
    </row>
    <row r="1115" spans="1:4" x14ac:dyDescent="0.4">
      <c r="A1115" s="132">
        <v>7</v>
      </c>
      <c r="B1115" s="213" t="s">
        <v>678</v>
      </c>
      <c r="C1115" s="240" t="s">
        <v>4</v>
      </c>
      <c r="D1115" s="242">
        <v>1</v>
      </c>
    </row>
    <row r="1116" spans="1:4" x14ac:dyDescent="0.4">
      <c r="A1116" s="132">
        <v>8</v>
      </c>
      <c r="B1116" s="245" t="s">
        <v>647</v>
      </c>
      <c r="C1116" s="243" t="s">
        <v>1</v>
      </c>
      <c r="D1116" s="39">
        <v>24</v>
      </c>
    </row>
    <row r="1117" spans="1:4" x14ac:dyDescent="0.4">
      <c r="A1117" s="132">
        <v>9</v>
      </c>
      <c r="B1117" s="245" t="s">
        <v>648</v>
      </c>
      <c r="C1117" s="243" t="s">
        <v>1</v>
      </c>
      <c r="D1117" s="39">
        <v>70</v>
      </c>
    </row>
    <row r="1118" spans="1:4" x14ac:dyDescent="0.4">
      <c r="A1118" s="132">
        <v>10</v>
      </c>
      <c r="B1118" s="245" t="s">
        <v>649</v>
      </c>
      <c r="C1118" s="243" t="s">
        <v>1</v>
      </c>
      <c r="D1118" s="39">
        <v>5</v>
      </c>
    </row>
    <row r="1119" spans="1:4" x14ac:dyDescent="0.4">
      <c r="A1119" s="132">
        <v>11</v>
      </c>
      <c r="B1119" s="245" t="s">
        <v>650</v>
      </c>
      <c r="C1119" s="243" t="s">
        <v>1</v>
      </c>
      <c r="D1119" s="39">
        <v>24</v>
      </c>
    </row>
    <row r="1120" spans="1:4" x14ac:dyDescent="0.4">
      <c r="A1120" s="132">
        <v>12</v>
      </c>
      <c r="B1120" s="36" t="s">
        <v>620</v>
      </c>
      <c r="C1120" s="243" t="s">
        <v>1</v>
      </c>
      <c r="D1120" s="32">
        <v>123</v>
      </c>
    </row>
    <row r="1121" spans="1:4" x14ac:dyDescent="0.4">
      <c r="A1121" s="132">
        <v>13</v>
      </c>
      <c r="B1121" s="36" t="s">
        <v>656</v>
      </c>
      <c r="C1121" s="243" t="s">
        <v>622</v>
      </c>
      <c r="D1121" s="32">
        <v>120</v>
      </c>
    </row>
    <row r="1122" spans="1:4" x14ac:dyDescent="0.4">
      <c r="A1122" s="132">
        <v>14</v>
      </c>
      <c r="B1122" s="36" t="s">
        <v>657</v>
      </c>
      <c r="C1122" s="243" t="s">
        <v>4</v>
      </c>
      <c r="D1122" s="32">
        <v>1</v>
      </c>
    </row>
    <row r="1123" spans="1:4" x14ac:dyDescent="0.4">
      <c r="A1123" s="132">
        <v>15</v>
      </c>
      <c r="B1123" s="36" t="s">
        <v>625</v>
      </c>
      <c r="C1123" s="243" t="s">
        <v>4</v>
      </c>
      <c r="D1123" s="32">
        <v>12</v>
      </c>
    </row>
    <row r="1124" spans="1:4" x14ac:dyDescent="0.4">
      <c r="A1124" s="132">
        <v>16</v>
      </c>
      <c r="B1124" s="36" t="s">
        <v>626</v>
      </c>
      <c r="C1124" s="243" t="s">
        <v>4</v>
      </c>
      <c r="D1124" s="32">
        <v>2</v>
      </c>
    </row>
    <row r="1125" spans="1:4" x14ac:dyDescent="0.4">
      <c r="A1125" s="132">
        <v>17</v>
      </c>
      <c r="B1125" s="36" t="s">
        <v>658</v>
      </c>
      <c r="C1125" s="243" t="s">
        <v>4</v>
      </c>
      <c r="D1125" s="32">
        <v>1</v>
      </c>
    </row>
    <row r="1126" spans="1:4" x14ac:dyDescent="0.4">
      <c r="A1126" s="132">
        <v>18</v>
      </c>
      <c r="B1126" s="36" t="s">
        <v>659</v>
      </c>
      <c r="C1126" s="243" t="s">
        <v>4</v>
      </c>
      <c r="D1126" s="32">
        <v>1</v>
      </c>
    </row>
    <row r="1127" spans="1:4" x14ac:dyDescent="0.4">
      <c r="A1127" s="132">
        <v>19</v>
      </c>
      <c r="B1127" s="36" t="s">
        <v>660</v>
      </c>
      <c r="C1127" s="243" t="s">
        <v>4</v>
      </c>
      <c r="D1127" s="32">
        <v>1</v>
      </c>
    </row>
    <row r="1128" spans="1:4" x14ac:dyDescent="0.4">
      <c r="A1128" s="205"/>
      <c r="B1128" s="246"/>
      <c r="C1128" s="28"/>
      <c r="D1128" s="32"/>
    </row>
    <row r="1129" spans="1:4" x14ac:dyDescent="0.4">
      <c r="A1129" s="216"/>
      <c r="B1129" s="446" t="s">
        <v>679</v>
      </c>
      <c r="C1129" s="243"/>
      <c r="D1129" s="32"/>
    </row>
    <row r="1130" spans="1:4" x14ac:dyDescent="0.4">
      <c r="A1130" s="466">
        <v>1</v>
      </c>
      <c r="B1130" s="252" t="s">
        <v>631</v>
      </c>
      <c r="C1130" s="469" t="s">
        <v>4</v>
      </c>
      <c r="D1130" s="469">
        <v>1</v>
      </c>
    </row>
    <row r="1131" spans="1:4" x14ac:dyDescent="0.4">
      <c r="A1131" s="467"/>
      <c r="B1131" s="252" t="s">
        <v>632</v>
      </c>
      <c r="C1131" s="470"/>
      <c r="D1131" s="470"/>
    </row>
    <row r="1132" spans="1:4" x14ac:dyDescent="0.4">
      <c r="A1132" s="467"/>
      <c r="B1132" s="252" t="s">
        <v>633</v>
      </c>
      <c r="C1132" s="470"/>
      <c r="D1132" s="470"/>
    </row>
    <row r="1133" spans="1:4" x14ac:dyDescent="0.4">
      <c r="A1133" s="467"/>
      <c r="B1133" s="252" t="s">
        <v>634</v>
      </c>
      <c r="C1133" s="470"/>
      <c r="D1133" s="470"/>
    </row>
    <row r="1134" spans="1:4" x14ac:dyDescent="0.4">
      <c r="A1134" s="467"/>
      <c r="B1134" s="252" t="s">
        <v>635</v>
      </c>
      <c r="C1134" s="470"/>
      <c r="D1134" s="470"/>
    </row>
    <row r="1135" spans="1:4" x14ac:dyDescent="0.4">
      <c r="A1135" s="468"/>
      <c r="B1135" s="252" t="s">
        <v>636</v>
      </c>
      <c r="C1135" s="471"/>
      <c r="D1135" s="471"/>
    </row>
    <row r="1136" spans="1:4" ht="27.6" x14ac:dyDescent="0.4">
      <c r="A1136" s="216">
        <v>2</v>
      </c>
      <c r="B1136" s="245" t="s">
        <v>637</v>
      </c>
      <c r="C1136" s="240" t="s">
        <v>4</v>
      </c>
      <c r="D1136" s="39">
        <v>12</v>
      </c>
    </row>
    <row r="1137" spans="1:4" x14ac:dyDescent="0.4">
      <c r="A1137" s="132">
        <v>3</v>
      </c>
      <c r="B1137" s="245" t="s">
        <v>638</v>
      </c>
      <c r="C1137" s="240" t="s">
        <v>4</v>
      </c>
      <c r="D1137" s="241">
        <v>1</v>
      </c>
    </row>
    <row r="1138" spans="1:4" x14ac:dyDescent="0.4">
      <c r="A1138" s="132">
        <v>4</v>
      </c>
      <c r="B1138" s="245" t="s">
        <v>639</v>
      </c>
      <c r="C1138" s="240" t="s">
        <v>4</v>
      </c>
      <c r="D1138" s="241">
        <v>2</v>
      </c>
    </row>
    <row r="1139" spans="1:4" x14ac:dyDescent="0.4">
      <c r="A1139" s="132">
        <v>5</v>
      </c>
      <c r="B1139" s="213" t="s">
        <v>641</v>
      </c>
      <c r="C1139" s="28" t="s">
        <v>4</v>
      </c>
      <c r="D1139" s="28">
        <v>4</v>
      </c>
    </row>
    <row r="1140" spans="1:4" x14ac:dyDescent="0.4">
      <c r="A1140" s="132">
        <v>6</v>
      </c>
      <c r="B1140" s="213" t="s">
        <v>644</v>
      </c>
      <c r="C1140" s="240" t="s">
        <v>4</v>
      </c>
      <c r="D1140" s="242">
        <v>2</v>
      </c>
    </row>
    <row r="1141" spans="1:4" x14ac:dyDescent="0.4">
      <c r="A1141" s="132">
        <v>7</v>
      </c>
      <c r="B1141" s="213" t="s">
        <v>678</v>
      </c>
      <c r="C1141" s="240" t="s">
        <v>4</v>
      </c>
      <c r="D1141" s="242">
        <v>1</v>
      </c>
    </row>
    <row r="1142" spans="1:4" x14ac:dyDescent="0.4">
      <c r="A1142" s="132">
        <v>8</v>
      </c>
      <c r="B1142" s="245" t="s">
        <v>647</v>
      </c>
      <c r="C1142" s="243" t="s">
        <v>1</v>
      </c>
      <c r="D1142" s="39">
        <v>24</v>
      </c>
    </row>
    <row r="1143" spans="1:4" x14ac:dyDescent="0.4">
      <c r="A1143" s="132">
        <v>9</v>
      </c>
      <c r="B1143" s="245" t="s">
        <v>648</v>
      </c>
      <c r="C1143" s="243" t="s">
        <v>1</v>
      </c>
      <c r="D1143" s="39">
        <v>70</v>
      </c>
    </row>
    <row r="1144" spans="1:4" x14ac:dyDescent="0.4">
      <c r="A1144" s="132">
        <v>10</v>
      </c>
      <c r="B1144" s="245" t="s">
        <v>649</v>
      </c>
      <c r="C1144" s="243" t="s">
        <v>1</v>
      </c>
      <c r="D1144" s="39">
        <v>5</v>
      </c>
    </row>
    <row r="1145" spans="1:4" x14ac:dyDescent="0.4">
      <c r="A1145" s="132">
        <v>11</v>
      </c>
      <c r="B1145" s="245" t="s">
        <v>650</v>
      </c>
      <c r="C1145" s="243" t="s">
        <v>1</v>
      </c>
      <c r="D1145" s="39">
        <v>24</v>
      </c>
    </row>
    <row r="1146" spans="1:4" x14ac:dyDescent="0.4">
      <c r="A1146" s="132">
        <v>12</v>
      </c>
      <c r="B1146" s="36" t="s">
        <v>620</v>
      </c>
      <c r="C1146" s="243" t="s">
        <v>1</v>
      </c>
      <c r="D1146" s="32">
        <v>123</v>
      </c>
    </row>
    <row r="1147" spans="1:4" x14ac:dyDescent="0.4">
      <c r="A1147" s="132">
        <v>13</v>
      </c>
      <c r="B1147" s="36" t="s">
        <v>656</v>
      </c>
      <c r="C1147" s="243" t="s">
        <v>622</v>
      </c>
      <c r="D1147" s="32">
        <v>120</v>
      </c>
    </row>
    <row r="1148" spans="1:4" x14ac:dyDescent="0.4">
      <c r="A1148" s="132">
        <v>14</v>
      </c>
      <c r="B1148" s="36" t="s">
        <v>657</v>
      </c>
      <c r="C1148" s="243" t="s">
        <v>4</v>
      </c>
      <c r="D1148" s="32">
        <v>1</v>
      </c>
    </row>
    <row r="1149" spans="1:4" x14ac:dyDescent="0.4">
      <c r="A1149" s="132">
        <v>15</v>
      </c>
      <c r="B1149" s="36" t="s">
        <v>625</v>
      </c>
      <c r="C1149" s="243" t="s">
        <v>4</v>
      </c>
      <c r="D1149" s="32">
        <v>12</v>
      </c>
    </row>
    <row r="1150" spans="1:4" x14ac:dyDescent="0.4">
      <c r="A1150" s="132">
        <v>16</v>
      </c>
      <c r="B1150" s="36" t="s">
        <v>626</v>
      </c>
      <c r="C1150" s="243" t="s">
        <v>4</v>
      </c>
      <c r="D1150" s="32">
        <v>2</v>
      </c>
    </row>
    <row r="1151" spans="1:4" x14ac:dyDescent="0.4">
      <c r="A1151" s="132">
        <v>17</v>
      </c>
      <c r="B1151" s="36" t="s">
        <v>658</v>
      </c>
      <c r="C1151" s="243" t="s">
        <v>4</v>
      </c>
      <c r="D1151" s="32">
        <v>1</v>
      </c>
    </row>
    <row r="1152" spans="1:4" x14ac:dyDescent="0.4">
      <c r="A1152" s="132">
        <v>18</v>
      </c>
      <c r="B1152" s="36" t="s">
        <v>659</v>
      </c>
      <c r="C1152" s="243" t="s">
        <v>4</v>
      </c>
      <c r="D1152" s="32">
        <v>1</v>
      </c>
    </row>
    <row r="1153" spans="1:4" x14ac:dyDescent="0.4">
      <c r="A1153" s="132">
        <v>19</v>
      </c>
      <c r="B1153" s="36" t="s">
        <v>660</v>
      </c>
      <c r="C1153" s="243" t="s">
        <v>4</v>
      </c>
      <c r="D1153" s="32">
        <v>1</v>
      </c>
    </row>
    <row r="1154" spans="1:4" x14ac:dyDescent="0.4">
      <c r="A1154" s="205"/>
      <c r="B1154" s="246"/>
      <c r="C1154" s="28"/>
      <c r="D1154" s="32"/>
    </row>
    <row r="1155" spans="1:4" x14ac:dyDescent="0.4">
      <c r="A1155" s="216"/>
      <c r="B1155" s="446" t="s">
        <v>680</v>
      </c>
      <c r="C1155" s="243"/>
      <c r="D1155" s="32"/>
    </row>
    <row r="1156" spans="1:4" x14ac:dyDescent="0.4">
      <c r="A1156" s="466">
        <v>1</v>
      </c>
      <c r="B1156" s="252" t="s">
        <v>631</v>
      </c>
      <c r="C1156" s="469" t="s">
        <v>4</v>
      </c>
      <c r="D1156" s="469">
        <v>1</v>
      </c>
    </row>
    <row r="1157" spans="1:4" x14ac:dyDescent="0.4">
      <c r="A1157" s="467"/>
      <c r="B1157" s="252" t="s">
        <v>681</v>
      </c>
      <c r="C1157" s="470"/>
      <c r="D1157" s="470"/>
    </row>
    <row r="1158" spans="1:4" x14ac:dyDescent="0.4">
      <c r="A1158" s="467"/>
      <c r="B1158" s="252" t="s">
        <v>682</v>
      </c>
      <c r="C1158" s="470"/>
      <c r="D1158" s="470"/>
    </row>
    <row r="1159" spans="1:4" x14ac:dyDescent="0.4">
      <c r="A1159" s="467"/>
      <c r="B1159" s="252" t="s">
        <v>683</v>
      </c>
      <c r="C1159" s="470"/>
      <c r="D1159" s="470"/>
    </row>
    <row r="1160" spans="1:4" x14ac:dyDescent="0.4">
      <c r="A1160" s="467"/>
      <c r="B1160" s="252" t="s">
        <v>635</v>
      </c>
      <c r="C1160" s="470"/>
      <c r="D1160" s="470"/>
    </row>
    <row r="1161" spans="1:4" x14ac:dyDescent="0.4">
      <c r="A1161" s="468"/>
      <c r="B1161" s="252" t="s">
        <v>684</v>
      </c>
      <c r="C1161" s="471"/>
      <c r="D1161" s="471"/>
    </row>
    <row r="1162" spans="1:4" ht="27.6" x14ac:dyDescent="0.4">
      <c r="A1162" s="216">
        <v>2</v>
      </c>
      <c r="B1162" s="245" t="s">
        <v>637</v>
      </c>
      <c r="C1162" s="240" t="s">
        <v>4</v>
      </c>
      <c r="D1162" s="39">
        <v>7</v>
      </c>
    </row>
    <row r="1163" spans="1:4" ht="27.6" x14ac:dyDescent="0.4">
      <c r="A1163" s="216">
        <v>3</v>
      </c>
      <c r="B1163" s="245" t="s">
        <v>685</v>
      </c>
      <c r="C1163" s="240" t="s">
        <v>4</v>
      </c>
      <c r="D1163" s="39">
        <v>1</v>
      </c>
    </row>
    <row r="1164" spans="1:4" x14ac:dyDescent="0.4">
      <c r="A1164" s="132">
        <v>4</v>
      </c>
      <c r="B1164" s="245" t="s">
        <v>686</v>
      </c>
      <c r="C1164" s="240" t="s">
        <v>4</v>
      </c>
      <c r="D1164" s="241">
        <v>1</v>
      </c>
    </row>
    <row r="1165" spans="1:4" x14ac:dyDescent="0.4">
      <c r="A1165" s="132">
        <v>5</v>
      </c>
      <c r="B1165" s="245" t="s">
        <v>639</v>
      </c>
      <c r="C1165" s="240" t="s">
        <v>4</v>
      </c>
      <c r="D1165" s="241">
        <v>1</v>
      </c>
    </row>
    <row r="1166" spans="1:4" x14ac:dyDescent="0.4">
      <c r="A1166" s="132">
        <v>6</v>
      </c>
      <c r="B1166" s="213" t="s">
        <v>687</v>
      </c>
      <c r="C1166" s="28" t="s">
        <v>4</v>
      </c>
      <c r="D1166" s="28">
        <v>4</v>
      </c>
    </row>
    <row r="1167" spans="1:4" x14ac:dyDescent="0.4">
      <c r="A1167" s="132">
        <v>7</v>
      </c>
      <c r="B1167" s="213" t="s">
        <v>688</v>
      </c>
      <c r="C1167" s="240" t="s">
        <v>4</v>
      </c>
      <c r="D1167" s="242">
        <v>2</v>
      </c>
    </row>
    <row r="1168" spans="1:4" x14ac:dyDescent="0.4">
      <c r="A1168" s="132">
        <v>8</v>
      </c>
      <c r="B1168" s="213" t="s">
        <v>689</v>
      </c>
      <c r="C1168" s="240" t="s">
        <v>4</v>
      </c>
      <c r="D1168" s="242">
        <v>1</v>
      </c>
    </row>
    <row r="1169" spans="1:4" x14ac:dyDescent="0.4">
      <c r="A1169" s="132">
        <v>9</v>
      </c>
      <c r="B1169" s="245" t="s">
        <v>647</v>
      </c>
      <c r="C1169" s="243" t="s">
        <v>1</v>
      </c>
      <c r="D1169" s="39">
        <v>52</v>
      </c>
    </row>
    <row r="1170" spans="1:4" x14ac:dyDescent="0.4">
      <c r="A1170" s="132">
        <v>10</v>
      </c>
      <c r="B1170" s="245" t="s">
        <v>649</v>
      </c>
      <c r="C1170" s="243" t="s">
        <v>1</v>
      </c>
      <c r="D1170" s="39">
        <v>11</v>
      </c>
    </row>
    <row r="1171" spans="1:4" x14ac:dyDescent="0.4">
      <c r="A1171" s="132">
        <v>11</v>
      </c>
      <c r="B1171" s="36" t="s">
        <v>620</v>
      </c>
      <c r="C1171" s="243" t="s">
        <v>1</v>
      </c>
      <c r="D1171" s="32">
        <v>63</v>
      </c>
    </row>
    <row r="1172" spans="1:4" x14ac:dyDescent="0.4">
      <c r="A1172" s="132">
        <v>12</v>
      </c>
      <c r="B1172" s="36" t="s">
        <v>656</v>
      </c>
      <c r="C1172" s="243" t="s">
        <v>622</v>
      </c>
      <c r="D1172" s="32">
        <v>100</v>
      </c>
    </row>
    <row r="1173" spans="1:4" x14ac:dyDescent="0.4">
      <c r="A1173" s="132">
        <v>13</v>
      </c>
      <c r="B1173" s="36" t="s">
        <v>657</v>
      </c>
      <c r="C1173" s="243" t="s">
        <v>4</v>
      </c>
      <c r="D1173" s="32">
        <v>1</v>
      </c>
    </row>
    <row r="1174" spans="1:4" x14ac:dyDescent="0.4">
      <c r="A1174" s="132">
        <v>14</v>
      </c>
      <c r="B1174" s="36" t="s">
        <v>625</v>
      </c>
      <c r="C1174" s="243" t="s">
        <v>4</v>
      </c>
      <c r="D1174" s="32">
        <v>8</v>
      </c>
    </row>
    <row r="1175" spans="1:4" x14ac:dyDescent="0.4">
      <c r="A1175" s="132">
        <v>15</v>
      </c>
      <c r="B1175" s="36" t="s">
        <v>626</v>
      </c>
      <c r="C1175" s="243" t="s">
        <v>4</v>
      </c>
      <c r="D1175" s="32">
        <v>2</v>
      </c>
    </row>
    <row r="1176" spans="1:4" x14ac:dyDescent="0.4">
      <c r="A1176" s="132">
        <v>16</v>
      </c>
      <c r="B1176" s="36" t="s">
        <v>658</v>
      </c>
      <c r="C1176" s="243" t="s">
        <v>4</v>
      </c>
      <c r="D1176" s="32">
        <v>1</v>
      </c>
    </row>
    <row r="1177" spans="1:4" x14ac:dyDescent="0.4">
      <c r="A1177" s="132">
        <v>17</v>
      </c>
      <c r="B1177" s="36" t="s">
        <v>659</v>
      </c>
      <c r="C1177" s="243" t="s">
        <v>4</v>
      </c>
      <c r="D1177" s="32">
        <v>1</v>
      </c>
    </row>
    <row r="1178" spans="1:4" x14ac:dyDescent="0.4">
      <c r="A1178" s="132">
        <v>18</v>
      </c>
      <c r="B1178" s="36" t="s">
        <v>660</v>
      </c>
      <c r="C1178" s="243" t="s">
        <v>4</v>
      </c>
      <c r="D1178" s="32">
        <v>1</v>
      </c>
    </row>
    <row r="1179" spans="1:4" x14ac:dyDescent="0.4">
      <c r="A1179" s="205"/>
      <c r="B1179" s="246"/>
      <c r="C1179" s="28"/>
      <c r="D1179" s="32"/>
    </row>
    <row r="1180" spans="1:4" x14ac:dyDescent="0.4">
      <c r="A1180" s="205"/>
      <c r="B1180" s="158" t="s">
        <v>690</v>
      </c>
      <c r="C1180" s="28"/>
      <c r="D1180" s="32"/>
    </row>
    <row r="1181" spans="1:4" x14ac:dyDescent="0.4">
      <c r="A1181" s="205">
        <v>1</v>
      </c>
      <c r="B1181" s="246" t="s">
        <v>691</v>
      </c>
      <c r="C1181" s="28" t="s">
        <v>4</v>
      </c>
      <c r="D1181" s="32">
        <v>1</v>
      </c>
    </row>
    <row r="1182" spans="1:4" x14ac:dyDescent="0.4">
      <c r="A1182" s="205">
        <v>2</v>
      </c>
      <c r="B1182" s="246" t="s">
        <v>692</v>
      </c>
      <c r="C1182" s="28" t="s">
        <v>4</v>
      </c>
      <c r="D1182" s="32">
        <v>12</v>
      </c>
    </row>
    <row r="1183" spans="1:4" x14ac:dyDescent="0.4">
      <c r="A1183" s="205">
        <v>3</v>
      </c>
      <c r="B1183" s="246" t="s">
        <v>693</v>
      </c>
      <c r="C1183" s="28" t="s">
        <v>4</v>
      </c>
      <c r="D1183" s="32">
        <v>1</v>
      </c>
    </row>
    <row r="1184" spans="1:4" x14ac:dyDescent="0.4">
      <c r="A1184" s="205">
        <v>4</v>
      </c>
      <c r="B1184" s="246" t="s">
        <v>694</v>
      </c>
      <c r="C1184" s="28" t="s">
        <v>4</v>
      </c>
      <c r="D1184" s="32">
        <v>2</v>
      </c>
    </row>
    <row r="1185" spans="1:4" x14ac:dyDescent="0.4">
      <c r="A1185" s="205">
        <v>5</v>
      </c>
      <c r="B1185" s="246" t="s">
        <v>695</v>
      </c>
      <c r="C1185" s="28" t="s">
        <v>4</v>
      </c>
      <c r="D1185" s="32">
        <v>13</v>
      </c>
    </row>
    <row r="1186" spans="1:4" x14ac:dyDescent="0.4">
      <c r="A1186" s="205">
        <v>6</v>
      </c>
      <c r="B1186" s="246" t="s">
        <v>696</v>
      </c>
      <c r="C1186" s="28" t="s">
        <v>4</v>
      </c>
      <c r="D1186" s="32">
        <v>1</v>
      </c>
    </row>
    <row r="1187" spans="1:4" x14ac:dyDescent="0.4">
      <c r="A1187" s="205">
        <v>7</v>
      </c>
      <c r="B1187" s="246" t="s">
        <v>697</v>
      </c>
      <c r="C1187" s="28" t="s">
        <v>4</v>
      </c>
      <c r="D1187" s="32">
        <v>5</v>
      </c>
    </row>
    <row r="1188" spans="1:4" x14ac:dyDescent="0.4">
      <c r="A1188" s="205">
        <v>8</v>
      </c>
      <c r="B1188" s="246" t="s">
        <v>604</v>
      </c>
      <c r="C1188" s="28" t="s">
        <v>4</v>
      </c>
      <c r="D1188" s="32">
        <v>1</v>
      </c>
    </row>
    <row r="1189" spans="1:4" x14ac:dyDescent="0.4">
      <c r="A1189" s="205">
        <v>9</v>
      </c>
      <c r="B1189" s="246" t="s">
        <v>698</v>
      </c>
      <c r="C1189" s="28" t="s">
        <v>4</v>
      </c>
      <c r="D1189" s="32">
        <v>9</v>
      </c>
    </row>
    <row r="1190" spans="1:4" x14ac:dyDescent="0.4">
      <c r="A1190" s="205">
        <v>10</v>
      </c>
      <c r="B1190" s="246" t="s">
        <v>699</v>
      </c>
      <c r="C1190" s="28" t="s">
        <v>4</v>
      </c>
      <c r="D1190" s="32">
        <v>1</v>
      </c>
    </row>
    <row r="1191" spans="1:4" x14ac:dyDescent="0.4">
      <c r="A1191" s="205">
        <v>11</v>
      </c>
      <c r="B1191" s="246" t="s">
        <v>700</v>
      </c>
      <c r="C1191" s="28" t="s">
        <v>701</v>
      </c>
      <c r="D1191" s="32">
        <v>18</v>
      </c>
    </row>
    <row r="1192" spans="1:4" x14ac:dyDescent="0.4">
      <c r="A1192" s="205">
        <v>12</v>
      </c>
      <c r="B1192" s="246" t="s">
        <v>702</v>
      </c>
      <c r="C1192" s="28" t="s">
        <v>701</v>
      </c>
      <c r="D1192" s="32">
        <v>2</v>
      </c>
    </row>
    <row r="1193" spans="1:4" x14ac:dyDescent="0.4">
      <c r="A1193" s="205">
        <v>13</v>
      </c>
      <c r="B1193" s="246" t="s">
        <v>703</v>
      </c>
      <c r="C1193" s="28" t="s">
        <v>701</v>
      </c>
      <c r="D1193" s="32">
        <v>4</v>
      </c>
    </row>
    <row r="1194" spans="1:4" x14ac:dyDescent="0.4">
      <c r="A1194" s="205">
        <v>14</v>
      </c>
      <c r="B1194" s="246" t="s">
        <v>704</v>
      </c>
      <c r="C1194" s="28" t="s">
        <v>4</v>
      </c>
      <c r="D1194" s="32">
        <v>12</v>
      </c>
    </row>
    <row r="1195" spans="1:4" x14ac:dyDescent="0.4">
      <c r="A1195" s="205">
        <v>15</v>
      </c>
      <c r="B1195" s="246" t="s">
        <v>705</v>
      </c>
      <c r="C1195" s="28" t="s">
        <v>4</v>
      </c>
      <c r="D1195" s="32">
        <v>4</v>
      </c>
    </row>
    <row r="1196" spans="1:4" x14ac:dyDescent="0.4">
      <c r="A1196" s="205">
        <v>16</v>
      </c>
      <c r="B1196" s="246" t="s">
        <v>706</v>
      </c>
      <c r="C1196" s="28" t="s">
        <v>4</v>
      </c>
      <c r="D1196" s="32">
        <v>4</v>
      </c>
    </row>
    <row r="1197" spans="1:4" x14ac:dyDescent="0.4">
      <c r="A1197" s="205">
        <v>17</v>
      </c>
      <c r="B1197" s="36" t="s">
        <v>626</v>
      </c>
      <c r="C1197" s="243" t="s">
        <v>4</v>
      </c>
      <c r="D1197" s="32">
        <v>1</v>
      </c>
    </row>
    <row r="1198" spans="1:4" x14ac:dyDescent="0.4">
      <c r="A1198" s="205"/>
      <c r="B1198" s="36"/>
      <c r="C1198" s="243"/>
      <c r="D1198" s="32"/>
    </row>
    <row r="1199" spans="1:4" x14ac:dyDescent="0.4">
      <c r="A1199" s="205"/>
      <c r="B1199" s="158" t="s">
        <v>707</v>
      </c>
      <c r="C1199" s="28"/>
      <c r="D1199" s="32"/>
    </row>
    <row r="1200" spans="1:4" x14ac:dyDescent="0.4">
      <c r="A1200" s="205">
        <v>1</v>
      </c>
      <c r="B1200" s="246" t="s">
        <v>708</v>
      </c>
      <c r="C1200" s="28" t="s">
        <v>4</v>
      </c>
      <c r="D1200" s="32">
        <v>1</v>
      </c>
    </row>
    <row r="1201" spans="1:4" x14ac:dyDescent="0.4">
      <c r="A1201" s="205">
        <v>2</v>
      </c>
      <c r="B1201" s="246" t="s">
        <v>709</v>
      </c>
      <c r="C1201" s="28" t="s">
        <v>4</v>
      </c>
      <c r="D1201" s="32">
        <v>1</v>
      </c>
    </row>
    <row r="1202" spans="1:4" x14ac:dyDescent="0.4">
      <c r="A1202" s="205">
        <v>3</v>
      </c>
      <c r="B1202" s="246" t="s">
        <v>710</v>
      </c>
      <c r="C1202" s="28" t="s">
        <v>4</v>
      </c>
      <c r="D1202" s="32">
        <v>2</v>
      </c>
    </row>
    <row r="1203" spans="1:4" x14ac:dyDescent="0.4">
      <c r="A1203" s="205">
        <v>4</v>
      </c>
      <c r="B1203" s="246" t="s">
        <v>692</v>
      </c>
      <c r="C1203" s="28" t="s">
        <v>4</v>
      </c>
      <c r="D1203" s="32">
        <v>15</v>
      </c>
    </row>
    <row r="1204" spans="1:4" x14ac:dyDescent="0.4">
      <c r="A1204" s="205">
        <v>5</v>
      </c>
      <c r="B1204" s="246" t="s">
        <v>711</v>
      </c>
      <c r="C1204" s="28" t="s">
        <v>4</v>
      </c>
      <c r="D1204" s="32">
        <v>1</v>
      </c>
    </row>
    <row r="1205" spans="1:4" x14ac:dyDescent="0.4">
      <c r="A1205" s="205">
        <v>6</v>
      </c>
      <c r="B1205" s="246" t="s">
        <v>693</v>
      </c>
      <c r="C1205" s="28" t="s">
        <v>4</v>
      </c>
      <c r="D1205" s="32">
        <v>1</v>
      </c>
    </row>
    <row r="1206" spans="1:4" x14ac:dyDescent="0.4">
      <c r="A1206" s="205">
        <v>7</v>
      </c>
      <c r="B1206" s="246" t="s">
        <v>694</v>
      </c>
      <c r="C1206" s="28" t="s">
        <v>4</v>
      </c>
      <c r="D1206" s="32">
        <v>2</v>
      </c>
    </row>
    <row r="1207" spans="1:4" x14ac:dyDescent="0.4">
      <c r="A1207" s="205">
        <v>8</v>
      </c>
      <c r="B1207" s="246" t="s">
        <v>712</v>
      </c>
      <c r="C1207" s="28" t="s">
        <v>4</v>
      </c>
      <c r="D1207" s="32">
        <v>5</v>
      </c>
    </row>
    <row r="1208" spans="1:4" x14ac:dyDescent="0.4">
      <c r="A1208" s="205">
        <v>9</v>
      </c>
      <c r="B1208" s="246" t="s">
        <v>695</v>
      </c>
      <c r="C1208" s="28" t="s">
        <v>4</v>
      </c>
      <c r="D1208" s="32">
        <v>17</v>
      </c>
    </row>
    <row r="1209" spans="1:4" x14ac:dyDescent="0.4">
      <c r="A1209" s="205">
        <v>10</v>
      </c>
      <c r="B1209" s="246" t="s">
        <v>713</v>
      </c>
      <c r="C1209" s="28" t="s">
        <v>4</v>
      </c>
      <c r="D1209" s="32">
        <v>1</v>
      </c>
    </row>
    <row r="1210" spans="1:4" x14ac:dyDescent="0.4">
      <c r="A1210" s="205">
        <v>11</v>
      </c>
      <c r="B1210" s="246" t="s">
        <v>714</v>
      </c>
      <c r="C1210" s="28" t="s">
        <v>4</v>
      </c>
      <c r="D1210" s="32">
        <v>2</v>
      </c>
    </row>
    <row r="1211" spans="1:4" x14ac:dyDescent="0.4">
      <c r="A1211" s="205">
        <v>12</v>
      </c>
      <c r="B1211" s="246" t="s">
        <v>697</v>
      </c>
      <c r="C1211" s="28" t="s">
        <v>4</v>
      </c>
      <c r="D1211" s="32">
        <v>5</v>
      </c>
    </row>
    <row r="1212" spans="1:4" x14ac:dyDescent="0.4">
      <c r="A1212" s="205">
        <v>13</v>
      </c>
      <c r="B1212" s="246" t="s">
        <v>715</v>
      </c>
      <c r="C1212" s="28" t="s">
        <v>4</v>
      </c>
      <c r="D1212" s="32">
        <v>1</v>
      </c>
    </row>
    <row r="1213" spans="1:4" x14ac:dyDescent="0.4">
      <c r="A1213" s="205">
        <v>14</v>
      </c>
      <c r="B1213" s="246" t="s">
        <v>716</v>
      </c>
      <c r="C1213" s="28" t="s">
        <v>4</v>
      </c>
      <c r="D1213" s="32">
        <v>5</v>
      </c>
    </row>
    <row r="1214" spans="1:4" x14ac:dyDescent="0.4">
      <c r="A1214" s="205">
        <v>15</v>
      </c>
      <c r="B1214" s="246" t="s">
        <v>698</v>
      </c>
      <c r="C1214" s="28" t="s">
        <v>4</v>
      </c>
      <c r="D1214" s="32">
        <v>12</v>
      </c>
    </row>
    <row r="1215" spans="1:4" x14ac:dyDescent="0.4">
      <c r="A1215" s="205">
        <v>16</v>
      </c>
      <c r="B1215" s="246" t="s">
        <v>699</v>
      </c>
      <c r="C1215" s="28" t="s">
        <v>4</v>
      </c>
      <c r="D1215" s="32">
        <v>1</v>
      </c>
    </row>
    <row r="1216" spans="1:4" x14ac:dyDescent="0.4">
      <c r="A1216" s="205">
        <v>17</v>
      </c>
      <c r="B1216" s="246" t="s">
        <v>717</v>
      </c>
      <c r="C1216" s="28" t="s">
        <v>4</v>
      </c>
      <c r="D1216" s="32">
        <v>2</v>
      </c>
    </row>
    <row r="1217" spans="1:4" x14ac:dyDescent="0.4">
      <c r="A1217" s="205">
        <v>18</v>
      </c>
      <c r="B1217" s="246" t="s">
        <v>718</v>
      </c>
      <c r="C1217" s="28" t="s">
        <v>701</v>
      </c>
      <c r="D1217" s="32">
        <v>11</v>
      </c>
    </row>
    <row r="1218" spans="1:4" x14ac:dyDescent="0.4">
      <c r="A1218" s="205">
        <v>19</v>
      </c>
      <c r="B1218" s="246" t="s">
        <v>719</v>
      </c>
      <c r="C1218" s="28" t="s">
        <v>701</v>
      </c>
      <c r="D1218" s="32">
        <v>7</v>
      </c>
    </row>
    <row r="1219" spans="1:4" x14ac:dyDescent="0.4">
      <c r="A1219" s="205">
        <v>20</v>
      </c>
      <c r="B1219" s="246" t="s">
        <v>700</v>
      </c>
      <c r="C1219" s="28" t="s">
        <v>701</v>
      </c>
      <c r="D1219" s="32">
        <v>20</v>
      </c>
    </row>
    <row r="1220" spans="1:4" x14ac:dyDescent="0.4">
      <c r="A1220" s="205">
        <v>21</v>
      </c>
      <c r="B1220" s="246" t="s">
        <v>702</v>
      </c>
      <c r="C1220" s="28" t="s">
        <v>701</v>
      </c>
      <c r="D1220" s="32">
        <v>5</v>
      </c>
    </row>
    <row r="1221" spans="1:4" x14ac:dyDescent="0.4">
      <c r="A1221" s="205">
        <v>22</v>
      </c>
      <c r="B1221" s="246" t="s">
        <v>703</v>
      </c>
      <c r="C1221" s="28" t="s">
        <v>701</v>
      </c>
      <c r="D1221" s="32">
        <v>4</v>
      </c>
    </row>
    <row r="1222" spans="1:4" x14ac:dyDescent="0.4">
      <c r="A1222" s="205">
        <v>23</v>
      </c>
      <c r="B1222" s="246" t="s">
        <v>720</v>
      </c>
      <c r="C1222" s="28" t="s">
        <v>4</v>
      </c>
      <c r="D1222" s="32">
        <v>10</v>
      </c>
    </row>
    <row r="1223" spans="1:4" x14ac:dyDescent="0.4">
      <c r="A1223" s="205">
        <v>24</v>
      </c>
      <c r="B1223" s="246" t="s">
        <v>721</v>
      </c>
      <c r="C1223" s="28" t="s">
        <v>4</v>
      </c>
      <c r="D1223" s="32">
        <v>4</v>
      </c>
    </row>
    <row r="1224" spans="1:4" x14ac:dyDescent="0.4">
      <c r="A1224" s="205">
        <v>25</v>
      </c>
      <c r="B1224" s="246" t="s">
        <v>704</v>
      </c>
      <c r="C1224" s="28" t="s">
        <v>4</v>
      </c>
      <c r="D1224" s="32">
        <v>12</v>
      </c>
    </row>
    <row r="1225" spans="1:4" x14ac:dyDescent="0.4">
      <c r="A1225" s="205">
        <v>26</v>
      </c>
      <c r="B1225" s="246" t="s">
        <v>705</v>
      </c>
      <c r="C1225" s="28" t="s">
        <v>4</v>
      </c>
      <c r="D1225" s="32">
        <v>3</v>
      </c>
    </row>
    <row r="1226" spans="1:4" x14ac:dyDescent="0.4">
      <c r="A1226" s="205">
        <v>27</v>
      </c>
      <c r="B1226" s="246" t="s">
        <v>706</v>
      </c>
      <c r="C1226" s="28" t="s">
        <v>4</v>
      </c>
      <c r="D1226" s="32">
        <v>2</v>
      </c>
    </row>
    <row r="1227" spans="1:4" x14ac:dyDescent="0.4">
      <c r="A1227" s="205">
        <v>28</v>
      </c>
      <c r="B1227" s="36" t="s">
        <v>626</v>
      </c>
      <c r="C1227" s="243" t="s">
        <v>4</v>
      </c>
      <c r="D1227" s="32">
        <v>4</v>
      </c>
    </row>
    <row r="1228" spans="1:4" x14ac:dyDescent="0.4">
      <c r="A1228" s="205"/>
      <c r="B1228" s="36"/>
      <c r="C1228" s="243"/>
      <c r="D1228" s="32"/>
    </row>
    <row r="1229" spans="1:4" x14ac:dyDescent="0.4">
      <c r="A1229" s="205"/>
      <c r="B1229" s="158" t="s">
        <v>722</v>
      </c>
      <c r="C1229" s="28"/>
      <c r="D1229" s="32"/>
    </row>
    <row r="1230" spans="1:4" x14ac:dyDescent="0.4">
      <c r="A1230" s="205">
        <v>1</v>
      </c>
      <c r="B1230" s="246" t="s">
        <v>709</v>
      </c>
      <c r="C1230" s="28" t="s">
        <v>4</v>
      </c>
      <c r="D1230" s="32">
        <v>1</v>
      </c>
    </row>
    <row r="1231" spans="1:4" x14ac:dyDescent="0.4">
      <c r="A1231" s="205">
        <v>2</v>
      </c>
      <c r="B1231" s="246" t="s">
        <v>723</v>
      </c>
      <c r="C1231" s="28" t="s">
        <v>4</v>
      </c>
      <c r="D1231" s="32">
        <v>2</v>
      </c>
    </row>
    <row r="1232" spans="1:4" x14ac:dyDescent="0.4">
      <c r="A1232" s="205">
        <v>3</v>
      </c>
      <c r="B1232" s="246" t="s">
        <v>724</v>
      </c>
      <c r="C1232" s="28" t="s">
        <v>4</v>
      </c>
      <c r="D1232" s="32">
        <v>6</v>
      </c>
    </row>
    <row r="1233" spans="1:4" x14ac:dyDescent="0.4">
      <c r="A1233" s="205">
        <v>4</v>
      </c>
      <c r="B1233" s="246" t="s">
        <v>700</v>
      </c>
      <c r="C1233" s="28" t="s">
        <v>701</v>
      </c>
      <c r="D1233" s="32">
        <v>14</v>
      </c>
    </row>
    <row r="1234" spans="1:4" x14ac:dyDescent="0.4">
      <c r="A1234" s="205">
        <v>5</v>
      </c>
      <c r="B1234" s="246" t="s">
        <v>725</v>
      </c>
      <c r="C1234" s="28" t="s">
        <v>4</v>
      </c>
      <c r="D1234" s="32">
        <v>5</v>
      </c>
    </row>
    <row r="1235" spans="1:4" x14ac:dyDescent="0.4">
      <c r="A1235" s="205">
        <v>6</v>
      </c>
      <c r="B1235" s="246" t="s">
        <v>726</v>
      </c>
      <c r="C1235" s="28" t="s">
        <v>4</v>
      </c>
      <c r="D1235" s="32">
        <v>3</v>
      </c>
    </row>
    <row r="1236" spans="1:4" x14ac:dyDescent="0.4">
      <c r="A1236" s="205">
        <v>7</v>
      </c>
      <c r="B1236" s="246" t="s">
        <v>727</v>
      </c>
      <c r="C1236" s="28" t="s">
        <v>4</v>
      </c>
      <c r="D1236" s="32">
        <v>1</v>
      </c>
    </row>
    <row r="1237" spans="1:4" x14ac:dyDescent="0.4">
      <c r="A1237" s="205">
        <v>8</v>
      </c>
      <c r="B1237" s="246" t="s">
        <v>704</v>
      </c>
      <c r="C1237" s="28" t="s">
        <v>4</v>
      </c>
      <c r="D1237" s="32">
        <v>10</v>
      </c>
    </row>
    <row r="1238" spans="1:4" x14ac:dyDescent="0.4">
      <c r="A1238" s="205">
        <v>9</v>
      </c>
      <c r="B1238" s="36" t="s">
        <v>626</v>
      </c>
      <c r="C1238" s="243" t="s">
        <v>4</v>
      </c>
      <c r="D1238" s="32">
        <v>1</v>
      </c>
    </row>
    <row r="1239" spans="1:4" x14ac:dyDescent="0.4">
      <c r="A1239" s="205">
        <v>10</v>
      </c>
      <c r="B1239" s="36" t="s">
        <v>728</v>
      </c>
      <c r="C1239" s="243" t="s">
        <v>4</v>
      </c>
      <c r="D1239" s="32">
        <v>1</v>
      </c>
    </row>
    <row r="1240" spans="1:4" x14ac:dyDescent="0.4">
      <c r="A1240" s="205">
        <v>11</v>
      </c>
      <c r="B1240" s="36" t="s">
        <v>729</v>
      </c>
      <c r="C1240" s="243" t="s">
        <v>4</v>
      </c>
      <c r="D1240" s="32">
        <v>1</v>
      </c>
    </row>
    <row r="1241" spans="1:4" x14ac:dyDescent="0.4">
      <c r="A1241" s="205">
        <v>12</v>
      </c>
      <c r="B1241" s="36" t="s">
        <v>730</v>
      </c>
      <c r="C1241" s="243" t="s">
        <v>4</v>
      </c>
      <c r="D1241" s="32">
        <v>1</v>
      </c>
    </row>
    <row r="1242" spans="1:4" x14ac:dyDescent="0.4">
      <c r="A1242" s="205"/>
      <c r="B1242" s="246"/>
      <c r="C1242" s="28"/>
      <c r="D1242" s="32"/>
    </row>
    <row r="1243" spans="1:4" x14ac:dyDescent="0.4">
      <c r="A1243" s="205"/>
      <c r="B1243" s="158" t="s">
        <v>731</v>
      </c>
      <c r="C1243" s="28"/>
      <c r="D1243" s="32"/>
    </row>
    <row r="1244" spans="1:4" x14ac:dyDescent="0.4">
      <c r="A1244" s="205">
        <v>1</v>
      </c>
      <c r="B1244" s="246" t="s">
        <v>732</v>
      </c>
      <c r="C1244" s="28" t="s">
        <v>4</v>
      </c>
      <c r="D1244" s="32">
        <v>1</v>
      </c>
    </row>
    <row r="1245" spans="1:4" x14ac:dyDescent="0.4">
      <c r="A1245" s="205">
        <v>2</v>
      </c>
      <c r="B1245" s="246" t="s">
        <v>733</v>
      </c>
      <c r="C1245" s="28" t="s">
        <v>4</v>
      </c>
      <c r="D1245" s="32">
        <v>2</v>
      </c>
    </row>
    <row r="1246" spans="1:4" x14ac:dyDescent="0.4">
      <c r="A1246" s="205">
        <v>3</v>
      </c>
      <c r="B1246" s="246" t="s">
        <v>734</v>
      </c>
      <c r="C1246" s="28" t="s">
        <v>4</v>
      </c>
      <c r="D1246" s="32">
        <v>3</v>
      </c>
    </row>
    <row r="1247" spans="1:4" x14ac:dyDescent="0.4">
      <c r="A1247" s="205">
        <v>4</v>
      </c>
      <c r="B1247" s="246" t="s">
        <v>735</v>
      </c>
      <c r="C1247" s="28" t="s">
        <v>4</v>
      </c>
      <c r="D1247" s="32">
        <v>3</v>
      </c>
    </row>
    <row r="1248" spans="1:4" x14ac:dyDescent="0.4">
      <c r="A1248" s="205">
        <v>5</v>
      </c>
      <c r="B1248" s="246" t="s">
        <v>736</v>
      </c>
      <c r="C1248" s="28" t="s">
        <v>4</v>
      </c>
      <c r="D1248" s="32">
        <v>3</v>
      </c>
    </row>
    <row r="1249" spans="1:4" x14ac:dyDescent="0.4">
      <c r="A1249" s="205">
        <v>6</v>
      </c>
      <c r="B1249" s="246" t="s">
        <v>702</v>
      </c>
      <c r="C1249" s="28" t="s">
        <v>701</v>
      </c>
      <c r="D1249" s="32">
        <v>3</v>
      </c>
    </row>
    <row r="1250" spans="1:4" x14ac:dyDescent="0.4">
      <c r="A1250" s="205">
        <v>7</v>
      </c>
      <c r="B1250" s="246" t="s">
        <v>703</v>
      </c>
      <c r="C1250" s="28" t="s">
        <v>701</v>
      </c>
      <c r="D1250" s="32">
        <v>25</v>
      </c>
    </row>
    <row r="1251" spans="1:4" x14ac:dyDescent="0.4">
      <c r="A1251" s="205">
        <v>8</v>
      </c>
      <c r="B1251" s="246" t="s">
        <v>737</v>
      </c>
      <c r="C1251" s="28" t="s">
        <v>701</v>
      </c>
      <c r="D1251" s="32">
        <v>18</v>
      </c>
    </row>
    <row r="1252" spans="1:4" x14ac:dyDescent="0.4">
      <c r="A1252" s="205">
        <v>9</v>
      </c>
      <c r="B1252" s="246" t="s">
        <v>738</v>
      </c>
      <c r="C1252" s="28" t="s">
        <v>4</v>
      </c>
      <c r="D1252" s="32">
        <v>2</v>
      </c>
    </row>
    <row r="1253" spans="1:4" x14ac:dyDescent="0.4">
      <c r="A1253" s="205">
        <v>10</v>
      </c>
      <c r="B1253" s="246" t="s">
        <v>739</v>
      </c>
      <c r="C1253" s="28" t="s">
        <v>4</v>
      </c>
      <c r="D1253" s="32">
        <v>1</v>
      </c>
    </row>
    <row r="1254" spans="1:4" x14ac:dyDescent="0.4">
      <c r="A1254" s="205">
        <v>11</v>
      </c>
      <c r="B1254" s="246" t="s">
        <v>740</v>
      </c>
      <c r="C1254" s="28" t="s">
        <v>4</v>
      </c>
      <c r="D1254" s="32">
        <v>2</v>
      </c>
    </row>
    <row r="1255" spans="1:4" x14ac:dyDescent="0.4">
      <c r="A1255" s="205">
        <v>12</v>
      </c>
      <c r="B1255" s="246" t="s">
        <v>604</v>
      </c>
      <c r="C1255" s="28" t="s">
        <v>4</v>
      </c>
      <c r="D1255" s="32">
        <v>1</v>
      </c>
    </row>
    <row r="1256" spans="1:4" x14ac:dyDescent="0.4">
      <c r="A1256" s="205">
        <v>13</v>
      </c>
      <c r="B1256" s="246" t="s">
        <v>741</v>
      </c>
      <c r="C1256" s="28" t="s">
        <v>4</v>
      </c>
      <c r="D1256" s="32">
        <v>3</v>
      </c>
    </row>
    <row r="1257" spans="1:4" x14ac:dyDescent="0.4">
      <c r="A1257" s="205">
        <v>14</v>
      </c>
      <c r="B1257" s="246" t="s">
        <v>607</v>
      </c>
      <c r="C1257" s="28" t="s">
        <v>4</v>
      </c>
      <c r="D1257" s="32">
        <v>1</v>
      </c>
    </row>
    <row r="1258" spans="1:4" x14ac:dyDescent="0.4">
      <c r="A1258" s="205">
        <v>15</v>
      </c>
      <c r="B1258" s="246" t="s">
        <v>742</v>
      </c>
      <c r="C1258" s="28" t="s">
        <v>4</v>
      </c>
      <c r="D1258" s="32">
        <v>6</v>
      </c>
    </row>
    <row r="1259" spans="1:4" x14ac:dyDescent="0.4">
      <c r="A1259" s="205">
        <v>16</v>
      </c>
      <c r="B1259" s="246" t="s">
        <v>743</v>
      </c>
      <c r="C1259" s="28" t="s">
        <v>4</v>
      </c>
      <c r="D1259" s="32">
        <v>14</v>
      </c>
    </row>
    <row r="1260" spans="1:4" x14ac:dyDescent="0.4">
      <c r="A1260" s="205">
        <v>17</v>
      </c>
      <c r="B1260" s="246" t="s">
        <v>744</v>
      </c>
      <c r="C1260" s="28" t="s">
        <v>4</v>
      </c>
      <c r="D1260" s="32">
        <v>16</v>
      </c>
    </row>
    <row r="1261" spans="1:4" x14ac:dyDescent="0.4">
      <c r="A1261" s="205">
        <v>18</v>
      </c>
      <c r="B1261" s="36" t="s">
        <v>626</v>
      </c>
      <c r="C1261" s="28" t="s">
        <v>4</v>
      </c>
      <c r="D1261" s="32">
        <v>1</v>
      </c>
    </row>
    <row r="1262" spans="1:4" x14ac:dyDescent="0.4">
      <c r="A1262" s="205">
        <v>19</v>
      </c>
      <c r="B1262" s="36" t="s">
        <v>728</v>
      </c>
      <c r="C1262" s="28" t="s">
        <v>4</v>
      </c>
      <c r="D1262" s="32">
        <v>1</v>
      </c>
    </row>
    <row r="1263" spans="1:4" x14ac:dyDescent="0.4">
      <c r="A1263" s="205">
        <v>20</v>
      </c>
      <c r="B1263" s="36" t="s">
        <v>729</v>
      </c>
      <c r="C1263" s="28" t="s">
        <v>4</v>
      </c>
      <c r="D1263" s="32">
        <v>1</v>
      </c>
    </row>
    <row r="1264" spans="1:4" ht="14.25" customHeight="1" x14ac:dyDescent="0.4">
      <c r="A1264" s="205">
        <v>21</v>
      </c>
      <c r="B1264" s="36" t="s">
        <v>730</v>
      </c>
      <c r="C1264" s="28" t="s">
        <v>4</v>
      </c>
      <c r="D1264" s="32">
        <v>1</v>
      </c>
    </row>
    <row r="1265" spans="1:4" x14ac:dyDescent="0.4">
      <c r="A1265" s="205"/>
      <c r="B1265" s="246"/>
      <c r="C1265" s="28"/>
      <c r="D1265" s="32"/>
    </row>
    <row r="1266" spans="1:4" x14ac:dyDescent="0.4">
      <c r="A1266" s="205"/>
      <c r="B1266" s="158" t="s">
        <v>745</v>
      </c>
      <c r="C1266" s="28"/>
      <c r="D1266" s="32"/>
    </row>
    <row r="1267" spans="1:4" x14ac:dyDescent="0.4">
      <c r="A1267" s="205">
        <v>1</v>
      </c>
      <c r="B1267" s="246" t="s">
        <v>746</v>
      </c>
      <c r="C1267" s="28" t="s">
        <v>4</v>
      </c>
      <c r="D1267" s="32">
        <v>1</v>
      </c>
    </row>
    <row r="1268" spans="1:4" x14ac:dyDescent="0.4">
      <c r="A1268" s="205">
        <v>2</v>
      </c>
      <c r="B1268" s="246" t="s">
        <v>747</v>
      </c>
      <c r="C1268" s="28" t="s">
        <v>4</v>
      </c>
      <c r="D1268" s="32">
        <v>2</v>
      </c>
    </row>
    <row r="1269" spans="1:4" x14ac:dyDescent="0.4">
      <c r="A1269" s="205">
        <v>3</v>
      </c>
      <c r="B1269" s="246" t="s">
        <v>748</v>
      </c>
      <c r="C1269" s="28" t="s">
        <v>4</v>
      </c>
      <c r="D1269" s="32">
        <v>3</v>
      </c>
    </row>
    <row r="1270" spans="1:4" x14ac:dyDescent="0.4">
      <c r="A1270" s="205">
        <v>3</v>
      </c>
      <c r="B1270" s="246" t="s">
        <v>734</v>
      </c>
      <c r="C1270" s="28" t="s">
        <v>4</v>
      </c>
      <c r="D1270" s="32">
        <v>2</v>
      </c>
    </row>
    <row r="1271" spans="1:4" x14ac:dyDescent="0.4">
      <c r="A1271" s="205">
        <v>4</v>
      </c>
      <c r="B1271" s="246" t="s">
        <v>735</v>
      </c>
      <c r="C1271" s="28" t="s">
        <v>4</v>
      </c>
      <c r="D1271" s="32">
        <v>3</v>
      </c>
    </row>
    <row r="1272" spans="1:4" x14ac:dyDescent="0.4">
      <c r="A1272" s="205">
        <v>5</v>
      </c>
      <c r="B1272" s="246" t="s">
        <v>700</v>
      </c>
      <c r="C1272" s="28" t="s">
        <v>701</v>
      </c>
      <c r="D1272" s="32">
        <v>17</v>
      </c>
    </row>
    <row r="1273" spans="1:4" x14ac:dyDescent="0.4">
      <c r="A1273" s="205">
        <v>6</v>
      </c>
      <c r="B1273" s="246" t="s">
        <v>702</v>
      </c>
      <c r="C1273" s="28" t="s">
        <v>701</v>
      </c>
      <c r="D1273" s="32">
        <v>11</v>
      </c>
    </row>
    <row r="1274" spans="1:4" x14ac:dyDescent="0.4">
      <c r="A1274" s="205">
        <v>7</v>
      </c>
      <c r="B1274" s="246" t="s">
        <v>703</v>
      </c>
      <c r="C1274" s="28" t="s">
        <v>701</v>
      </c>
      <c r="D1274" s="32">
        <v>19</v>
      </c>
    </row>
    <row r="1275" spans="1:4" x14ac:dyDescent="0.4">
      <c r="A1275" s="205">
        <v>8</v>
      </c>
      <c r="B1275" s="246" t="s">
        <v>749</v>
      </c>
      <c r="C1275" s="28" t="s">
        <v>4</v>
      </c>
      <c r="D1275" s="32">
        <v>1</v>
      </c>
    </row>
    <row r="1276" spans="1:4" x14ac:dyDescent="0.4">
      <c r="A1276" s="205">
        <v>9</v>
      </c>
      <c r="B1276" s="246" t="s">
        <v>750</v>
      </c>
      <c r="C1276" s="28" t="s">
        <v>4</v>
      </c>
      <c r="D1276" s="32">
        <v>1</v>
      </c>
    </row>
    <row r="1277" spans="1:4" x14ac:dyDescent="0.4">
      <c r="A1277" s="205">
        <v>10</v>
      </c>
      <c r="B1277" s="246" t="s">
        <v>751</v>
      </c>
      <c r="C1277" s="28" t="s">
        <v>4</v>
      </c>
      <c r="D1277" s="32">
        <v>1</v>
      </c>
    </row>
    <row r="1278" spans="1:4" x14ac:dyDescent="0.4">
      <c r="A1278" s="205">
        <v>11</v>
      </c>
      <c r="B1278" s="246" t="s">
        <v>752</v>
      </c>
      <c r="C1278" s="28" t="s">
        <v>4</v>
      </c>
      <c r="D1278" s="32">
        <v>1</v>
      </c>
    </row>
    <row r="1279" spans="1:4" x14ac:dyDescent="0.4">
      <c r="A1279" s="205">
        <v>12</v>
      </c>
      <c r="B1279" s="246" t="s">
        <v>697</v>
      </c>
      <c r="C1279" s="28" t="s">
        <v>4</v>
      </c>
      <c r="D1279" s="32">
        <v>4</v>
      </c>
    </row>
    <row r="1280" spans="1:4" x14ac:dyDescent="0.4">
      <c r="A1280" s="205">
        <v>13</v>
      </c>
      <c r="B1280" s="246" t="s">
        <v>715</v>
      </c>
      <c r="C1280" s="28" t="s">
        <v>4</v>
      </c>
      <c r="D1280" s="32">
        <v>2</v>
      </c>
    </row>
    <row r="1281" spans="1:4" x14ac:dyDescent="0.4">
      <c r="A1281" s="205">
        <v>14</v>
      </c>
      <c r="B1281" s="246" t="s">
        <v>604</v>
      </c>
      <c r="C1281" s="28" t="s">
        <v>4</v>
      </c>
      <c r="D1281" s="32">
        <v>3</v>
      </c>
    </row>
    <row r="1282" spans="1:4" x14ac:dyDescent="0.4">
      <c r="A1282" s="205">
        <v>15</v>
      </c>
      <c r="B1282" s="246" t="s">
        <v>753</v>
      </c>
      <c r="C1282" s="28" t="s">
        <v>4</v>
      </c>
      <c r="D1282" s="32">
        <v>1</v>
      </c>
    </row>
    <row r="1283" spans="1:4" x14ac:dyDescent="0.4">
      <c r="A1283" s="205">
        <v>16</v>
      </c>
      <c r="B1283" s="246" t="s">
        <v>754</v>
      </c>
      <c r="C1283" s="28" t="s">
        <v>4</v>
      </c>
      <c r="D1283" s="32">
        <v>1</v>
      </c>
    </row>
    <row r="1284" spans="1:4" x14ac:dyDescent="0.4">
      <c r="A1284" s="205">
        <v>17</v>
      </c>
      <c r="B1284" s="246" t="s">
        <v>755</v>
      </c>
      <c r="C1284" s="28" t="s">
        <v>4</v>
      </c>
      <c r="D1284" s="32">
        <v>1</v>
      </c>
    </row>
    <row r="1285" spans="1:4" x14ac:dyDescent="0.4">
      <c r="A1285" s="205">
        <v>18</v>
      </c>
      <c r="B1285" s="246" t="s">
        <v>756</v>
      </c>
      <c r="C1285" s="28" t="s">
        <v>4</v>
      </c>
      <c r="D1285" s="32">
        <v>10</v>
      </c>
    </row>
    <row r="1286" spans="1:4" x14ac:dyDescent="0.4">
      <c r="A1286" s="205">
        <v>19</v>
      </c>
      <c r="B1286" s="246" t="s">
        <v>742</v>
      </c>
      <c r="C1286" s="28" t="s">
        <v>4</v>
      </c>
      <c r="D1286" s="32">
        <v>6</v>
      </c>
    </row>
    <row r="1287" spans="1:4" x14ac:dyDescent="0.4">
      <c r="A1287" s="205">
        <v>20</v>
      </c>
      <c r="B1287" s="246" t="s">
        <v>743</v>
      </c>
      <c r="C1287" s="28" t="s">
        <v>4</v>
      </c>
      <c r="D1287" s="32">
        <v>8</v>
      </c>
    </row>
    <row r="1288" spans="1:4" x14ac:dyDescent="0.4">
      <c r="A1288" s="205">
        <v>21</v>
      </c>
      <c r="B1288" s="36" t="s">
        <v>626</v>
      </c>
      <c r="C1288" s="28" t="s">
        <v>4</v>
      </c>
      <c r="D1288" s="32">
        <v>1</v>
      </c>
    </row>
    <row r="1289" spans="1:4" x14ac:dyDescent="0.4">
      <c r="A1289" s="205">
        <v>22</v>
      </c>
      <c r="B1289" s="36" t="s">
        <v>728</v>
      </c>
      <c r="C1289" s="28" t="s">
        <v>4</v>
      </c>
      <c r="D1289" s="32">
        <v>1</v>
      </c>
    </row>
    <row r="1290" spans="1:4" x14ac:dyDescent="0.4">
      <c r="A1290" s="205">
        <v>23</v>
      </c>
      <c r="B1290" s="36" t="s">
        <v>729</v>
      </c>
      <c r="C1290" s="28" t="s">
        <v>4</v>
      </c>
      <c r="D1290" s="32">
        <v>1</v>
      </c>
    </row>
    <row r="1291" spans="1:4" ht="15.75" customHeight="1" x14ac:dyDescent="0.4">
      <c r="A1291" s="205">
        <v>24</v>
      </c>
      <c r="B1291" s="36" t="s">
        <v>730</v>
      </c>
      <c r="C1291" s="28" t="s">
        <v>4</v>
      </c>
      <c r="D1291" s="32">
        <v>1</v>
      </c>
    </row>
    <row r="1292" spans="1:4" x14ac:dyDescent="0.4">
      <c r="A1292" s="205"/>
      <c r="B1292" s="246"/>
      <c r="C1292" s="28"/>
      <c r="D1292" s="32"/>
    </row>
    <row r="1293" spans="1:4" x14ac:dyDescent="0.4">
      <c r="A1293" s="205"/>
      <c r="B1293" s="158" t="s">
        <v>757</v>
      </c>
      <c r="C1293" s="28"/>
      <c r="D1293" s="32"/>
    </row>
    <row r="1294" spans="1:4" x14ac:dyDescent="0.4">
      <c r="A1294" s="205">
        <v>1</v>
      </c>
      <c r="B1294" s="246" t="s">
        <v>758</v>
      </c>
      <c r="C1294" s="28" t="s">
        <v>4</v>
      </c>
      <c r="D1294" s="32">
        <v>1</v>
      </c>
    </row>
    <row r="1295" spans="1:4" x14ac:dyDescent="0.4">
      <c r="A1295" s="205">
        <v>2</v>
      </c>
      <c r="B1295" s="246" t="s">
        <v>759</v>
      </c>
      <c r="C1295" s="28" t="s">
        <v>4</v>
      </c>
      <c r="D1295" s="32">
        <v>1</v>
      </c>
    </row>
    <row r="1296" spans="1:4" x14ac:dyDescent="0.4">
      <c r="A1296" s="205">
        <v>3</v>
      </c>
      <c r="B1296" s="246" t="s">
        <v>723</v>
      </c>
      <c r="C1296" s="28" t="s">
        <v>4</v>
      </c>
      <c r="D1296" s="32">
        <v>2</v>
      </c>
    </row>
    <row r="1297" spans="1:4" x14ac:dyDescent="0.4">
      <c r="A1297" s="205">
        <v>4</v>
      </c>
      <c r="B1297" s="246" t="s">
        <v>748</v>
      </c>
      <c r="C1297" s="28" t="s">
        <v>4</v>
      </c>
      <c r="D1297" s="32">
        <v>2</v>
      </c>
    </row>
    <row r="1298" spans="1:4" x14ac:dyDescent="0.4">
      <c r="A1298" s="205">
        <v>5</v>
      </c>
      <c r="B1298" s="246" t="s">
        <v>700</v>
      </c>
      <c r="C1298" s="28" t="s">
        <v>701</v>
      </c>
      <c r="D1298" s="32">
        <v>20</v>
      </c>
    </row>
    <row r="1299" spans="1:4" x14ac:dyDescent="0.4">
      <c r="A1299" s="205">
        <v>6</v>
      </c>
      <c r="B1299" s="246" t="s">
        <v>749</v>
      </c>
      <c r="C1299" s="28" t="s">
        <v>4</v>
      </c>
      <c r="D1299" s="32">
        <v>1</v>
      </c>
    </row>
    <row r="1300" spans="1:4" x14ac:dyDescent="0.4">
      <c r="A1300" s="205">
        <v>7</v>
      </c>
      <c r="B1300" s="246" t="s">
        <v>697</v>
      </c>
      <c r="C1300" s="28" t="s">
        <v>4</v>
      </c>
      <c r="D1300" s="32">
        <v>6</v>
      </c>
    </row>
    <row r="1301" spans="1:4" x14ac:dyDescent="0.4">
      <c r="A1301" s="205">
        <v>8</v>
      </c>
      <c r="B1301" s="246" t="s">
        <v>760</v>
      </c>
      <c r="C1301" s="28" t="s">
        <v>4</v>
      </c>
      <c r="D1301" s="32">
        <v>5</v>
      </c>
    </row>
    <row r="1302" spans="1:4" x14ac:dyDescent="0.4">
      <c r="A1302" s="205">
        <v>9</v>
      </c>
      <c r="B1302" s="246" t="s">
        <v>756</v>
      </c>
      <c r="C1302" s="28" t="s">
        <v>4</v>
      </c>
      <c r="D1302" s="32">
        <v>20</v>
      </c>
    </row>
    <row r="1303" spans="1:4" x14ac:dyDescent="0.4">
      <c r="A1303" s="205">
        <v>10</v>
      </c>
      <c r="B1303" s="36" t="s">
        <v>626</v>
      </c>
      <c r="C1303" s="28" t="s">
        <v>4</v>
      </c>
      <c r="D1303" s="32">
        <v>2</v>
      </c>
    </row>
    <row r="1304" spans="1:4" x14ac:dyDescent="0.4">
      <c r="A1304" s="205">
        <v>11</v>
      </c>
      <c r="B1304" s="36" t="s">
        <v>728</v>
      </c>
      <c r="C1304" s="28" t="s">
        <v>4</v>
      </c>
      <c r="D1304" s="32">
        <v>2</v>
      </c>
    </row>
    <row r="1305" spans="1:4" x14ac:dyDescent="0.4">
      <c r="A1305" s="205">
        <v>12</v>
      </c>
      <c r="B1305" s="36" t="s">
        <v>729</v>
      </c>
      <c r="C1305" s="28" t="s">
        <v>4</v>
      </c>
      <c r="D1305" s="32">
        <v>2</v>
      </c>
    </row>
    <row r="1306" spans="1:4" ht="15.75" customHeight="1" x14ac:dyDescent="0.4">
      <c r="A1306" s="205">
        <v>13</v>
      </c>
      <c r="B1306" s="36" t="s">
        <v>730</v>
      </c>
      <c r="C1306" s="28" t="s">
        <v>4</v>
      </c>
      <c r="D1306" s="32">
        <v>2</v>
      </c>
    </row>
    <row r="1307" spans="1:4" x14ac:dyDescent="0.4">
      <c r="A1307" s="205"/>
      <c r="B1307" s="246"/>
      <c r="C1307" s="28"/>
      <c r="D1307" s="32"/>
    </row>
    <row r="1308" spans="1:4" x14ac:dyDescent="0.4">
      <c r="A1308" s="205"/>
      <c r="B1308" s="158" t="s">
        <v>761</v>
      </c>
      <c r="C1308" s="28"/>
      <c r="D1308" s="32"/>
    </row>
    <row r="1309" spans="1:4" x14ac:dyDescent="0.4">
      <c r="A1309" s="205">
        <v>1</v>
      </c>
      <c r="B1309" s="246" t="s">
        <v>762</v>
      </c>
      <c r="C1309" s="28" t="s">
        <v>4</v>
      </c>
      <c r="D1309" s="32">
        <v>1</v>
      </c>
    </row>
    <row r="1310" spans="1:4" x14ac:dyDescent="0.4">
      <c r="A1310" s="205">
        <v>2</v>
      </c>
      <c r="B1310" s="246" t="s">
        <v>763</v>
      </c>
      <c r="C1310" s="28" t="s">
        <v>4</v>
      </c>
      <c r="D1310" s="32">
        <v>1</v>
      </c>
    </row>
    <row r="1311" spans="1:4" x14ac:dyDescent="0.4">
      <c r="A1311" s="205">
        <v>3</v>
      </c>
      <c r="B1311" s="246" t="s">
        <v>764</v>
      </c>
      <c r="C1311" s="28" t="s">
        <v>4</v>
      </c>
      <c r="D1311" s="32">
        <v>1</v>
      </c>
    </row>
    <row r="1312" spans="1:4" x14ac:dyDescent="0.4">
      <c r="A1312" s="205">
        <v>4</v>
      </c>
      <c r="B1312" s="246" t="s">
        <v>765</v>
      </c>
      <c r="C1312" s="28" t="s">
        <v>701</v>
      </c>
      <c r="D1312" s="32">
        <v>1</v>
      </c>
    </row>
    <row r="1313" spans="1:4" x14ac:dyDescent="0.4">
      <c r="A1313" s="205">
        <v>5</v>
      </c>
      <c r="B1313" s="246" t="s">
        <v>766</v>
      </c>
      <c r="C1313" s="28" t="s">
        <v>4</v>
      </c>
      <c r="D1313" s="32">
        <v>1</v>
      </c>
    </row>
    <row r="1314" spans="1:4" ht="27.6" x14ac:dyDescent="0.4">
      <c r="A1314" s="205">
        <v>6</v>
      </c>
      <c r="B1314" s="246" t="s">
        <v>767</v>
      </c>
      <c r="C1314" s="28" t="s">
        <v>4</v>
      </c>
      <c r="D1314" s="32">
        <v>1</v>
      </c>
    </row>
    <row r="1315" spans="1:4" ht="27.6" x14ac:dyDescent="0.4">
      <c r="A1315" s="205">
        <v>7</v>
      </c>
      <c r="B1315" s="36" t="s">
        <v>768</v>
      </c>
      <c r="C1315" s="28" t="s">
        <v>5</v>
      </c>
      <c r="D1315" s="32">
        <v>15</v>
      </c>
    </row>
    <row r="1316" spans="1:4" ht="27.6" x14ac:dyDescent="0.4">
      <c r="A1316" s="205">
        <v>8</v>
      </c>
      <c r="B1316" s="36" t="s">
        <v>769</v>
      </c>
      <c r="C1316" s="28" t="s">
        <v>5</v>
      </c>
      <c r="D1316" s="32">
        <v>47</v>
      </c>
    </row>
    <row r="1317" spans="1:4" ht="27.6" x14ac:dyDescent="0.4">
      <c r="A1317" s="205">
        <v>9</v>
      </c>
      <c r="B1317" s="36" t="s">
        <v>770</v>
      </c>
      <c r="C1317" s="28" t="s">
        <v>5</v>
      </c>
      <c r="D1317" s="32">
        <v>29</v>
      </c>
    </row>
    <row r="1318" spans="1:4" x14ac:dyDescent="0.4">
      <c r="A1318" s="205">
        <v>10</v>
      </c>
      <c r="B1318" s="36" t="s">
        <v>771</v>
      </c>
      <c r="C1318" s="28" t="s">
        <v>4</v>
      </c>
      <c r="D1318" s="32">
        <v>10</v>
      </c>
    </row>
    <row r="1319" spans="1:4" x14ac:dyDescent="0.4">
      <c r="A1319" s="205">
        <v>11</v>
      </c>
      <c r="B1319" s="36" t="s">
        <v>772</v>
      </c>
      <c r="C1319" s="28" t="s">
        <v>4</v>
      </c>
      <c r="D1319" s="32">
        <v>13</v>
      </c>
    </row>
    <row r="1320" spans="1:4" x14ac:dyDescent="0.4">
      <c r="A1320" s="205">
        <v>12</v>
      </c>
      <c r="B1320" s="36" t="s">
        <v>773</v>
      </c>
      <c r="C1320" s="28" t="s">
        <v>4</v>
      </c>
      <c r="D1320" s="32">
        <v>10</v>
      </c>
    </row>
    <row r="1321" spans="1:4" x14ac:dyDescent="0.4">
      <c r="A1321" s="205">
        <v>13</v>
      </c>
      <c r="B1321" s="36" t="s">
        <v>774</v>
      </c>
      <c r="C1321" s="28" t="s">
        <v>4</v>
      </c>
      <c r="D1321" s="32">
        <v>1</v>
      </c>
    </row>
    <row r="1322" spans="1:4" x14ac:dyDescent="0.4">
      <c r="A1322" s="205">
        <v>14</v>
      </c>
      <c r="B1322" s="36" t="s">
        <v>775</v>
      </c>
      <c r="C1322" s="28" t="s">
        <v>4</v>
      </c>
      <c r="D1322" s="32">
        <v>1</v>
      </c>
    </row>
    <row r="1323" spans="1:4" x14ac:dyDescent="0.4">
      <c r="A1323" s="205">
        <v>15</v>
      </c>
      <c r="B1323" s="36" t="s">
        <v>776</v>
      </c>
      <c r="C1323" s="28" t="s">
        <v>4</v>
      </c>
      <c r="D1323" s="32">
        <v>1</v>
      </c>
    </row>
    <row r="1324" spans="1:4" x14ac:dyDescent="0.4">
      <c r="A1324" s="205">
        <v>16</v>
      </c>
      <c r="B1324" s="36" t="s">
        <v>777</v>
      </c>
      <c r="C1324" s="28" t="s">
        <v>4</v>
      </c>
      <c r="D1324" s="32">
        <v>22</v>
      </c>
    </row>
    <row r="1325" spans="1:4" x14ac:dyDescent="0.4">
      <c r="A1325" s="205">
        <v>17</v>
      </c>
      <c r="B1325" s="36" t="s">
        <v>778</v>
      </c>
      <c r="C1325" s="28" t="s">
        <v>4</v>
      </c>
      <c r="D1325" s="32">
        <v>4</v>
      </c>
    </row>
    <row r="1326" spans="1:4" x14ac:dyDescent="0.4">
      <c r="A1326" s="205">
        <v>18</v>
      </c>
      <c r="B1326" s="36" t="s">
        <v>779</v>
      </c>
      <c r="C1326" s="28" t="s">
        <v>4</v>
      </c>
      <c r="D1326" s="32">
        <v>4</v>
      </c>
    </row>
    <row r="1327" spans="1:4" x14ac:dyDescent="0.4">
      <c r="A1327" s="205">
        <v>19</v>
      </c>
      <c r="B1327" s="36" t="s">
        <v>780</v>
      </c>
      <c r="C1327" s="39" t="s">
        <v>4</v>
      </c>
      <c r="D1327" s="32">
        <v>3</v>
      </c>
    </row>
    <row r="1328" spans="1:4" x14ac:dyDescent="0.4">
      <c r="A1328" s="205">
        <v>20</v>
      </c>
      <c r="B1328" s="36" t="s">
        <v>781</v>
      </c>
      <c r="C1328" s="28" t="s">
        <v>4</v>
      </c>
      <c r="D1328" s="32">
        <v>1</v>
      </c>
    </row>
    <row r="1329" spans="1:4" x14ac:dyDescent="0.4">
      <c r="A1329" s="205">
        <v>21</v>
      </c>
      <c r="B1329" s="36" t="s">
        <v>782</v>
      </c>
      <c r="C1329" s="28" t="s">
        <v>4</v>
      </c>
      <c r="D1329" s="32">
        <v>1</v>
      </c>
    </row>
    <row r="1330" spans="1:4" x14ac:dyDescent="0.4">
      <c r="A1330" s="205">
        <v>22</v>
      </c>
      <c r="B1330" s="36" t="s">
        <v>783</v>
      </c>
      <c r="C1330" s="28" t="s">
        <v>4</v>
      </c>
      <c r="D1330" s="32">
        <v>1</v>
      </c>
    </row>
    <row r="1331" spans="1:4" x14ac:dyDescent="0.4">
      <c r="A1331" s="205">
        <v>23</v>
      </c>
      <c r="B1331" s="36" t="s">
        <v>784</v>
      </c>
      <c r="C1331" s="28" t="s">
        <v>4</v>
      </c>
      <c r="D1331" s="32">
        <v>4</v>
      </c>
    </row>
    <row r="1332" spans="1:4" x14ac:dyDescent="0.4">
      <c r="A1332" s="205">
        <v>24</v>
      </c>
      <c r="B1332" s="36" t="s">
        <v>785</v>
      </c>
      <c r="C1332" s="28" t="s">
        <v>5</v>
      </c>
      <c r="D1332" s="32">
        <v>1081</v>
      </c>
    </row>
    <row r="1333" spans="1:4" x14ac:dyDescent="0.4">
      <c r="A1333" s="205">
        <v>25</v>
      </c>
      <c r="B1333" s="36" t="s">
        <v>786</v>
      </c>
      <c r="C1333" s="28" t="s">
        <v>5</v>
      </c>
      <c r="D1333" s="32">
        <v>537</v>
      </c>
    </row>
    <row r="1334" spans="1:4" x14ac:dyDescent="0.4">
      <c r="A1334" s="132">
        <v>26</v>
      </c>
      <c r="B1334" s="36" t="s">
        <v>787</v>
      </c>
      <c r="C1334" s="28" t="s">
        <v>622</v>
      </c>
      <c r="D1334" s="32">
        <v>25</v>
      </c>
    </row>
    <row r="1335" spans="1:4" x14ac:dyDescent="0.4">
      <c r="A1335" s="132"/>
      <c r="B1335" s="36"/>
      <c r="C1335" s="28"/>
      <c r="D1335" s="32"/>
    </row>
    <row r="1336" spans="1:4" x14ac:dyDescent="0.4">
      <c r="A1336" s="205"/>
      <c r="B1336" s="246"/>
      <c r="C1336" s="28"/>
      <c r="D1336" s="32"/>
    </row>
    <row r="1337" spans="1:4" ht="24.75" customHeight="1" x14ac:dyDescent="0.4">
      <c r="A1337" s="230" t="s">
        <v>7</v>
      </c>
      <c r="B1337" s="86" t="s">
        <v>558</v>
      </c>
      <c r="C1337" s="230" t="s">
        <v>9</v>
      </c>
      <c r="D1337" s="231" t="s">
        <v>11</v>
      </c>
    </row>
    <row r="1338" spans="1:4" x14ac:dyDescent="0.4">
      <c r="A1338" s="230"/>
      <c r="B1338" s="158" t="s">
        <v>788</v>
      </c>
      <c r="C1338" s="230"/>
      <c r="D1338" s="231"/>
    </row>
    <row r="1339" spans="1:4" x14ac:dyDescent="0.4">
      <c r="A1339" s="132">
        <v>1</v>
      </c>
      <c r="B1339" s="36" t="s">
        <v>789</v>
      </c>
      <c r="C1339" s="28" t="s">
        <v>4</v>
      </c>
      <c r="D1339" s="32">
        <v>1</v>
      </c>
    </row>
    <row r="1340" spans="1:4" x14ac:dyDescent="0.4">
      <c r="A1340" s="132">
        <v>2</v>
      </c>
      <c r="B1340" s="36" t="s">
        <v>790</v>
      </c>
      <c r="C1340" s="28" t="s">
        <v>4</v>
      </c>
      <c r="D1340" s="32">
        <v>1</v>
      </c>
    </row>
    <row r="1341" spans="1:4" x14ac:dyDescent="0.4">
      <c r="A1341" s="132">
        <v>3</v>
      </c>
      <c r="B1341" s="36" t="s">
        <v>791</v>
      </c>
      <c r="C1341" s="28" t="s">
        <v>4</v>
      </c>
      <c r="D1341" s="32">
        <v>3</v>
      </c>
    </row>
    <row r="1342" spans="1:4" x14ac:dyDescent="0.4">
      <c r="A1342" s="254">
        <v>4</v>
      </c>
      <c r="B1342" s="36" t="s">
        <v>792</v>
      </c>
      <c r="C1342" s="28" t="s">
        <v>4</v>
      </c>
      <c r="D1342" s="32">
        <v>2</v>
      </c>
    </row>
    <row r="1343" spans="1:4" ht="27.6" x14ac:dyDescent="0.4">
      <c r="A1343" s="132">
        <v>5</v>
      </c>
      <c r="B1343" s="36" t="s">
        <v>793</v>
      </c>
      <c r="C1343" s="28" t="s">
        <v>5</v>
      </c>
      <c r="D1343" s="32">
        <v>12</v>
      </c>
    </row>
    <row r="1344" spans="1:4" x14ac:dyDescent="0.4">
      <c r="A1344" s="132">
        <v>6</v>
      </c>
      <c r="B1344" s="36" t="s">
        <v>794</v>
      </c>
      <c r="C1344" s="28" t="s">
        <v>4</v>
      </c>
      <c r="D1344" s="32">
        <v>6</v>
      </c>
    </row>
    <row r="1345" spans="1:4" x14ac:dyDescent="0.4">
      <c r="A1345" s="132">
        <v>7</v>
      </c>
      <c r="B1345" s="36" t="s">
        <v>795</v>
      </c>
      <c r="C1345" s="28" t="s">
        <v>4</v>
      </c>
      <c r="D1345" s="32">
        <v>4</v>
      </c>
    </row>
    <row r="1346" spans="1:4" x14ac:dyDescent="0.4">
      <c r="A1346" s="132">
        <v>8</v>
      </c>
      <c r="B1346" s="36" t="s">
        <v>796</v>
      </c>
      <c r="C1346" s="28" t="s">
        <v>4</v>
      </c>
      <c r="D1346" s="32">
        <v>1</v>
      </c>
    </row>
    <row r="1347" spans="1:4" x14ac:dyDescent="0.4">
      <c r="A1347" s="132">
        <v>9</v>
      </c>
      <c r="B1347" s="36" t="s">
        <v>787</v>
      </c>
      <c r="C1347" s="28" t="s">
        <v>622</v>
      </c>
      <c r="D1347" s="32">
        <v>15</v>
      </c>
    </row>
    <row r="1348" spans="1:4" x14ac:dyDescent="0.4">
      <c r="A1348" s="132"/>
      <c r="B1348" s="28"/>
      <c r="C1348" s="447"/>
      <c r="D1348" s="163"/>
    </row>
    <row r="1349" spans="1:4" x14ac:dyDescent="0.4">
      <c r="A1349" s="205"/>
      <c r="B1349" s="246"/>
      <c r="C1349" s="250"/>
      <c r="D1349" s="250"/>
    </row>
    <row r="1350" spans="1:4" ht="26.25" customHeight="1" x14ac:dyDescent="0.4">
      <c r="A1350" s="230" t="s">
        <v>7</v>
      </c>
      <c r="B1350" s="86" t="s">
        <v>558</v>
      </c>
      <c r="C1350" s="230" t="s">
        <v>9</v>
      </c>
      <c r="D1350" s="231" t="s">
        <v>11</v>
      </c>
    </row>
    <row r="1351" spans="1:4" x14ac:dyDescent="0.4">
      <c r="A1351" s="230"/>
      <c r="B1351" s="448" t="s">
        <v>797</v>
      </c>
      <c r="C1351" s="230"/>
      <c r="D1351" s="231"/>
    </row>
    <row r="1352" spans="1:4" ht="27.6" x14ac:dyDescent="0.4">
      <c r="A1352" s="132">
        <v>1</v>
      </c>
      <c r="B1352" s="36" t="s">
        <v>798</v>
      </c>
      <c r="C1352" s="39" t="s">
        <v>4</v>
      </c>
      <c r="D1352" s="39">
        <v>3</v>
      </c>
    </row>
    <row r="1353" spans="1:4" ht="27.6" x14ac:dyDescent="0.4">
      <c r="A1353" s="132">
        <v>2</v>
      </c>
      <c r="B1353" s="36" t="s">
        <v>799</v>
      </c>
      <c r="C1353" s="39" t="s">
        <v>4</v>
      </c>
      <c r="D1353" s="39">
        <v>1</v>
      </c>
    </row>
    <row r="1354" spans="1:4" ht="27.6" x14ac:dyDescent="0.4">
      <c r="A1354" s="132">
        <v>3</v>
      </c>
      <c r="B1354" s="36" t="s">
        <v>800</v>
      </c>
      <c r="C1354" s="28" t="s">
        <v>4</v>
      </c>
      <c r="D1354" s="32">
        <v>6</v>
      </c>
    </row>
    <row r="1355" spans="1:4" ht="27.6" x14ac:dyDescent="0.4">
      <c r="A1355" s="132">
        <v>4</v>
      </c>
      <c r="B1355" s="36" t="s">
        <v>801</v>
      </c>
      <c r="C1355" s="28" t="s">
        <v>4</v>
      </c>
      <c r="D1355" s="32">
        <v>6</v>
      </c>
    </row>
    <row r="1356" spans="1:4" x14ac:dyDescent="0.4">
      <c r="A1356" s="216">
        <v>5</v>
      </c>
      <c r="B1356" s="36" t="s">
        <v>802</v>
      </c>
      <c r="C1356" s="39" t="s">
        <v>557</v>
      </c>
      <c r="D1356" s="251">
        <v>16</v>
      </c>
    </row>
    <row r="1357" spans="1:4" x14ac:dyDescent="0.4">
      <c r="A1357" s="132">
        <v>6</v>
      </c>
      <c r="B1357" s="36" t="s">
        <v>803</v>
      </c>
      <c r="C1357" s="39" t="s">
        <v>5</v>
      </c>
      <c r="D1357" s="251">
        <v>25</v>
      </c>
    </row>
    <row r="1361" spans="1:5" s="29" customFormat="1" ht="17.399999999999999" x14ac:dyDescent="0.4">
      <c r="A1361" s="265"/>
      <c r="B1361" s="385" t="s">
        <v>1435</v>
      </c>
      <c r="C1361" s="338"/>
      <c r="D1361" s="370"/>
      <c r="E1361" s="377"/>
    </row>
    <row r="1362" spans="1:5" s="29" customFormat="1" x14ac:dyDescent="0.4">
      <c r="A1362" s="265"/>
      <c r="B1362" s="369"/>
      <c r="C1362" s="338"/>
      <c r="D1362" s="370"/>
      <c r="E1362" s="377"/>
    </row>
    <row r="1363" spans="1:5" s="29" customFormat="1" x14ac:dyDescent="0.4">
      <c r="A1363" s="388" t="s">
        <v>7</v>
      </c>
      <c r="B1363" s="388" t="s">
        <v>1389</v>
      </c>
      <c r="C1363" s="388" t="s">
        <v>1037</v>
      </c>
      <c r="D1363" s="388" t="s">
        <v>1339</v>
      </c>
      <c r="E1363" s="377"/>
    </row>
    <row r="1364" spans="1:5" s="29" customFormat="1" ht="12.9" x14ac:dyDescent="0.4">
      <c r="A1364" s="386" t="s">
        <v>1391</v>
      </c>
      <c r="B1364" s="387" t="s">
        <v>1392</v>
      </c>
      <c r="C1364" s="132"/>
      <c r="D1364" s="132"/>
      <c r="E1364" s="377"/>
    </row>
    <row r="1365" spans="1:5" s="29" customFormat="1" ht="27.6" x14ac:dyDescent="0.4">
      <c r="A1365" s="205">
        <v>1</v>
      </c>
      <c r="B1365" s="253" t="s">
        <v>1393</v>
      </c>
      <c r="C1365" s="28" t="s">
        <v>557</v>
      </c>
      <c r="D1365" s="28">
        <v>168</v>
      </c>
      <c r="E1365" s="377"/>
    </row>
    <row r="1366" spans="1:5" s="29" customFormat="1" x14ac:dyDescent="0.4">
      <c r="A1366" s="205">
        <f>A1365+1</f>
        <v>2</v>
      </c>
      <c r="B1366" s="253" t="s">
        <v>1394</v>
      </c>
      <c r="C1366" s="28" t="s">
        <v>557</v>
      </c>
      <c r="D1366" s="28">
        <v>2</v>
      </c>
      <c r="E1366" s="377"/>
    </row>
    <row r="1367" spans="1:5" s="29" customFormat="1" x14ac:dyDescent="0.4">
      <c r="A1367" s="205">
        <f>A1366+1</f>
        <v>3</v>
      </c>
      <c r="B1367" s="253" t="s">
        <v>1395</v>
      </c>
      <c r="C1367" s="28" t="s">
        <v>557</v>
      </c>
      <c r="D1367" s="28">
        <v>1</v>
      </c>
      <c r="E1367" s="377"/>
    </row>
    <row r="1368" spans="1:5" s="29" customFormat="1" ht="27.6" x14ac:dyDescent="0.4">
      <c r="A1368" s="205">
        <f>A1367+1</f>
        <v>4</v>
      </c>
      <c r="B1368" s="253" t="s">
        <v>1396</v>
      </c>
      <c r="C1368" s="28" t="s">
        <v>557</v>
      </c>
      <c r="D1368" s="28">
        <v>1</v>
      </c>
      <c r="E1368" s="377"/>
    </row>
    <row r="1369" spans="1:5" s="29" customFormat="1" x14ac:dyDescent="0.4">
      <c r="A1369" s="386" t="s">
        <v>1397</v>
      </c>
      <c r="B1369" s="389" t="s">
        <v>1398</v>
      </c>
      <c r="C1369" s="28"/>
      <c r="D1369" s="28"/>
      <c r="E1369" s="377"/>
    </row>
    <row r="1370" spans="1:5" s="29" customFormat="1" ht="27.6" x14ac:dyDescent="0.4">
      <c r="A1370" s="205">
        <v>1</v>
      </c>
      <c r="B1370" s="253" t="s">
        <v>1399</v>
      </c>
      <c r="C1370" s="28" t="s">
        <v>5</v>
      </c>
      <c r="D1370" s="28">
        <v>500</v>
      </c>
      <c r="E1370" s="377"/>
    </row>
    <row r="1371" spans="1:5" s="29" customFormat="1" ht="27.6" x14ac:dyDescent="0.4">
      <c r="A1371" s="205">
        <f>A1370+1</f>
        <v>2</v>
      </c>
      <c r="B1371" s="253" t="s">
        <v>1400</v>
      </c>
      <c r="C1371" s="28" t="s">
        <v>5</v>
      </c>
      <c r="D1371" s="28">
        <v>500</v>
      </c>
      <c r="E1371" s="377"/>
    </row>
    <row r="1372" spans="1:5" s="29" customFormat="1" ht="27.6" x14ac:dyDescent="0.4">
      <c r="A1372" s="205">
        <f>A1371+1</f>
        <v>3</v>
      </c>
      <c r="B1372" s="253" t="s">
        <v>1401</v>
      </c>
      <c r="C1372" s="28" t="s">
        <v>5</v>
      </c>
      <c r="D1372" s="28">
        <v>110</v>
      </c>
      <c r="E1372" s="377"/>
    </row>
    <row r="1373" spans="1:5" s="29" customFormat="1" ht="27.6" x14ac:dyDescent="0.4">
      <c r="A1373" s="205">
        <f>A1372+1</f>
        <v>4</v>
      </c>
      <c r="B1373" s="253" t="s">
        <v>1402</v>
      </c>
      <c r="C1373" s="28" t="s">
        <v>5</v>
      </c>
      <c r="D1373" s="28">
        <v>60</v>
      </c>
      <c r="E1373" s="377"/>
    </row>
    <row r="1374" spans="1:5" s="29" customFormat="1" ht="27.6" x14ac:dyDescent="0.4">
      <c r="A1374" s="205">
        <f>A1373+1</f>
        <v>5</v>
      </c>
      <c r="B1374" s="253" t="s">
        <v>1403</v>
      </c>
      <c r="C1374" s="28" t="s">
        <v>5</v>
      </c>
      <c r="D1374" s="28">
        <v>20</v>
      </c>
      <c r="E1374" s="377"/>
    </row>
    <row r="1375" spans="1:5" s="29" customFormat="1" ht="27.6" x14ac:dyDescent="0.4">
      <c r="A1375" s="205">
        <f>A1374+1</f>
        <v>6</v>
      </c>
      <c r="B1375" s="253" t="s">
        <v>1404</v>
      </c>
      <c r="C1375" s="28" t="s">
        <v>1405</v>
      </c>
      <c r="D1375" s="28">
        <v>30</v>
      </c>
      <c r="E1375" s="377"/>
    </row>
    <row r="1376" spans="1:5" s="29" customFormat="1" x14ac:dyDescent="0.4">
      <c r="A1376" s="386" t="s">
        <v>1406</v>
      </c>
      <c r="B1376" s="389" t="s">
        <v>1407</v>
      </c>
      <c r="C1376" s="28"/>
      <c r="D1376" s="28"/>
      <c r="E1376" s="377"/>
    </row>
    <row r="1377" spans="1:5" s="29" customFormat="1" ht="27.6" x14ac:dyDescent="0.4">
      <c r="A1377" s="205">
        <v>1</v>
      </c>
      <c r="B1377" s="253" t="s">
        <v>1408</v>
      </c>
      <c r="C1377" s="28" t="s">
        <v>557</v>
      </c>
      <c r="D1377" s="28">
        <v>2</v>
      </c>
      <c r="E1377" s="377"/>
    </row>
    <row r="1378" spans="1:5" s="29" customFormat="1" x14ac:dyDescent="0.4">
      <c r="A1378" s="205">
        <v>2</v>
      </c>
      <c r="B1378" s="253" t="s">
        <v>1409</v>
      </c>
      <c r="C1378" s="28" t="s">
        <v>557</v>
      </c>
      <c r="D1378" s="28">
        <v>2</v>
      </c>
      <c r="E1378" s="377"/>
    </row>
    <row r="1379" spans="1:5" s="29" customFormat="1" x14ac:dyDescent="0.4">
      <c r="A1379" s="205">
        <v>3</v>
      </c>
      <c r="B1379" s="253" t="s">
        <v>1410</v>
      </c>
      <c r="C1379" s="28" t="s">
        <v>1055</v>
      </c>
      <c r="D1379" s="28">
        <v>1</v>
      </c>
      <c r="E1379" s="377"/>
    </row>
    <row r="1380" spans="1:5" s="29" customFormat="1" x14ac:dyDescent="0.4">
      <c r="A1380" s="386" t="s">
        <v>1411</v>
      </c>
      <c r="B1380" s="389" t="s">
        <v>1412</v>
      </c>
      <c r="C1380" s="28"/>
      <c r="D1380" s="28"/>
      <c r="E1380" s="377"/>
    </row>
    <row r="1381" spans="1:5" s="29" customFormat="1" ht="27.6" x14ac:dyDescent="0.4">
      <c r="A1381" s="205">
        <v>1</v>
      </c>
      <c r="B1381" s="253" t="s">
        <v>1413</v>
      </c>
      <c r="C1381" s="28" t="s">
        <v>5</v>
      </c>
      <c r="D1381" s="28">
        <v>50</v>
      </c>
      <c r="E1381" s="377"/>
    </row>
    <row r="1382" spans="1:5" s="29" customFormat="1" ht="27.6" x14ac:dyDescent="0.4">
      <c r="A1382" s="205">
        <f>A1381+1</f>
        <v>2</v>
      </c>
      <c r="B1382" s="253" t="s">
        <v>1414</v>
      </c>
      <c r="C1382" s="28" t="s">
        <v>5</v>
      </c>
      <c r="D1382" s="28">
        <v>250</v>
      </c>
      <c r="E1382" s="377"/>
    </row>
    <row r="1383" spans="1:5" s="29" customFormat="1" ht="27.6" x14ac:dyDescent="0.4">
      <c r="A1383" s="205">
        <f>A1382+1</f>
        <v>3</v>
      </c>
      <c r="B1383" s="253" t="s">
        <v>1415</v>
      </c>
      <c r="C1383" s="28" t="s">
        <v>5</v>
      </c>
      <c r="D1383" s="28">
        <v>60</v>
      </c>
      <c r="E1383" s="377"/>
    </row>
    <row r="1384" spans="1:5" s="29" customFormat="1" x14ac:dyDescent="0.4">
      <c r="A1384" s="132">
        <f t="shared" ref="A1384:A1389" si="0">A1383+1</f>
        <v>4</v>
      </c>
      <c r="B1384" s="234" t="s">
        <v>1416</v>
      </c>
      <c r="C1384" s="28" t="s">
        <v>557</v>
      </c>
      <c r="D1384" s="28">
        <v>4</v>
      </c>
      <c r="E1384" s="377"/>
    </row>
    <row r="1385" spans="1:5" s="29" customFormat="1" x14ac:dyDescent="0.4">
      <c r="A1385" s="132">
        <f t="shared" si="0"/>
        <v>5</v>
      </c>
      <c r="B1385" s="234" t="s">
        <v>1417</v>
      </c>
      <c r="C1385" s="28" t="s">
        <v>557</v>
      </c>
      <c r="D1385" s="28">
        <v>10</v>
      </c>
      <c r="E1385" s="377"/>
    </row>
    <row r="1386" spans="1:5" s="29" customFormat="1" ht="27.6" x14ac:dyDescent="0.4">
      <c r="A1386" s="205">
        <f t="shared" si="0"/>
        <v>6</v>
      </c>
      <c r="B1386" s="253" t="s">
        <v>1418</v>
      </c>
      <c r="C1386" s="28" t="s">
        <v>1419</v>
      </c>
      <c r="D1386" s="28">
        <v>1</v>
      </c>
      <c r="E1386" s="377"/>
    </row>
    <row r="1387" spans="1:5" s="29" customFormat="1" ht="27.6" x14ac:dyDescent="0.4">
      <c r="A1387" s="205">
        <f t="shared" si="0"/>
        <v>7</v>
      </c>
      <c r="B1387" s="253" t="s">
        <v>1420</v>
      </c>
      <c r="C1387" s="28" t="s">
        <v>557</v>
      </c>
      <c r="D1387" s="28">
        <v>500</v>
      </c>
      <c r="E1387" s="377"/>
    </row>
    <row r="1388" spans="1:5" s="29" customFormat="1" ht="27.6" x14ac:dyDescent="0.4">
      <c r="A1388" s="205">
        <f t="shared" si="0"/>
        <v>8</v>
      </c>
      <c r="B1388" s="234" t="s">
        <v>1421</v>
      </c>
      <c r="C1388" s="28" t="s">
        <v>557</v>
      </c>
      <c r="D1388" s="28">
        <v>24</v>
      </c>
      <c r="E1388" s="377"/>
    </row>
    <row r="1389" spans="1:5" s="29" customFormat="1" ht="27.6" x14ac:dyDescent="0.4">
      <c r="A1389" s="205">
        <f t="shared" si="0"/>
        <v>9</v>
      </c>
      <c r="B1389" s="253" t="s">
        <v>1422</v>
      </c>
      <c r="C1389" s="28" t="s">
        <v>1419</v>
      </c>
      <c r="D1389" s="28">
        <v>1</v>
      </c>
      <c r="E1389" s="377"/>
    </row>
    <row r="1390" spans="1:5" s="29" customFormat="1" x14ac:dyDescent="0.4">
      <c r="A1390" s="386" t="s">
        <v>1411</v>
      </c>
      <c r="B1390" s="389" t="s">
        <v>1423</v>
      </c>
      <c r="C1390" s="28"/>
      <c r="D1390" s="28"/>
      <c r="E1390" s="377"/>
    </row>
    <row r="1391" spans="1:5" s="29" customFormat="1" ht="27.6" x14ac:dyDescent="0.4">
      <c r="A1391" s="205">
        <v>1</v>
      </c>
      <c r="B1391" s="253" t="s">
        <v>1424</v>
      </c>
      <c r="C1391" s="28" t="s">
        <v>5</v>
      </c>
      <c r="D1391" s="28">
        <v>110</v>
      </c>
      <c r="E1391" s="377"/>
    </row>
    <row r="1392" spans="1:5" s="29" customFormat="1" ht="27.6" x14ac:dyDescent="0.4">
      <c r="A1392" s="205">
        <v>2</v>
      </c>
      <c r="B1392" s="253" t="s">
        <v>1425</v>
      </c>
      <c r="C1392" s="28" t="s">
        <v>557</v>
      </c>
      <c r="D1392" s="28">
        <v>2</v>
      </c>
      <c r="E1392" s="377"/>
    </row>
    <row r="1393" spans="1:5" s="29" customFormat="1" ht="27.6" x14ac:dyDescent="0.4">
      <c r="A1393" s="205">
        <v>3</v>
      </c>
      <c r="B1393" s="253" t="s">
        <v>1426</v>
      </c>
      <c r="C1393" s="28" t="s">
        <v>557</v>
      </c>
      <c r="D1393" s="28">
        <v>2</v>
      </c>
      <c r="E1393" s="377"/>
    </row>
    <row r="1394" spans="1:5" s="29" customFormat="1" x14ac:dyDescent="0.4">
      <c r="A1394" s="386" t="s">
        <v>1427</v>
      </c>
      <c r="B1394" s="389" t="s">
        <v>1428</v>
      </c>
      <c r="C1394" s="28"/>
      <c r="D1394" s="28"/>
      <c r="E1394" s="377"/>
    </row>
    <row r="1395" spans="1:5" s="29" customFormat="1" x14ac:dyDescent="0.4">
      <c r="A1395" s="205">
        <v>1</v>
      </c>
      <c r="B1395" s="234" t="s">
        <v>1429</v>
      </c>
      <c r="C1395" s="28" t="s">
        <v>557</v>
      </c>
      <c r="D1395" s="28">
        <v>3</v>
      </c>
      <c r="E1395" s="377"/>
    </row>
    <row r="1396" spans="1:5" s="29" customFormat="1" x14ac:dyDescent="0.45">
      <c r="A1396" s="205">
        <f>A1395+1</f>
        <v>2</v>
      </c>
      <c r="B1396" s="390" t="s">
        <v>1430</v>
      </c>
      <c r="C1396" s="28" t="s">
        <v>557</v>
      </c>
      <c r="D1396" s="28">
        <v>28</v>
      </c>
      <c r="E1396" s="377"/>
    </row>
    <row r="1397" spans="1:5" s="29" customFormat="1" x14ac:dyDescent="0.45">
      <c r="A1397" s="205">
        <f>A1396+1</f>
        <v>3</v>
      </c>
      <c r="B1397" s="390" t="s">
        <v>1431</v>
      </c>
      <c r="C1397" s="28" t="s">
        <v>1432</v>
      </c>
      <c r="D1397" s="28">
        <v>48</v>
      </c>
      <c r="E1397" s="377"/>
    </row>
    <row r="1398" spans="1:5" s="29" customFormat="1" x14ac:dyDescent="0.45">
      <c r="A1398" s="205">
        <f>A1397+1</f>
        <v>4</v>
      </c>
      <c r="B1398" s="390" t="s">
        <v>1433</v>
      </c>
      <c r="C1398" s="28" t="s">
        <v>1432</v>
      </c>
      <c r="D1398" s="28">
        <v>72</v>
      </c>
      <c r="E1398" s="377"/>
    </row>
    <row r="1402" spans="1:5" s="29" customFormat="1" ht="17.399999999999999" x14ac:dyDescent="0.4">
      <c r="A1402" s="265"/>
      <c r="B1402" s="372" t="s">
        <v>1337</v>
      </c>
      <c r="C1402" s="338"/>
      <c r="D1402" s="370"/>
      <c r="E1402" s="377"/>
    </row>
    <row r="1403" spans="1:5" s="29" customFormat="1" x14ac:dyDescent="0.4">
      <c r="A1403" s="265"/>
      <c r="B1403" s="369"/>
      <c r="C1403" s="338"/>
      <c r="D1403" s="370"/>
      <c r="E1403" s="377"/>
    </row>
    <row r="1404" spans="1:5" s="29" customFormat="1" ht="24.6" x14ac:dyDescent="0.4">
      <c r="A1404" s="34" t="s">
        <v>7</v>
      </c>
      <c r="B1404" s="230" t="s">
        <v>1123</v>
      </c>
      <c r="C1404" s="230" t="s">
        <v>1338</v>
      </c>
      <c r="D1404" s="230" t="s">
        <v>1339</v>
      </c>
      <c r="E1404" s="377"/>
    </row>
    <row r="1405" spans="1:5" s="29" customFormat="1" x14ac:dyDescent="0.4">
      <c r="A1405" s="34"/>
      <c r="B1405" s="449" t="s">
        <v>1340</v>
      </c>
      <c r="C1405" s="6"/>
      <c r="D1405" s="30"/>
      <c r="E1405" s="377"/>
    </row>
    <row r="1406" spans="1:5" s="29" customFormat="1" x14ac:dyDescent="0.4">
      <c r="A1406" s="132">
        <v>1</v>
      </c>
      <c r="B1406" s="374" t="s">
        <v>1341</v>
      </c>
      <c r="C1406" s="378" t="s">
        <v>1</v>
      </c>
      <c r="D1406" s="373">
        <v>3235</v>
      </c>
      <c r="E1406" s="377"/>
    </row>
    <row r="1407" spans="1:5" s="29" customFormat="1" x14ac:dyDescent="0.4">
      <c r="A1407" s="132">
        <v>2</v>
      </c>
      <c r="B1407" s="374" t="s">
        <v>1342</v>
      </c>
      <c r="C1407" s="378" t="s">
        <v>1</v>
      </c>
      <c r="D1407" s="373">
        <v>3235</v>
      </c>
      <c r="E1407" s="377"/>
    </row>
    <row r="1408" spans="1:5" s="29" customFormat="1" ht="14.25" customHeight="1" x14ac:dyDescent="0.4">
      <c r="A1408" s="132">
        <v>3</v>
      </c>
      <c r="B1408" s="374" t="s">
        <v>1343</v>
      </c>
      <c r="C1408" s="378" t="s">
        <v>1</v>
      </c>
      <c r="D1408" s="373">
        <v>1875</v>
      </c>
      <c r="E1408" s="377"/>
    </row>
    <row r="1409" spans="1:5" s="29" customFormat="1" x14ac:dyDescent="0.4">
      <c r="A1409" s="132">
        <v>4</v>
      </c>
      <c r="B1409" s="374" t="s">
        <v>1344</v>
      </c>
      <c r="C1409" s="378" t="s">
        <v>1</v>
      </c>
      <c r="D1409" s="373">
        <v>280</v>
      </c>
      <c r="E1409" s="377"/>
    </row>
    <row r="1410" spans="1:5" s="29" customFormat="1" x14ac:dyDescent="0.4">
      <c r="A1410" s="132">
        <v>5</v>
      </c>
      <c r="B1410" s="374" t="s">
        <v>1345</v>
      </c>
      <c r="C1410" s="378" t="s">
        <v>1</v>
      </c>
      <c r="D1410" s="373">
        <v>560</v>
      </c>
      <c r="E1410" s="377"/>
    </row>
    <row r="1411" spans="1:5" s="29" customFormat="1" x14ac:dyDescent="0.4">
      <c r="A1411" s="132">
        <v>6</v>
      </c>
      <c r="B1411" s="374" t="s">
        <v>1346</v>
      </c>
      <c r="C1411" s="378" t="s">
        <v>1</v>
      </c>
      <c r="D1411" s="373">
        <v>500</v>
      </c>
      <c r="E1411" s="377"/>
    </row>
    <row r="1412" spans="1:5" s="29" customFormat="1" x14ac:dyDescent="0.4">
      <c r="A1412" s="132">
        <v>7</v>
      </c>
      <c r="B1412" s="374" t="s">
        <v>1347</v>
      </c>
      <c r="C1412" s="378" t="s">
        <v>1348</v>
      </c>
      <c r="D1412" s="30">
        <v>496</v>
      </c>
      <c r="E1412" s="377"/>
    </row>
    <row r="1413" spans="1:5" s="29" customFormat="1" x14ac:dyDescent="0.4">
      <c r="A1413" s="132">
        <v>8</v>
      </c>
      <c r="B1413" s="374" t="s">
        <v>1349</v>
      </c>
      <c r="C1413" s="378" t="s">
        <v>1348</v>
      </c>
      <c r="D1413" s="30">
        <v>88.4</v>
      </c>
      <c r="E1413" s="377"/>
    </row>
    <row r="1414" spans="1:5" s="29" customFormat="1" x14ac:dyDescent="0.4">
      <c r="A1414" s="132">
        <v>9</v>
      </c>
      <c r="B1414" s="374" t="s">
        <v>1350</v>
      </c>
      <c r="C1414" s="378" t="s">
        <v>1</v>
      </c>
      <c r="D1414" s="373">
        <v>87</v>
      </c>
      <c r="E1414" s="377"/>
    </row>
    <row r="1415" spans="1:5" s="29" customFormat="1" x14ac:dyDescent="0.4">
      <c r="A1415" s="132">
        <v>10</v>
      </c>
      <c r="B1415" s="374" t="s">
        <v>1351</v>
      </c>
      <c r="C1415" s="378" t="s">
        <v>557</v>
      </c>
      <c r="D1415" s="373">
        <v>1</v>
      </c>
      <c r="E1415" s="377"/>
    </row>
    <row r="1416" spans="1:5" s="29" customFormat="1" x14ac:dyDescent="0.4">
      <c r="A1416" s="132">
        <v>11</v>
      </c>
      <c r="B1416" s="374" t="s">
        <v>1352</v>
      </c>
      <c r="C1416" s="378" t="s">
        <v>1</v>
      </c>
      <c r="D1416" s="373">
        <v>220</v>
      </c>
      <c r="E1416" s="377"/>
    </row>
    <row r="1417" spans="1:5" s="29" customFormat="1" x14ac:dyDescent="0.4">
      <c r="A1417" s="132">
        <v>12</v>
      </c>
      <c r="B1417" s="374" t="s">
        <v>1353</v>
      </c>
      <c r="C1417" s="378" t="s">
        <v>1</v>
      </c>
      <c r="D1417" s="373">
        <v>704</v>
      </c>
      <c r="E1417" s="377"/>
    </row>
    <row r="1418" spans="1:5" s="29" customFormat="1" x14ac:dyDescent="0.4">
      <c r="A1418" s="132"/>
      <c r="B1418" s="443" t="s">
        <v>1354</v>
      </c>
      <c r="C1418" s="28"/>
      <c r="D1418" s="130"/>
      <c r="E1418" s="377"/>
    </row>
    <row r="1419" spans="1:5" s="29" customFormat="1" ht="27.6" x14ac:dyDescent="0.4">
      <c r="A1419" s="132">
        <v>1</v>
      </c>
      <c r="B1419" s="374" t="s">
        <v>1355</v>
      </c>
      <c r="C1419" s="378" t="s">
        <v>557</v>
      </c>
      <c r="D1419" s="379">
        <v>20</v>
      </c>
      <c r="E1419" s="377"/>
    </row>
    <row r="1420" spans="1:5" s="29" customFormat="1" x14ac:dyDescent="0.4">
      <c r="A1420" s="132">
        <v>2</v>
      </c>
      <c r="B1420" s="374" t="s">
        <v>1356</v>
      </c>
      <c r="C1420" s="378" t="s">
        <v>557</v>
      </c>
      <c r="D1420" s="373">
        <v>8</v>
      </c>
      <c r="E1420" s="377"/>
    </row>
    <row r="1421" spans="1:5" s="29" customFormat="1" x14ac:dyDescent="0.4">
      <c r="A1421" s="132">
        <v>3</v>
      </c>
      <c r="B1421" s="374" t="s">
        <v>1357</v>
      </c>
      <c r="C1421" s="378" t="s">
        <v>557</v>
      </c>
      <c r="D1421" s="373">
        <v>20</v>
      </c>
      <c r="E1421" s="377"/>
    </row>
    <row r="1422" spans="1:5" s="29" customFormat="1" ht="27.6" x14ac:dyDescent="0.4">
      <c r="A1422" s="132">
        <v>4</v>
      </c>
      <c r="B1422" s="374" t="s">
        <v>1358</v>
      </c>
      <c r="C1422" s="378" t="s">
        <v>557</v>
      </c>
      <c r="D1422" s="373">
        <v>1</v>
      </c>
      <c r="E1422" s="377"/>
    </row>
    <row r="1423" spans="1:5" s="29" customFormat="1" ht="27.6" x14ac:dyDescent="0.4">
      <c r="A1423" s="132">
        <v>5</v>
      </c>
      <c r="B1423" s="374" t="s">
        <v>1359</v>
      </c>
      <c r="C1423" s="378" t="s">
        <v>557</v>
      </c>
      <c r="D1423" s="373">
        <v>1</v>
      </c>
      <c r="E1423" s="377"/>
    </row>
    <row r="1424" spans="1:5" s="29" customFormat="1" x14ac:dyDescent="0.4">
      <c r="A1424" s="132"/>
      <c r="B1424" s="450" t="s">
        <v>1360</v>
      </c>
      <c r="C1424" s="28"/>
      <c r="D1424" s="130"/>
      <c r="E1424" s="377"/>
    </row>
    <row r="1425" spans="1:5" s="29" customFormat="1" x14ac:dyDescent="0.4">
      <c r="A1425" s="132">
        <v>1</v>
      </c>
      <c r="B1425" s="374" t="s">
        <v>1361</v>
      </c>
      <c r="C1425" s="378" t="s">
        <v>1</v>
      </c>
      <c r="D1425" s="373">
        <v>2380</v>
      </c>
      <c r="E1425" s="377"/>
    </row>
    <row r="1426" spans="1:5" s="29" customFormat="1" x14ac:dyDescent="0.4">
      <c r="A1426" s="132">
        <v>2</v>
      </c>
      <c r="B1426" s="374" t="s">
        <v>1362</v>
      </c>
      <c r="C1426" s="378" t="s">
        <v>2</v>
      </c>
      <c r="D1426" s="373">
        <v>238</v>
      </c>
      <c r="E1426" s="377"/>
    </row>
    <row r="1427" spans="1:5" s="29" customFormat="1" x14ac:dyDescent="0.4">
      <c r="A1427" s="132">
        <v>3</v>
      </c>
      <c r="B1427" s="374" t="s">
        <v>1364</v>
      </c>
      <c r="C1427" s="378" t="s">
        <v>2</v>
      </c>
      <c r="D1427" s="373">
        <v>190.4</v>
      </c>
      <c r="E1427" s="377"/>
    </row>
    <row r="1428" spans="1:5" s="29" customFormat="1" x14ac:dyDescent="0.4">
      <c r="A1428" s="132">
        <v>4</v>
      </c>
      <c r="B1428" s="374" t="s">
        <v>1365</v>
      </c>
      <c r="C1428" s="378" t="s">
        <v>2</v>
      </c>
      <c r="D1428" s="373">
        <v>47.6</v>
      </c>
      <c r="E1428" s="377"/>
    </row>
    <row r="1429" spans="1:5" s="29" customFormat="1" ht="27.6" x14ac:dyDescent="0.4">
      <c r="A1429" s="132">
        <v>5</v>
      </c>
      <c r="B1429" s="374" t="s">
        <v>1366</v>
      </c>
      <c r="C1429" s="378" t="s">
        <v>1</v>
      </c>
      <c r="D1429" s="373">
        <v>2380</v>
      </c>
      <c r="E1429" s="377"/>
    </row>
    <row r="1430" spans="1:5" s="29" customFormat="1" x14ac:dyDescent="0.4">
      <c r="A1430" s="132">
        <v>6</v>
      </c>
      <c r="B1430" s="374" t="s">
        <v>1367</v>
      </c>
      <c r="C1430" s="378" t="s">
        <v>557</v>
      </c>
      <c r="D1430" s="373">
        <v>74</v>
      </c>
      <c r="E1430" s="377"/>
    </row>
    <row r="1431" spans="1:5" s="29" customFormat="1" x14ac:dyDescent="0.4">
      <c r="A1431" s="132">
        <v>7</v>
      </c>
      <c r="B1431" s="374" t="s">
        <v>1368</v>
      </c>
      <c r="C1431" s="378" t="s">
        <v>557</v>
      </c>
      <c r="D1431" s="373">
        <v>13</v>
      </c>
      <c r="E1431" s="377"/>
    </row>
    <row r="1432" spans="1:5" s="29" customFormat="1" x14ac:dyDescent="0.4">
      <c r="A1432" s="132">
        <v>8</v>
      </c>
      <c r="B1432" s="374" t="s">
        <v>1369</v>
      </c>
      <c r="C1432" s="378" t="s">
        <v>557</v>
      </c>
      <c r="D1432" s="373">
        <v>1130</v>
      </c>
      <c r="E1432" s="377"/>
    </row>
    <row r="1433" spans="1:5" s="29" customFormat="1" x14ac:dyDescent="0.4">
      <c r="A1433" s="132">
        <v>9</v>
      </c>
      <c r="B1433" s="374" t="s">
        <v>1370</v>
      </c>
      <c r="C1433" s="378" t="s">
        <v>557</v>
      </c>
      <c r="D1433" s="373">
        <v>87</v>
      </c>
      <c r="E1433" s="377"/>
    </row>
    <row r="1434" spans="1:5" s="29" customFormat="1" x14ac:dyDescent="0.4">
      <c r="A1434" s="132">
        <v>10</v>
      </c>
      <c r="B1434" s="374" t="s">
        <v>1371</v>
      </c>
      <c r="C1434" s="378" t="s">
        <v>2</v>
      </c>
      <c r="D1434" s="373">
        <v>4.5</v>
      </c>
      <c r="E1434" s="377"/>
    </row>
    <row r="1435" spans="1:5" s="29" customFormat="1" x14ac:dyDescent="0.4">
      <c r="A1435" s="132">
        <v>11</v>
      </c>
      <c r="B1435" s="36" t="s">
        <v>1372</v>
      </c>
      <c r="C1435" s="378" t="s">
        <v>907</v>
      </c>
      <c r="D1435" s="373">
        <v>1</v>
      </c>
      <c r="E1435" s="377"/>
    </row>
    <row r="1436" spans="1:5" s="29" customFormat="1" x14ac:dyDescent="0.4">
      <c r="A1436" s="132"/>
      <c r="B1436" s="450" t="s">
        <v>1373</v>
      </c>
      <c r="C1436" s="28"/>
      <c r="D1436" s="130"/>
      <c r="E1436" s="377"/>
    </row>
    <row r="1437" spans="1:5" s="29" customFormat="1" x14ac:dyDescent="0.4">
      <c r="A1437" s="132">
        <v>1</v>
      </c>
      <c r="B1437" s="374" t="s">
        <v>1374</v>
      </c>
      <c r="C1437" s="378" t="s">
        <v>557</v>
      </c>
      <c r="D1437" s="373">
        <v>2</v>
      </c>
      <c r="E1437" s="377"/>
    </row>
    <row r="1438" spans="1:5" s="29" customFormat="1" x14ac:dyDescent="0.4">
      <c r="A1438" s="132">
        <v>2</v>
      </c>
      <c r="B1438" s="374" t="s">
        <v>1375</v>
      </c>
      <c r="C1438" s="378" t="s">
        <v>557</v>
      </c>
      <c r="D1438" s="373">
        <v>11</v>
      </c>
      <c r="E1438" s="377"/>
    </row>
    <row r="1439" spans="1:5" s="29" customFormat="1" x14ac:dyDescent="0.4">
      <c r="A1439" s="132">
        <v>3</v>
      </c>
      <c r="B1439" s="374" t="s">
        <v>1376</v>
      </c>
      <c r="C1439" s="378" t="s">
        <v>557</v>
      </c>
      <c r="D1439" s="373">
        <v>3</v>
      </c>
      <c r="E1439" s="377"/>
    </row>
    <row r="1440" spans="1:5" s="29" customFormat="1" x14ac:dyDescent="0.4">
      <c r="A1440" s="132">
        <v>4</v>
      </c>
      <c r="B1440" s="374" t="s">
        <v>1377</v>
      </c>
      <c r="C1440" s="378" t="s">
        <v>557</v>
      </c>
      <c r="D1440" s="373">
        <v>14</v>
      </c>
      <c r="E1440" s="377"/>
    </row>
    <row r="1441" spans="1:5" s="29" customFormat="1" x14ac:dyDescent="0.4">
      <c r="A1441" s="132">
        <v>5</v>
      </c>
      <c r="B1441" s="374" t="s">
        <v>1378</v>
      </c>
      <c r="C1441" s="378" t="s">
        <v>557</v>
      </c>
      <c r="D1441" s="373">
        <v>4</v>
      </c>
      <c r="E1441" s="377"/>
    </row>
    <row r="1442" spans="1:5" s="29" customFormat="1" x14ac:dyDescent="0.4">
      <c r="A1442" s="132">
        <v>6</v>
      </c>
      <c r="B1442" s="374" t="s">
        <v>1379</v>
      </c>
      <c r="C1442" s="378" t="s">
        <v>557</v>
      </c>
      <c r="D1442" s="373">
        <v>8</v>
      </c>
      <c r="E1442" s="377"/>
    </row>
    <row r="1443" spans="1:5" s="29" customFormat="1" x14ac:dyDescent="0.4">
      <c r="A1443" s="132">
        <v>7</v>
      </c>
      <c r="B1443" s="374" t="s">
        <v>1380</v>
      </c>
      <c r="C1443" s="378" t="s">
        <v>557</v>
      </c>
      <c r="D1443" s="373">
        <v>7</v>
      </c>
      <c r="E1443" s="377"/>
    </row>
    <row r="1444" spans="1:5" s="29" customFormat="1" x14ac:dyDescent="0.4">
      <c r="A1444" s="132">
        <v>8</v>
      </c>
      <c r="B1444" s="374" t="s">
        <v>1381</v>
      </c>
      <c r="C1444" s="378" t="s">
        <v>557</v>
      </c>
      <c r="D1444" s="373">
        <v>7</v>
      </c>
      <c r="E1444" s="377"/>
    </row>
    <row r="1445" spans="1:5" s="29" customFormat="1" x14ac:dyDescent="0.4">
      <c r="A1445" s="132">
        <v>9</v>
      </c>
      <c r="B1445" s="374" t="s">
        <v>1382</v>
      </c>
      <c r="C1445" s="378" t="s">
        <v>557</v>
      </c>
      <c r="D1445" s="373">
        <v>21</v>
      </c>
      <c r="E1445" s="377"/>
    </row>
    <row r="1446" spans="1:5" s="29" customFormat="1" x14ac:dyDescent="0.4">
      <c r="A1446" s="132">
        <v>10</v>
      </c>
      <c r="B1446" s="374" t="s">
        <v>1383</v>
      </c>
      <c r="C1446" s="378" t="s">
        <v>557</v>
      </c>
      <c r="D1446" s="373">
        <v>1</v>
      </c>
      <c r="E1446" s="377"/>
    </row>
    <row r="1447" spans="1:5" s="29" customFormat="1" x14ac:dyDescent="0.4">
      <c r="A1447" s="132">
        <v>11</v>
      </c>
      <c r="B1447" s="374" t="s">
        <v>1384</v>
      </c>
      <c r="C1447" s="378" t="s">
        <v>557</v>
      </c>
      <c r="D1447" s="373">
        <v>2</v>
      </c>
      <c r="E1447" s="377"/>
    </row>
    <row r="1448" spans="1:5" s="29" customFormat="1" x14ac:dyDescent="0.4">
      <c r="A1448" s="132">
        <v>12</v>
      </c>
      <c r="B1448" s="374" t="s">
        <v>1385</v>
      </c>
      <c r="C1448" s="378" t="s">
        <v>557</v>
      </c>
      <c r="D1448" s="373">
        <v>4</v>
      </c>
      <c r="E1448" s="377"/>
    </row>
    <row r="1449" spans="1:5" s="29" customFormat="1" x14ac:dyDescent="0.4">
      <c r="A1449" s="132">
        <v>13</v>
      </c>
      <c r="B1449" s="374" t="s">
        <v>1386</v>
      </c>
      <c r="C1449" s="378" t="s">
        <v>557</v>
      </c>
      <c r="D1449" s="373">
        <v>3</v>
      </c>
      <c r="E1449" s="377"/>
    </row>
    <row r="1450" spans="1:5" s="29" customFormat="1" x14ac:dyDescent="0.4">
      <c r="A1450" s="132">
        <v>14</v>
      </c>
      <c r="B1450" s="374" t="s">
        <v>1387</v>
      </c>
      <c r="C1450" s="378" t="s">
        <v>557</v>
      </c>
      <c r="D1450" s="373">
        <v>1130</v>
      </c>
      <c r="E1450" s="377"/>
    </row>
    <row r="1451" spans="1:5" s="29" customFormat="1" x14ac:dyDescent="0.4">
      <c r="A1451" s="265"/>
      <c r="B1451" s="369"/>
      <c r="C1451" s="338"/>
      <c r="D1451" s="370"/>
      <c r="E1451" s="377"/>
    </row>
    <row r="1452" spans="1:5" s="29" customFormat="1" x14ac:dyDescent="0.4">
      <c r="A1452" s="265"/>
      <c r="B1452" s="369"/>
      <c r="C1452" s="338"/>
      <c r="D1452" s="370"/>
      <c r="E1452" s="377"/>
    </row>
    <row r="1453" spans="1:5" s="29" customFormat="1" x14ac:dyDescent="0.4">
      <c r="A1453" s="265"/>
      <c r="B1453" s="369"/>
      <c r="C1453" s="338"/>
      <c r="D1453" s="370"/>
      <c r="E1453" s="377"/>
    </row>
    <row r="1492" spans="1:5" s="29" customFormat="1" ht="12.3" x14ac:dyDescent="0.4">
      <c r="A1492" s="266"/>
      <c r="B1492" s="266"/>
      <c r="C1492" s="265"/>
      <c r="D1492" s="265"/>
      <c r="E1492" s="377"/>
    </row>
    <row r="1493" spans="1:5" s="29" customFormat="1" ht="12.3" x14ac:dyDescent="0.4">
      <c r="A1493" s="266"/>
      <c r="B1493" s="266"/>
      <c r="C1493" s="265"/>
      <c r="D1493" s="265"/>
      <c r="E1493" s="377"/>
    </row>
    <row r="1494" spans="1:5" s="29" customFormat="1" ht="12.3" x14ac:dyDescent="0.4">
      <c r="A1494" s="266"/>
      <c r="B1494" s="266"/>
      <c r="C1494" s="265"/>
      <c r="D1494" s="265"/>
      <c r="E1494" s="377"/>
    </row>
    <row r="1495" spans="1:5" s="29" customFormat="1" ht="12.3" x14ac:dyDescent="0.4">
      <c r="A1495" s="266"/>
      <c r="B1495" s="266"/>
      <c r="C1495" s="265"/>
      <c r="D1495" s="265"/>
      <c r="E1495" s="377"/>
    </row>
    <row r="1496" spans="1:5" s="29" customFormat="1" ht="12.3" x14ac:dyDescent="0.4">
      <c r="A1496" s="265"/>
      <c r="B1496" s="266"/>
      <c r="C1496" s="265"/>
      <c r="D1496" s="265"/>
      <c r="E1496" s="377"/>
    </row>
    <row r="1497" spans="1:5" s="29" customFormat="1" x14ac:dyDescent="0.4">
      <c r="A1497" s="265"/>
      <c r="B1497" s="369"/>
      <c r="C1497" s="338"/>
      <c r="D1497" s="370"/>
      <c r="E1497" s="377"/>
    </row>
    <row r="1498" spans="1:5" s="29" customFormat="1" x14ac:dyDescent="0.4">
      <c r="A1498" s="265"/>
      <c r="B1498" s="369"/>
      <c r="C1498" s="338"/>
      <c r="D1498" s="370"/>
    </row>
    <row r="1499" spans="1:5" s="29" customFormat="1" x14ac:dyDescent="0.4">
      <c r="A1499" s="265"/>
      <c r="B1499" s="369"/>
      <c r="C1499" s="338"/>
      <c r="D1499" s="370"/>
    </row>
    <row r="1500" spans="1:5" s="29" customFormat="1" x14ac:dyDescent="0.4">
      <c r="A1500" s="265"/>
      <c r="B1500" s="369"/>
      <c r="C1500" s="338"/>
      <c r="D1500" s="370"/>
    </row>
    <row r="1501" spans="1:5" s="29" customFormat="1" x14ac:dyDescent="0.4">
      <c r="A1501" s="265"/>
      <c r="B1501" s="369"/>
      <c r="C1501" s="338"/>
      <c r="D1501" s="370"/>
    </row>
    <row r="1502" spans="1:5" s="29" customFormat="1" x14ac:dyDescent="0.4">
      <c r="A1502" s="265"/>
      <c r="B1502" s="369"/>
      <c r="C1502" s="338"/>
      <c r="D1502" s="370"/>
    </row>
    <row r="1503" spans="1:5" s="29" customFormat="1" x14ac:dyDescent="0.4">
      <c r="A1503" s="265"/>
      <c r="B1503" s="369"/>
      <c r="C1503" s="338"/>
      <c r="D1503" s="370"/>
    </row>
    <row r="1504" spans="1:5" s="29" customFormat="1" x14ac:dyDescent="0.4">
      <c r="A1504" s="265"/>
      <c r="B1504" s="369"/>
      <c r="C1504" s="338"/>
      <c r="D1504" s="370"/>
    </row>
    <row r="1505" spans="1:4" s="29" customFormat="1" x14ac:dyDescent="0.4">
      <c r="A1505" s="265"/>
      <c r="B1505" s="369"/>
      <c r="C1505" s="338"/>
      <c r="D1505" s="370"/>
    </row>
    <row r="1506" spans="1:4" s="29" customFormat="1" x14ac:dyDescent="0.4">
      <c r="A1506" s="265"/>
      <c r="B1506" s="369"/>
      <c r="C1506" s="338"/>
      <c r="D1506" s="370"/>
    </row>
    <row r="1507" spans="1:4" s="29" customFormat="1" x14ac:dyDescent="0.4">
      <c r="A1507" s="265"/>
      <c r="B1507" s="369"/>
      <c r="C1507" s="338"/>
      <c r="D1507" s="370"/>
    </row>
    <row r="1508" spans="1:4" s="29" customFormat="1" x14ac:dyDescent="0.4">
      <c r="A1508" s="265"/>
      <c r="B1508" s="369"/>
      <c r="C1508" s="338"/>
      <c r="D1508" s="370"/>
    </row>
    <row r="1509" spans="1:4" s="29" customFormat="1" x14ac:dyDescent="0.4">
      <c r="A1509" s="265"/>
      <c r="B1509" s="369"/>
      <c r="C1509" s="338"/>
      <c r="D1509" s="370"/>
    </row>
    <row r="1510" spans="1:4" s="29" customFormat="1" x14ac:dyDescent="0.4">
      <c r="A1510" s="265"/>
      <c r="B1510" s="369"/>
      <c r="C1510" s="338"/>
      <c r="D1510" s="370"/>
    </row>
    <row r="1511" spans="1:4" s="29" customFormat="1" x14ac:dyDescent="0.4">
      <c r="A1511" s="265"/>
      <c r="B1511" s="369"/>
      <c r="C1511" s="338"/>
      <c r="D1511" s="370"/>
    </row>
  </sheetData>
  <mergeCells count="49">
    <mergeCell ref="C945:C946"/>
    <mergeCell ref="D945:D946"/>
    <mergeCell ref="A954:A982"/>
    <mergeCell ref="B954:B957"/>
    <mergeCell ref="A1130:A1135"/>
    <mergeCell ref="C1130:C1135"/>
    <mergeCell ref="D1130:D1135"/>
    <mergeCell ref="A1031:A1036"/>
    <mergeCell ref="C1031:C1036"/>
    <mergeCell ref="D1031:D1036"/>
    <mergeCell ref="D1104:D1109"/>
    <mergeCell ref="A1104:A1109"/>
    <mergeCell ref="C1104:C1109"/>
    <mergeCell ref="A921:A922"/>
    <mergeCell ref="B921:B922"/>
    <mergeCell ref="C921:C922"/>
    <mergeCell ref="D921:D922"/>
    <mergeCell ref="C954:C982"/>
    <mergeCell ref="D954:D982"/>
    <mergeCell ref="C927:C928"/>
    <mergeCell ref="D927:D928"/>
    <mergeCell ref="A945:A946"/>
    <mergeCell ref="B945:B946"/>
    <mergeCell ref="A1156:A1161"/>
    <mergeCell ref="C1156:C1161"/>
    <mergeCell ref="D1156:D1161"/>
    <mergeCell ref="A927:A928"/>
    <mergeCell ref="B927:B928"/>
    <mergeCell ref="A909:A910"/>
    <mergeCell ref="C909:C910"/>
    <mergeCell ref="D909:D910"/>
    <mergeCell ref="A911:A912"/>
    <mergeCell ref="B911:B912"/>
    <mergeCell ref="C911:C912"/>
    <mergeCell ref="D911:D912"/>
    <mergeCell ref="A882:A883"/>
    <mergeCell ref="B882:B883"/>
    <mergeCell ref="C882:C883"/>
    <mergeCell ref="D882:D883"/>
    <mergeCell ref="B894:B895"/>
    <mergeCell ref="A894:A895"/>
    <mergeCell ref="C894:C895"/>
    <mergeCell ref="D894:D895"/>
    <mergeCell ref="A3:D3"/>
    <mergeCell ref="A5:D5"/>
    <mergeCell ref="A12:D12"/>
    <mergeCell ref="A19:D19"/>
    <mergeCell ref="B549:C549"/>
    <mergeCell ref="A865:D865"/>
  </mergeCells>
  <pageMargins left="0.70866141732283472" right="0.19685039370078741" top="0.19685039370078741" bottom="0.19685039370078741" header="0.31496062992125984" footer="0.31496062992125984"/>
  <pageSetup paperSize="9" scale="9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2775-70A5-409F-8A5B-D22639AA17B9}">
  <dimension ref="A1:GW1582"/>
  <sheetViews>
    <sheetView zoomScaleNormal="100" zoomScaleSheetLayoutView="70" workbookViewId="0">
      <selection activeCell="N9" sqref="N9"/>
    </sheetView>
  </sheetViews>
  <sheetFormatPr defaultColWidth="9.109375" defaultRowHeight="13.8" x14ac:dyDescent="0.4"/>
  <cols>
    <col min="1" max="1" width="3.38671875" style="69" customWidth="1"/>
    <col min="2" max="2" width="44.88671875" style="70" customWidth="1"/>
    <col min="3" max="3" width="6.71875" style="91" customWidth="1"/>
    <col min="4" max="4" width="10.27734375" style="71" customWidth="1"/>
    <col min="5" max="5" width="7.71875" style="71" customWidth="1"/>
    <col min="6" max="6" width="9.27734375" style="71" customWidth="1"/>
    <col min="7" max="7" width="8.609375" style="72" customWidth="1"/>
    <col min="8" max="8" width="11.88671875" style="73" customWidth="1"/>
    <col min="9" max="16384" width="9.109375" style="1"/>
  </cols>
  <sheetData>
    <row r="1" spans="1:205" s="15" customFormat="1" ht="14.7" x14ac:dyDescent="0.4">
      <c r="A1" s="41" t="s">
        <v>267</v>
      </c>
      <c r="B1" s="48"/>
      <c r="C1" s="89"/>
      <c r="D1" s="49"/>
      <c r="E1" s="49"/>
      <c r="F1" s="49"/>
      <c r="G1" s="93"/>
      <c r="H1" s="50"/>
    </row>
    <row r="2" spans="1:205" s="15" customFormat="1" ht="14.7" x14ac:dyDescent="0.4">
      <c r="A2" s="51"/>
      <c r="B2" s="48"/>
      <c r="C2" s="89"/>
      <c r="D2" s="49"/>
      <c r="E2" s="49"/>
      <c r="F2" s="49"/>
      <c r="G2" s="93"/>
      <c r="H2" s="50"/>
    </row>
    <row r="3" spans="1:205" s="75" customFormat="1" ht="70.5" customHeight="1" x14ac:dyDescent="0.4">
      <c r="A3" s="452" t="s">
        <v>25</v>
      </c>
      <c r="B3" s="452"/>
      <c r="C3" s="452"/>
      <c r="D3" s="452"/>
      <c r="E3" s="452"/>
      <c r="F3" s="452"/>
      <c r="G3" s="452"/>
      <c r="H3" s="452"/>
    </row>
    <row r="4" spans="1:205" s="78" customFormat="1" ht="12.75" customHeight="1" x14ac:dyDescent="0.4">
      <c r="A4" s="76"/>
      <c r="B4" s="76"/>
      <c r="C4" s="90"/>
      <c r="D4" s="77"/>
      <c r="E4" s="77"/>
      <c r="F4" s="77"/>
      <c r="G4" s="81"/>
      <c r="H4" s="77"/>
      <c r="GV4" s="75"/>
      <c r="GW4" s="75"/>
    </row>
    <row r="5" spans="1:205" s="75" customFormat="1" ht="36.75" customHeight="1" x14ac:dyDescent="0.4">
      <c r="A5" s="453" t="s">
        <v>0</v>
      </c>
      <c r="B5" s="453"/>
      <c r="C5" s="453"/>
      <c r="D5" s="453"/>
      <c r="E5" s="453"/>
      <c r="F5" s="453"/>
      <c r="G5" s="453"/>
      <c r="H5" s="453"/>
    </row>
    <row r="6" spans="1:205" s="75" customFormat="1" ht="21" customHeight="1" x14ac:dyDescent="0.4">
      <c r="A6" s="115"/>
      <c r="B6" s="149"/>
      <c r="C6" s="149"/>
      <c r="D6" s="149"/>
      <c r="E6" s="149"/>
      <c r="F6" s="149"/>
      <c r="G6" s="149"/>
      <c r="H6" s="149"/>
    </row>
    <row r="7" spans="1:205" s="85" customFormat="1" ht="21.75" customHeight="1" x14ac:dyDescent="0.4">
      <c r="A7" s="117" t="s">
        <v>17</v>
      </c>
      <c r="C7" s="81"/>
      <c r="D7" s="82"/>
      <c r="E7" s="82"/>
      <c r="F7" s="82"/>
      <c r="G7" s="83"/>
      <c r="H7" s="84"/>
    </row>
    <row r="8" spans="1:205" s="85" customFormat="1" ht="9.75" customHeight="1" x14ac:dyDescent="0.4">
      <c r="A8" s="79"/>
      <c r="B8" s="80"/>
      <c r="C8" s="81"/>
      <c r="D8" s="82"/>
      <c r="E8" s="82"/>
      <c r="F8" s="82"/>
      <c r="G8" s="83"/>
      <c r="H8" s="84"/>
    </row>
    <row r="9" spans="1:205" s="85" customFormat="1" ht="36.9" x14ac:dyDescent="0.4">
      <c r="A9" s="229" t="s">
        <v>7</v>
      </c>
      <c r="B9" s="86" t="s">
        <v>8</v>
      </c>
      <c r="C9" s="230" t="s">
        <v>9</v>
      </c>
      <c r="D9" s="87" t="s">
        <v>14</v>
      </c>
      <c r="E9" s="87" t="s">
        <v>12</v>
      </c>
      <c r="F9" s="87" t="s">
        <v>13</v>
      </c>
      <c r="G9" s="88" t="s">
        <v>10</v>
      </c>
      <c r="H9" s="231" t="s">
        <v>11</v>
      </c>
    </row>
    <row r="10" spans="1:205" s="75" customFormat="1" ht="25" customHeight="1" x14ac:dyDescent="0.4">
      <c r="A10" s="454" t="s">
        <v>204</v>
      </c>
      <c r="B10" s="454"/>
      <c r="C10" s="454"/>
      <c r="D10" s="454"/>
      <c r="E10" s="454"/>
      <c r="F10" s="454"/>
      <c r="G10" s="454"/>
      <c r="H10" s="454"/>
    </row>
    <row r="11" spans="1:205" s="118" customFormat="1" x14ac:dyDescent="0.4">
      <c r="A11" s="189"/>
      <c r="B11" s="19"/>
      <c r="C11" s="14"/>
      <c r="D11" s="8"/>
      <c r="E11" s="8"/>
      <c r="F11" s="8"/>
      <c r="G11" s="9"/>
      <c r="H11" s="27"/>
    </row>
    <row r="12" spans="1:205" s="118" customFormat="1" ht="41.4" x14ac:dyDescent="0.4">
      <c r="A12" s="18">
        <v>1</v>
      </c>
      <c r="B12" s="19" t="s">
        <v>205</v>
      </c>
      <c r="C12" s="7" t="s">
        <v>2</v>
      </c>
      <c r="D12" s="8"/>
      <c r="E12" s="8"/>
      <c r="F12" s="8"/>
      <c r="G12" s="9"/>
      <c r="H12" s="10">
        <v>962.8</v>
      </c>
    </row>
    <row r="13" spans="1:205" s="118" customFormat="1" x14ac:dyDescent="0.4">
      <c r="A13" s="16"/>
      <c r="B13" s="14"/>
      <c r="C13" s="14"/>
      <c r="D13" s="8"/>
      <c r="E13" s="8"/>
      <c r="F13" s="8"/>
      <c r="G13" s="9"/>
      <c r="H13" s="27"/>
    </row>
    <row r="14" spans="1:205" s="118" customFormat="1" ht="41.4" x14ac:dyDescent="0.4">
      <c r="A14" s="18">
        <v>2</v>
      </c>
      <c r="B14" s="11" t="s">
        <v>206</v>
      </c>
      <c r="C14" s="7" t="s">
        <v>2</v>
      </c>
      <c r="D14" s="8"/>
      <c r="E14" s="8"/>
      <c r="F14" s="8"/>
      <c r="G14" s="9"/>
      <c r="H14" s="10">
        <v>167.45</v>
      </c>
    </row>
    <row r="15" spans="1:205" s="74" customFormat="1" x14ac:dyDescent="0.4">
      <c r="A15" s="18"/>
      <c r="B15" s="14"/>
      <c r="C15" s="7"/>
      <c r="D15" s="17"/>
      <c r="E15" s="8"/>
      <c r="F15" s="8"/>
      <c r="G15" s="9"/>
      <c r="H15" s="27"/>
    </row>
    <row r="16" spans="1:205" s="74" customFormat="1" ht="27.6" x14ac:dyDescent="0.4">
      <c r="A16" s="18">
        <v>3</v>
      </c>
      <c r="B16" s="11" t="s">
        <v>207</v>
      </c>
      <c r="C16" s="7" t="s">
        <v>1</v>
      </c>
      <c r="D16" s="17"/>
      <c r="E16" s="8"/>
      <c r="F16" s="8"/>
      <c r="G16" s="9"/>
      <c r="H16" s="10">
        <v>1158</v>
      </c>
    </row>
    <row r="17" spans="1:8" s="74" customFormat="1" ht="14.25" customHeight="1" x14ac:dyDescent="0.4">
      <c r="A17" s="16"/>
      <c r="B17" s="14"/>
      <c r="C17" s="14"/>
      <c r="D17" s="17"/>
      <c r="E17" s="8"/>
      <c r="F17" s="8"/>
      <c r="G17" s="9"/>
      <c r="H17" s="27"/>
    </row>
    <row r="18" spans="1:8" s="74" customFormat="1" ht="41.4" x14ac:dyDescent="0.4">
      <c r="A18" s="18">
        <v>4</v>
      </c>
      <c r="B18" s="11" t="s">
        <v>208</v>
      </c>
      <c r="C18" s="7" t="s">
        <v>2</v>
      </c>
      <c r="D18" s="17"/>
      <c r="E18" s="8"/>
      <c r="F18" s="8"/>
      <c r="G18" s="9"/>
      <c r="H18" s="10">
        <v>1362</v>
      </c>
    </row>
    <row r="19" spans="1:8" s="78" customFormat="1" x14ac:dyDescent="0.4">
      <c r="A19" s="7"/>
      <c r="B19" s="19"/>
      <c r="C19" s="7"/>
      <c r="D19" s="8"/>
      <c r="E19" s="8"/>
      <c r="F19" s="8"/>
      <c r="G19" s="9"/>
      <c r="H19" s="10"/>
    </row>
    <row r="20" spans="1:8" s="75" customFormat="1" ht="25" customHeight="1" x14ac:dyDescent="0.4">
      <c r="A20" s="454" t="s">
        <v>3</v>
      </c>
      <c r="B20" s="454"/>
      <c r="C20" s="454"/>
      <c r="D20" s="454"/>
      <c r="E20" s="454"/>
      <c r="F20" s="454"/>
      <c r="G20" s="454"/>
      <c r="H20" s="454"/>
    </row>
    <row r="21" spans="1:8" s="78" customFormat="1" ht="25" customHeight="1" x14ac:dyDescent="0.4">
      <c r="A21" s="97"/>
      <c r="B21" s="144" t="s">
        <v>299</v>
      </c>
      <c r="C21" s="97"/>
      <c r="D21" s="97"/>
      <c r="E21" s="97"/>
      <c r="F21" s="97"/>
      <c r="G21" s="97"/>
      <c r="H21" s="97"/>
    </row>
    <row r="22" spans="1:8" s="78" customFormat="1" ht="25" customHeight="1" x14ac:dyDescent="0.4">
      <c r="A22" s="111"/>
      <c r="B22" s="145" t="s">
        <v>300</v>
      </c>
      <c r="C22" s="111"/>
      <c r="D22" s="140"/>
      <c r="E22" s="140"/>
      <c r="F22" s="140"/>
      <c r="G22" s="140"/>
      <c r="H22" s="140"/>
    </row>
    <row r="23" spans="1:8" s="78" customFormat="1" x14ac:dyDescent="0.4">
      <c r="A23" s="505">
        <v>1</v>
      </c>
      <c r="B23" s="142" t="s">
        <v>301</v>
      </c>
      <c r="C23" s="506" t="s">
        <v>2</v>
      </c>
      <c r="D23" s="190">
        <v>29.55</v>
      </c>
      <c r="E23" s="190">
        <v>8.99</v>
      </c>
      <c r="F23" s="190">
        <v>0.15</v>
      </c>
      <c r="G23" s="140">
        <v>1</v>
      </c>
      <c r="H23" s="141">
        <f>D23*E23*F23*G23</f>
        <v>39.848174999999998</v>
      </c>
    </row>
    <row r="24" spans="1:8" s="78" customFormat="1" x14ac:dyDescent="0.4">
      <c r="A24" s="505"/>
      <c r="B24" s="142"/>
      <c r="C24" s="506"/>
      <c r="D24" s="190">
        <v>9.9700000000000006</v>
      </c>
      <c r="E24" s="176">
        <v>10.1</v>
      </c>
      <c r="F24" s="190">
        <v>0.15</v>
      </c>
      <c r="G24" s="140">
        <v>1</v>
      </c>
      <c r="H24" s="141">
        <f>D24*E24*F24*G24</f>
        <v>15.10455</v>
      </c>
    </row>
    <row r="25" spans="1:8" s="78" customFormat="1" x14ac:dyDescent="0.4">
      <c r="A25" s="505"/>
      <c r="B25" s="142"/>
      <c r="C25" s="506"/>
      <c r="D25" s="190">
        <v>29.72</v>
      </c>
      <c r="E25" s="190">
        <v>9.2799999999999994</v>
      </c>
      <c r="F25" s="190">
        <v>0.15</v>
      </c>
      <c r="G25" s="140">
        <v>1</v>
      </c>
      <c r="H25" s="141">
        <f>D25*E25*F25*G25</f>
        <v>41.370239999999988</v>
      </c>
    </row>
    <row r="26" spans="1:8" s="78" customFormat="1" x14ac:dyDescent="0.4">
      <c r="A26" s="505"/>
      <c r="B26" s="142"/>
      <c r="C26" s="506"/>
      <c r="D26" s="190"/>
      <c r="E26" s="190"/>
      <c r="F26" s="190"/>
      <c r="G26" s="111" t="s">
        <v>15</v>
      </c>
      <c r="H26" s="143">
        <f>SUM(H23:H25)</f>
        <v>96.322964999999982</v>
      </c>
    </row>
    <row r="27" spans="1:8" s="78" customFormat="1" x14ac:dyDescent="0.4">
      <c r="A27" s="146"/>
      <c r="B27" s="142"/>
      <c r="C27" s="111"/>
      <c r="D27" s="190"/>
      <c r="E27" s="190"/>
      <c r="F27" s="190"/>
      <c r="G27" s="111"/>
      <c r="H27" s="143"/>
    </row>
    <row r="28" spans="1:8" s="78" customFormat="1" x14ac:dyDescent="0.4">
      <c r="A28" s="505">
        <v>2</v>
      </c>
      <c r="B28" s="142" t="s">
        <v>302</v>
      </c>
      <c r="C28" s="506" t="s">
        <v>1</v>
      </c>
      <c r="D28" s="190">
        <v>29.55</v>
      </c>
      <c r="E28" s="190">
        <v>8.99</v>
      </c>
      <c r="F28" s="190"/>
      <c r="G28" s="140">
        <v>1</v>
      </c>
      <c r="H28" s="141">
        <f>D28*E28*G28</f>
        <v>265.65449999999998</v>
      </c>
    </row>
    <row r="29" spans="1:8" s="78" customFormat="1" x14ac:dyDescent="0.4">
      <c r="A29" s="505"/>
      <c r="B29" s="111"/>
      <c r="C29" s="506"/>
      <c r="D29" s="190">
        <v>9.9700000000000006</v>
      </c>
      <c r="E29" s="176">
        <v>10.1</v>
      </c>
      <c r="F29" s="190"/>
      <c r="G29" s="140">
        <v>1</v>
      </c>
      <c r="H29" s="141">
        <f>D29*E29*G29</f>
        <v>100.697</v>
      </c>
    </row>
    <row r="30" spans="1:8" s="78" customFormat="1" x14ac:dyDescent="0.4">
      <c r="A30" s="505"/>
      <c r="B30" s="111"/>
      <c r="C30" s="506"/>
      <c r="D30" s="190">
        <v>29.72</v>
      </c>
      <c r="E30" s="190">
        <v>9.2799999999999994</v>
      </c>
      <c r="F30" s="190"/>
      <c r="G30" s="140">
        <v>1</v>
      </c>
      <c r="H30" s="141">
        <f>D30*E30*G30</f>
        <v>275.80159999999995</v>
      </c>
    </row>
    <row r="31" spans="1:8" s="78" customFormat="1" x14ac:dyDescent="0.4">
      <c r="A31" s="505"/>
      <c r="B31" s="111"/>
      <c r="C31" s="506"/>
      <c r="D31" s="190"/>
      <c r="E31" s="190"/>
      <c r="F31" s="190"/>
      <c r="G31" s="111" t="s">
        <v>15</v>
      </c>
      <c r="H31" s="143">
        <f>SUM(H28:H30)</f>
        <v>642.15309999999999</v>
      </c>
    </row>
    <row r="32" spans="1:8" s="78" customFormat="1" x14ac:dyDescent="0.4">
      <c r="A32" s="146"/>
      <c r="B32" s="111"/>
      <c r="C32" s="111"/>
      <c r="D32" s="140"/>
      <c r="E32" s="140"/>
      <c r="F32" s="140"/>
      <c r="G32" s="140"/>
      <c r="H32" s="140"/>
    </row>
    <row r="33" spans="1:8" s="78" customFormat="1" x14ac:dyDescent="0.4">
      <c r="A33" s="146">
        <v>3</v>
      </c>
      <c r="B33" s="142" t="s">
        <v>193</v>
      </c>
      <c r="C33" s="140" t="s">
        <v>1</v>
      </c>
      <c r="D33" s="140"/>
      <c r="E33" s="140"/>
      <c r="F33" s="140"/>
      <c r="G33" s="140"/>
      <c r="H33" s="143">
        <f>H31</f>
        <v>642.15309999999999</v>
      </c>
    </row>
    <row r="34" spans="1:8" s="78" customFormat="1" x14ac:dyDescent="0.4">
      <c r="A34" s="146"/>
      <c r="B34" s="111"/>
      <c r="C34" s="111"/>
      <c r="D34" s="140"/>
      <c r="E34" s="140"/>
      <c r="F34" s="140"/>
      <c r="G34" s="140"/>
      <c r="H34" s="140"/>
    </row>
    <row r="35" spans="1:8" s="20" customFormat="1" ht="27.6" x14ac:dyDescent="0.4">
      <c r="A35" s="497">
        <v>4</v>
      </c>
      <c r="B35" s="47" t="s">
        <v>30</v>
      </c>
      <c r="C35" s="493" t="s">
        <v>2</v>
      </c>
      <c r="D35" s="17">
        <v>8.99</v>
      </c>
      <c r="E35" s="17">
        <v>0.25</v>
      </c>
      <c r="F35" s="17">
        <v>3.25</v>
      </c>
      <c r="G35" s="6">
        <v>1</v>
      </c>
      <c r="H35" s="24">
        <f>D35*E35*F35*G35</f>
        <v>7.3043750000000003</v>
      </c>
    </row>
    <row r="36" spans="1:8" s="20" customFormat="1" x14ac:dyDescent="0.4">
      <c r="A36" s="497"/>
      <c r="B36" s="61"/>
      <c r="C36" s="493"/>
      <c r="D36" s="17">
        <v>29.2</v>
      </c>
      <c r="E36" s="17">
        <v>0.25</v>
      </c>
      <c r="F36" s="17">
        <v>3.25</v>
      </c>
      <c r="G36" s="6">
        <v>1</v>
      </c>
      <c r="H36" s="24">
        <f t="shared" ref="H36:H54" si="0">D36*E36*F36*G36</f>
        <v>23.724999999999998</v>
      </c>
    </row>
    <row r="37" spans="1:8" s="20" customFormat="1" x14ac:dyDescent="0.4">
      <c r="A37" s="497"/>
      <c r="B37" s="61"/>
      <c r="C37" s="493"/>
      <c r="D37" s="17">
        <v>1.8</v>
      </c>
      <c r="E37" s="17">
        <v>0.25</v>
      </c>
      <c r="F37" s="17">
        <v>3.25</v>
      </c>
      <c r="G37" s="6">
        <v>1</v>
      </c>
      <c r="H37" s="24">
        <f t="shared" si="0"/>
        <v>1.4625000000000001</v>
      </c>
    </row>
    <row r="38" spans="1:8" s="20" customFormat="1" x14ac:dyDescent="0.4">
      <c r="A38" s="497"/>
      <c r="B38" s="61"/>
      <c r="C38" s="493"/>
      <c r="D38" s="17">
        <v>1.43</v>
      </c>
      <c r="E38" s="17">
        <v>0.25</v>
      </c>
      <c r="F38" s="17">
        <v>3.25</v>
      </c>
      <c r="G38" s="6">
        <v>1</v>
      </c>
      <c r="H38" s="24">
        <f t="shared" si="0"/>
        <v>1.161875</v>
      </c>
    </row>
    <row r="39" spans="1:8" s="20" customFormat="1" x14ac:dyDescent="0.4">
      <c r="A39" s="497"/>
      <c r="B39" s="61"/>
      <c r="C39" s="493"/>
      <c r="D39" s="17">
        <v>9.6</v>
      </c>
      <c r="E39" s="17">
        <v>0.25</v>
      </c>
      <c r="F39" s="17">
        <v>3.25</v>
      </c>
      <c r="G39" s="6">
        <v>1</v>
      </c>
      <c r="H39" s="24">
        <f t="shared" si="0"/>
        <v>7.8</v>
      </c>
    </row>
    <row r="40" spans="1:8" s="20" customFormat="1" x14ac:dyDescent="0.4">
      <c r="A40" s="497"/>
      <c r="B40" s="61"/>
      <c r="C40" s="493"/>
      <c r="D40" s="17">
        <v>7.45</v>
      </c>
      <c r="E40" s="17">
        <v>0.25</v>
      </c>
      <c r="F40" s="17">
        <v>3.25</v>
      </c>
      <c r="G40" s="6">
        <v>1</v>
      </c>
      <c r="H40" s="24">
        <f t="shared" si="0"/>
        <v>6.0531250000000005</v>
      </c>
    </row>
    <row r="41" spans="1:8" s="20" customFormat="1" x14ac:dyDescent="0.4">
      <c r="A41" s="497"/>
      <c r="B41" s="61"/>
      <c r="C41" s="493"/>
      <c r="D41" s="17">
        <v>27.24</v>
      </c>
      <c r="E41" s="17">
        <v>0.25</v>
      </c>
      <c r="F41" s="17">
        <v>3.25</v>
      </c>
      <c r="G41" s="6">
        <v>1</v>
      </c>
      <c r="H41" s="24">
        <f t="shared" si="0"/>
        <v>22.1325</v>
      </c>
    </row>
    <row r="42" spans="1:8" s="20" customFormat="1" x14ac:dyDescent="0.4">
      <c r="A42" s="497"/>
      <c r="B42" s="61"/>
      <c r="C42" s="493"/>
      <c r="D42" s="8">
        <v>8.7799999999999994</v>
      </c>
      <c r="E42" s="8">
        <v>0.25</v>
      </c>
      <c r="F42" s="8">
        <v>3.25</v>
      </c>
      <c r="G42" s="9">
        <v>1</v>
      </c>
      <c r="H42" s="24">
        <f t="shared" si="0"/>
        <v>7.1337499999999991</v>
      </c>
    </row>
    <row r="43" spans="1:8" s="20" customFormat="1" x14ac:dyDescent="0.4">
      <c r="A43" s="497"/>
      <c r="B43" s="61"/>
      <c r="C43" s="493"/>
      <c r="D43" s="17">
        <v>29.72</v>
      </c>
      <c r="E43" s="17">
        <v>0.25</v>
      </c>
      <c r="F43" s="17">
        <v>3.25</v>
      </c>
      <c r="G43" s="6">
        <v>1</v>
      </c>
      <c r="H43" s="24">
        <f t="shared" si="0"/>
        <v>24.147500000000001</v>
      </c>
    </row>
    <row r="44" spans="1:8" s="20" customFormat="1" x14ac:dyDescent="0.4">
      <c r="A44" s="497"/>
      <c r="B44" s="61"/>
      <c r="C44" s="493"/>
      <c r="D44" s="17">
        <v>0.82</v>
      </c>
      <c r="E44" s="17">
        <v>0.25</v>
      </c>
      <c r="F44" s="17">
        <v>3.25</v>
      </c>
      <c r="G44" s="6">
        <v>1</v>
      </c>
      <c r="H44" s="24">
        <f t="shared" si="0"/>
        <v>0.66625000000000001</v>
      </c>
    </row>
    <row r="45" spans="1:8" s="20" customFormat="1" x14ac:dyDescent="0.4">
      <c r="A45" s="497"/>
      <c r="B45" s="61"/>
      <c r="C45" s="493"/>
      <c r="D45" s="17">
        <v>9.9700000000000006</v>
      </c>
      <c r="E45" s="17">
        <v>0.25</v>
      </c>
      <c r="F45" s="17">
        <v>3.25</v>
      </c>
      <c r="G45" s="6">
        <v>1</v>
      </c>
      <c r="H45" s="24">
        <f t="shared" si="0"/>
        <v>8.1006250000000009</v>
      </c>
    </row>
    <row r="46" spans="1:8" s="20" customFormat="1" x14ac:dyDescent="0.4">
      <c r="A46" s="497"/>
      <c r="B46" s="61"/>
      <c r="C46" s="493"/>
      <c r="D46" s="17">
        <v>29.55</v>
      </c>
      <c r="E46" s="17">
        <v>0.25</v>
      </c>
      <c r="F46" s="17">
        <v>3.25</v>
      </c>
      <c r="G46" s="6">
        <v>1</v>
      </c>
      <c r="H46" s="24">
        <f t="shared" si="0"/>
        <v>24.009375000000002</v>
      </c>
    </row>
    <row r="47" spans="1:8" s="20" customFormat="1" x14ac:dyDescent="0.4">
      <c r="A47" s="497"/>
      <c r="B47" s="61"/>
      <c r="C47" s="493"/>
      <c r="D47" s="17">
        <v>3.2</v>
      </c>
      <c r="E47" s="17">
        <v>0.25</v>
      </c>
      <c r="F47" s="17">
        <v>1.7</v>
      </c>
      <c r="G47" s="6">
        <v>1</v>
      </c>
      <c r="H47" s="24">
        <f t="shared" si="0"/>
        <v>1.36</v>
      </c>
    </row>
    <row r="48" spans="1:8" s="20" customFormat="1" x14ac:dyDescent="0.4">
      <c r="A48" s="497"/>
      <c r="B48" s="61"/>
      <c r="C48" s="493"/>
      <c r="D48" s="17">
        <v>4.68</v>
      </c>
      <c r="E48" s="17">
        <v>0.25</v>
      </c>
      <c r="F48" s="17">
        <v>3.25</v>
      </c>
      <c r="G48" s="6">
        <v>1</v>
      </c>
      <c r="H48" s="24">
        <f t="shared" si="0"/>
        <v>3.8024999999999998</v>
      </c>
    </row>
    <row r="49" spans="1:8" s="20" customFormat="1" x14ac:dyDescent="0.4">
      <c r="A49" s="497"/>
      <c r="B49" s="61"/>
      <c r="C49" s="493"/>
      <c r="D49" s="17">
        <v>0.65</v>
      </c>
      <c r="E49" s="17">
        <v>0.25</v>
      </c>
      <c r="F49" s="17">
        <v>3.25</v>
      </c>
      <c r="G49" s="6">
        <v>1</v>
      </c>
      <c r="H49" s="24">
        <f t="shared" si="0"/>
        <v>0.52812500000000007</v>
      </c>
    </row>
    <row r="50" spans="1:8" s="20" customFormat="1" x14ac:dyDescent="0.4">
      <c r="A50" s="497"/>
      <c r="B50" s="61"/>
      <c r="C50" s="493"/>
      <c r="D50" s="17">
        <v>3.31</v>
      </c>
      <c r="E50" s="17">
        <v>0.25</v>
      </c>
      <c r="F50" s="17">
        <v>3.25</v>
      </c>
      <c r="G50" s="6">
        <v>1</v>
      </c>
      <c r="H50" s="24">
        <f t="shared" si="0"/>
        <v>2.6893750000000001</v>
      </c>
    </row>
    <row r="51" spans="1:8" s="20" customFormat="1" x14ac:dyDescent="0.4">
      <c r="A51" s="497"/>
      <c r="B51" s="61"/>
      <c r="C51" s="493"/>
      <c r="D51" s="17">
        <v>3.33</v>
      </c>
      <c r="E51" s="17">
        <v>0.25</v>
      </c>
      <c r="F51" s="17">
        <v>3.25</v>
      </c>
      <c r="G51" s="6">
        <v>1</v>
      </c>
      <c r="H51" s="24">
        <f t="shared" si="0"/>
        <v>2.7056249999999999</v>
      </c>
    </row>
    <row r="52" spans="1:8" s="20" customFormat="1" x14ac:dyDescent="0.4">
      <c r="A52" s="497"/>
      <c r="B52" s="61"/>
      <c r="C52" s="493"/>
      <c r="D52" s="17">
        <v>3</v>
      </c>
      <c r="E52" s="17">
        <v>0.25</v>
      </c>
      <c r="F52" s="17">
        <v>3.25</v>
      </c>
      <c r="G52" s="6">
        <v>1</v>
      </c>
      <c r="H52" s="24">
        <f t="shared" si="0"/>
        <v>2.4375</v>
      </c>
    </row>
    <row r="53" spans="1:8" s="20" customFormat="1" x14ac:dyDescent="0.4">
      <c r="A53" s="497"/>
      <c r="B53" s="61"/>
      <c r="C53" s="493"/>
      <c r="D53" s="17">
        <v>2</v>
      </c>
      <c r="E53" s="17">
        <v>0.25</v>
      </c>
      <c r="F53" s="17">
        <v>3.25</v>
      </c>
      <c r="G53" s="6">
        <v>1</v>
      </c>
      <c r="H53" s="24">
        <f t="shared" si="0"/>
        <v>1.625</v>
      </c>
    </row>
    <row r="54" spans="1:8" s="20" customFormat="1" x14ac:dyDescent="0.4">
      <c r="A54" s="497"/>
      <c r="B54" s="61"/>
      <c r="C54" s="493"/>
      <c r="D54" s="17">
        <v>1.75</v>
      </c>
      <c r="E54" s="17">
        <v>0.25</v>
      </c>
      <c r="F54" s="17">
        <v>3.25</v>
      </c>
      <c r="G54" s="6">
        <v>1</v>
      </c>
      <c r="H54" s="24">
        <f t="shared" si="0"/>
        <v>1.421875</v>
      </c>
    </row>
    <row r="55" spans="1:8" s="20" customFormat="1" x14ac:dyDescent="0.4">
      <c r="A55" s="497"/>
      <c r="B55" s="92" t="s">
        <v>16</v>
      </c>
      <c r="C55" s="493"/>
      <c r="D55" s="8"/>
      <c r="E55" s="17"/>
      <c r="F55" s="7"/>
      <c r="G55" s="7"/>
      <c r="H55" s="24"/>
    </row>
    <row r="56" spans="1:8" s="20" customFormat="1" x14ac:dyDescent="0.4">
      <c r="A56" s="497"/>
      <c r="B56" s="92" t="s">
        <v>26</v>
      </c>
      <c r="C56" s="493"/>
      <c r="D56" s="8">
        <v>0.9</v>
      </c>
      <c r="E56" s="17">
        <v>0.25</v>
      </c>
      <c r="F56" s="8">
        <v>3</v>
      </c>
      <c r="G56" s="7">
        <v>3</v>
      </c>
      <c r="H56" s="24">
        <f>-D56*E56*F56*G56</f>
        <v>-2.0250000000000004</v>
      </c>
    </row>
    <row r="57" spans="1:8" s="20" customFormat="1" x14ac:dyDescent="0.4">
      <c r="A57" s="497"/>
      <c r="B57" s="92"/>
      <c r="C57" s="493"/>
      <c r="D57" s="17">
        <v>3.6</v>
      </c>
      <c r="E57" s="17">
        <v>0.25</v>
      </c>
      <c r="F57" s="17">
        <v>0.65</v>
      </c>
      <c r="G57" s="6">
        <v>3</v>
      </c>
      <c r="H57" s="24">
        <f t="shared" ref="H57:H63" si="1">-D57*E57*F57*G57</f>
        <v>-1.7550000000000003</v>
      </c>
    </row>
    <row r="58" spans="1:8" s="20" customFormat="1" x14ac:dyDescent="0.4">
      <c r="A58" s="497"/>
      <c r="B58" s="92"/>
      <c r="C58" s="493"/>
      <c r="D58" s="17">
        <v>3.6</v>
      </c>
      <c r="E58" s="17">
        <v>0.25</v>
      </c>
      <c r="F58" s="17">
        <v>2.85</v>
      </c>
      <c r="G58" s="6">
        <v>6</v>
      </c>
      <c r="H58" s="24">
        <f t="shared" si="1"/>
        <v>-15.39</v>
      </c>
    </row>
    <row r="59" spans="1:8" s="20" customFormat="1" x14ac:dyDescent="0.4">
      <c r="A59" s="497"/>
      <c r="B59" s="92"/>
      <c r="C59" s="493"/>
      <c r="D59" s="17">
        <v>0.9</v>
      </c>
      <c r="E59" s="17">
        <v>0.25</v>
      </c>
      <c r="F59" s="17">
        <v>2.85</v>
      </c>
      <c r="G59" s="6">
        <v>1</v>
      </c>
      <c r="H59" s="24">
        <f t="shared" si="1"/>
        <v>-0.64124999999999999</v>
      </c>
    </row>
    <row r="60" spans="1:8" s="20" customFormat="1" x14ac:dyDescent="0.4">
      <c r="A60" s="497"/>
      <c r="B60" s="5"/>
      <c r="C60" s="493"/>
      <c r="D60" s="17">
        <v>4</v>
      </c>
      <c r="E60" s="17">
        <v>0.25</v>
      </c>
      <c r="F60" s="17">
        <v>2.85</v>
      </c>
      <c r="G60" s="6">
        <v>1</v>
      </c>
      <c r="H60" s="24">
        <f t="shared" si="1"/>
        <v>-2.85</v>
      </c>
    </row>
    <row r="61" spans="1:8" s="20" customFormat="1" x14ac:dyDescent="0.4">
      <c r="A61" s="497"/>
      <c r="B61" s="5"/>
      <c r="C61" s="493"/>
      <c r="D61" s="17">
        <v>2.2000000000000002</v>
      </c>
      <c r="E61" s="17">
        <v>0.25</v>
      </c>
      <c r="F61" s="17">
        <v>2.2000000000000002</v>
      </c>
      <c r="G61" s="6">
        <v>1</v>
      </c>
      <c r="H61" s="24">
        <f t="shared" si="1"/>
        <v>-1.2100000000000002</v>
      </c>
    </row>
    <row r="62" spans="1:8" s="20" customFormat="1" x14ac:dyDescent="0.4">
      <c r="A62" s="497"/>
      <c r="B62" s="5" t="s">
        <v>27</v>
      </c>
      <c r="C62" s="493"/>
      <c r="D62" s="17">
        <v>1.8</v>
      </c>
      <c r="E62" s="17">
        <v>0.25</v>
      </c>
      <c r="F62" s="17">
        <v>2.1</v>
      </c>
      <c r="G62" s="6">
        <v>2</v>
      </c>
      <c r="H62" s="24">
        <f t="shared" si="1"/>
        <v>-1.8900000000000001</v>
      </c>
    </row>
    <row r="63" spans="1:8" s="20" customFormat="1" x14ac:dyDescent="0.4">
      <c r="A63" s="497"/>
      <c r="B63" s="5"/>
      <c r="C63" s="493"/>
      <c r="D63" s="17">
        <v>1.6</v>
      </c>
      <c r="E63" s="17">
        <v>0.25</v>
      </c>
      <c r="F63" s="17">
        <v>2.1</v>
      </c>
      <c r="G63" s="6">
        <v>1</v>
      </c>
      <c r="H63" s="24">
        <f t="shared" si="1"/>
        <v>-0.84000000000000008</v>
      </c>
    </row>
    <row r="64" spans="1:8" s="20" customFormat="1" x14ac:dyDescent="0.4">
      <c r="A64" s="497"/>
      <c r="B64" s="28"/>
      <c r="C64" s="493"/>
      <c r="D64" s="43"/>
      <c r="E64" s="22"/>
      <c r="F64" s="43"/>
      <c r="G64" s="22" t="s">
        <v>15</v>
      </c>
      <c r="H64" s="23">
        <f>SUM(H35:H63)</f>
        <v>123.66562500000001</v>
      </c>
    </row>
    <row r="65" spans="1:8" s="20" customFormat="1" ht="14.25" customHeight="1" x14ac:dyDescent="0.4">
      <c r="A65" s="63"/>
      <c r="B65" s="28"/>
      <c r="C65" s="63"/>
      <c r="D65" s="66"/>
      <c r="E65" s="64"/>
      <c r="F65" s="66"/>
      <c r="G65" s="64"/>
      <c r="H65" s="66"/>
    </row>
    <row r="66" spans="1:8" s="20" customFormat="1" ht="27.6" x14ac:dyDescent="0.4">
      <c r="A66" s="497">
        <v>5</v>
      </c>
      <c r="B66" s="47" t="s">
        <v>31</v>
      </c>
      <c r="C66" s="503" t="s">
        <v>1</v>
      </c>
      <c r="D66" s="16"/>
      <c r="E66" s="16"/>
      <c r="F66" s="16"/>
      <c r="G66" s="16"/>
      <c r="H66" s="16"/>
    </row>
    <row r="67" spans="1:8" s="20" customFormat="1" ht="15.75" customHeight="1" x14ac:dyDescent="0.4">
      <c r="A67" s="497"/>
      <c r="B67" s="92" t="s">
        <v>236</v>
      </c>
      <c r="C67" s="503"/>
      <c r="D67" s="6">
        <v>1.77</v>
      </c>
      <c r="E67" s="6"/>
      <c r="F67" s="6">
        <v>3.25</v>
      </c>
      <c r="G67" s="6">
        <v>5</v>
      </c>
      <c r="H67" s="13">
        <f>D67*F67*G67</f>
        <v>28.762500000000003</v>
      </c>
    </row>
    <row r="68" spans="1:8" s="20" customFormat="1" ht="14.25" customHeight="1" x14ac:dyDescent="0.4">
      <c r="A68" s="497"/>
      <c r="B68" s="5"/>
      <c r="C68" s="503"/>
      <c r="D68" s="17">
        <v>13.02</v>
      </c>
      <c r="E68" s="17"/>
      <c r="F68" s="6">
        <v>3.25</v>
      </c>
      <c r="G68" s="6">
        <v>1</v>
      </c>
      <c r="H68" s="13">
        <f>D68*F68*G68</f>
        <v>42.314999999999998</v>
      </c>
    </row>
    <row r="69" spans="1:8" s="20" customFormat="1" ht="14.25" customHeight="1" x14ac:dyDescent="0.4">
      <c r="A69" s="497"/>
      <c r="B69" s="5" t="s">
        <v>16</v>
      </c>
      <c r="C69" s="503"/>
      <c r="D69" s="17">
        <v>0.8</v>
      </c>
      <c r="E69" s="17"/>
      <c r="F69" s="17">
        <v>2</v>
      </c>
      <c r="G69" s="6">
        <v>3</v>
      </c>
      <c r="H69" s="13">
        <f>-D69*F69*G69</f>
        <v>-4.8000000000000007</v>
      </c>
    </row>
    <row r="70" spans="1:8" s="20" customFormat="1" ht="14.25" customHeight="1" x14ac:dyDescent="0.4">
      <c r="A70" s="497"/>
      <c r="B70" s="5"/>
      <c r="C70" s="503"/>
      <c r="D70" s="17">
        <v>0.9</v>
      </c>
      <c r="E70" s="17"/>
      <c r="F70" s="17">
        <v>2</v>
      </c>
      <c r="G70" s="6">
        <v>1</v>
      </c>
      <c r="H70" s="13">
        <f>-D70*F70*G70</f>
        <v>-1.8</v>
      </c>
    </row>
    <row r="71" spans="1:8" s="20" customFormat="1" ht="14.25" customHeight="1" x14ac:dyDescent="0.4">
      <c r="A71" s="497"/>
      <c r="B71" s="5"/>
      <c r="C71" s="503"/>
      <c r="D71" s="17">
        <v>0.75</v>
      </c>
      <c r="E71" s="17"/>
      <c r="F71" s="17">
        <v>1.5</v>
      </c>
      <c r="G71" s="6">
        <v>3</v>
      </c>
      <c r="H71" s="13">
        <f>-D71*F71*G71</f>
        <v>-3.375</v>
      </c>
    </row>
    <row r="72" spans="1:8" s="20" customFormat="1" ht="14.25" customHeight="1" x14ac:dyDescent="0.4">
      <c r="A72" s="497"/>
      <c r="B72" s="5" t="s">
        <v>237</v>
      </c>
      <c r="C72" s="503"/>
      <c r="D72" s="17">
        <v>1.89</v>
      </c>
      <c r="E72" s="17"/>
      <c r="F72" s="6">
        <v>3.25</v>
      </c>
      <c r="G72" s="6">
        <v>2</v>
      </c>
      <c r="H72" s="13">
        <f t="shared" ref="H72:H112" si="2">D72*F72*G72</f>
        <v>12.285</v>
      </c>
    </row>
    <row r="73" spans="1:8" s="20" customFormat="1" x14ac:dyDescent="0.4">
      <c r="A73" s="497"/>
      <c r="B73" s="5"/>
      <c r="C73" s="503"/>
      <c r="D73" s="17">
        <v>3.83</v>
      </c>
      <c r="E73" s="17"/>
      <c r="F73" s="6">
        <v>3.25</v>
      </c>
      <c r="G73" s="6">
        <v>1</v>
      </c>
      <c r="H73" s="13">
        <f t="shared" si="2"/>
        <v>12.4475</v>
      </c>
    </row>
    <row r="74" spans="1:8" s="20" customFormat="1" x14ac:dyDescent="0.4">
      <c r="A74" s="497"/>
      <c r="B74" s="5" t="s">
        <v>16</v>
      </c>
      <c r="C74" s="503"/>
      <c r="D74" s="17">
        <v>0.8</v>
      </c>
      <c r="E74" s="17"/>
      <c r="F74" s="17">
        <v>2</v>
      </c>
      <c r="G74" s="6">
        <v>2</v>
      </c>
      <c r="H74" s="13">
        <f>-D74*F74*G74</f>
        <v>-3.2</v>
      </c>
    </row>
    <row r="75" spans="1:8" s="20" customFormat="1" x14ac:dyDescent="0.4">
      <c r="A75" s="497"/>
      <c r="B75" s="5" t="s">
        <v>34</v>
      </c>
      <c r="C75" s="503"/>
      <c r="D75" s="17">
        <v>3.75</v>
      </c>
      <c r="E75" s="17"/>
      <c r="F75" s="6">
        <v>3.25</v>
      </c>
      <c r="G75" s="6">
        <v>1</v>
      </c>
      <c r="H75" s="13">
        <f t="shared" si="2"/>
        <v>12.1875</v>
      </c>
    </row>
    <row r="76" spans="1:8" s="20" customFormat="1" x14ac:dyDescent="0.4">
      <c r="A76" s="497"/>
      <c r="B76" s="5"/>
      <c r="C76" s="503"/>
      <c r="D76" s="17">
        <v>3.6</v>
      </c>
      <c r="E76" s="17"/>
      <c r="F76" s="6">
        <v>3.25</v>
      </c>
      <c r="G76" s="6">
        <v>1</v>
      </c>
      <c r="H76" s="13">
        <f t="shared" si="2"/>
        <v>11.700000000000001</v>
      </c>
    </row>
    <row r="77" spans="1:8" s="20" customFormat="1" x14ac:dyDescent="0.4">
      <c r="A77" s="497"/>
      <c r="B77" s="5"/>
      <c r="C77" s="503"/>
      <c r="D77" s="17">
        <v>3.47</v>
      </c>
      <c r="E77" s="17"/>
      <c r="F77" s="6">
        <v>3.25</v>
      </c>
      <c r="G77" s="6">
        <v>1</v>
      </c>
      <c r="H77" s="13">
        <f t="shared" si="2"/>
        <v>11.2775</v>
      </c>
    </row>
    <row r="78" spans="1:8" s="20" customFormat="1" x14ac:dyDescent="0.4">
      <c r="A78" s="497"/>
      <c r="B78" s="5" t="s">
        <v>241</v>
      </c>
      <c r="C78" s="503"/>
      <c r="D78" s="17">
        <v>3.01</v>
      </c>
      <c r="E78" s="17"/>
      <c r="F78" s="6">
        <v>3.25</v>
      </c>
      <c r="G78" s="6">
        <v>1</v>
      </c>
      <c r="H78" s="13">
        <f t="shared" si="2"/>
        <v>9.7824999999999989</v>
      </c>
    </row>
    <row r="79" spans="1:8" s="20" customFormat="1" x14ac:dyDescent="0.4">
      <c r="A79" s="497"/>
      <c r="B79" s="5" t="s">
        <v>16</v>
      </c>
      <c r="C79" s="503"/>
      <c r="D79" s="17">
        <v>0.8</v>
      </c>
      <c r="E79" s="17"/>
      <c r="F79" s="17">
        <v>2</v>
      </c>
      <c r="G79" s="6">
        <v>1</v>
      </c>
      <c r="H79" s="13">
        <f>-D79*F79*G79</f>
        <v>-1.6</v>
      </c>
    </row>
    <row r="80" spans="1:8" s="20" customFormat="1" x14ac:dyDescent="0.4">
      <c r="A80" s="497"/>
      <c r="B80" s="5"/>
      <c r="C80" s="503"/>
      <c r="D80" s="17">
        <v>3.34</v>
      </c>
      <c r="E80" s="17"/>
      <c r="F80" s="6">
        <v>3.25</v>
      </c>
      <c r="G80" s="6">
        <v>1</v>
      </c>
      <c r="H80" s="13">
        <f t="shared" si="2"/>
        <v>10.855</v>
      </c>
    </row>
    <row r="81" spans="1:8" s="20" customFormat="1" x14ac:dyDescent="0.4">
      <c r="A81" s="497"/>
      <c r="B81" s="5"/>
      <c r="C81" s="503"/>
      <c r="D81" s="17">
        <v>2.76</v>
      </c>
      <c r="E81" s="17"/>
      <c r="F81" s="6">
        <v>3.25</v>
      </c>
      <c r="G81" s="6">
        <v>1</v>
      </c>
      <c r="H81" s="13">
        <f t="shared" si="2"/>
        <v>8.9699999999999989</v>
      </c>
    </row>
    <row r="82" spans="1:8" s="20" customFormat="1" x14ac:dyDescent="0.4">
      <c r="A82" s="497"/>
      <c r="B82" s="5"/>
      <c r="C82" s="503"/>
      <c r="D82" s="17">
        <v>0.9</v>
      </c>
      <c r="E82" s="17"/>
      <c r="F82" s="17">
        <v>1.6</v>
      </c>
      <c r="G82" s="6">
        <v>1</v>
      </c>
      <c r="H82" s="13">
        <f t="shared" si="2"/>
        <v>1.4400000000000002</v>
      </c>
    </row>
    <row r="83" spans="1:8" s="20" customFormat="1" x14ac:dyDescent="0.4">
      <c r="A83" s="497"/>
      <c r="B83" s="5"/>
      <c r="C83" s="503"/>
      <c r="D83" s="17">
        <v>0.65</v>
      </c>
      <c r="E83" s="17"/>
      <c r="F83" s="17">
        <v>1.6</v>
      </c>
      <c r="G83" s="6">
        <v>1</v>
      </c>
      <c r="H83" s="13">
        <f t="shared" si="2"/>
        <v>1.04</v>
      </c>
    </row>
    <row r="84" spans="1:8" s="20" customFormat="1" x14ac:dyDescent="0.4">
      <c r="A84" s="497"/>
      <c r="B84" s="5"/>
      <c r="C84" s="503"/>
      <c r="D84" s="17">
        <v>2.1</v>
      </c>
      <c r="E84" s="17"/>
      <c r="F84" s="17">
        <v>1.6</v>
      </c>
      <c r="G84" s="6">
        <v>1</v>
      </c>
      <c r="H84" s="13">
        <f t="shared" si="2"/>
        <v>3.3600000000000003</v>
      </c>
    </row>
    <row r="85" spans="1:8" s="20" customFormat="1" x14ac:dyDescent="0.4">
      <c r="A85" s="497"/>
      <c r="B85" s="5"/>
      <c r="C85" s="503"/>
      <c r="D85" s="17">
        <v>0.75</v>
      </c>
      <c r="E85" s="17"/>
      <c r="F85" s="17">
        <v>1.6</v>
      </c>
      <c r="G85" s="6">
        <v>1</v>
      </c>
      <c r="H85" s="13">
        <f t="shared" si="2"/>
        <v>1.2000000000000002</v>
      </c>
    </row>
    <row r="86" spans="1:8" s="20" customFormat="1" x14ac:dyDescent="0.4">
      <c r="A86" s="497"/>
      <c r="B86" s="5"/>
      <c r="C86" s="503"/>
      <c r="D86" s="17">
        <v>1.92</v>
      </c>
      <c r="E86" s="17"/>
      <c r="F86" s="17">
        <v>1.6</v>
      </c>
      <c r="G86" s="6">
        <v>1</v>
      </c>
      <c r="H86" s="13">
        <f t="shared" si="2"/>
        <v>3.0720000000000001</v>
      </c>
    </row>
    <row r="87" spans="1:8" s="20" customFormat="1" x14ac:dyDescent="0.4">
      <c r="A87" s="497"/>
      <c r="B87" s="5" t="s">
        <v>244</v>
      </c>
      <c r="C87" s="503"/>
      <c r="D87" s="17">
        <v>16.29</v>
      </c>
      <c r="E87" s="17"/>
      <c r="F87" s="17">
        <v>3.25</v>
      </c>
      <c r="G87" s="6">
        <v>1</v>
      </c>
      <c r="H87" s="13">
        <f>D87*F87*G87</f>
        <v>52.942499999999995</v>
      </c>
    </row>
    <row r="88" spans="1:8" s="20" customFormat="1" x14ac:dyDescent="0.4">
      <c r="A88" s="497"/>
      <c r="B88" s="5" t="s">
        <v>16</v>
      </c>
      <c r="C88" s="503"/>
      <c r="D88" s="17">
        <v>0.9</v>
      </c>
      <c r="E88" s="17"/>
      <c r="F88" s="17">
        <v>2</v>
      </c>
      <c r="G88" s="6">
        <v>6</v>
      </c>
      <c r="H88" s="13">
        <f>-D88*F88*G88</f>
        <v>-10.8</v>
      </c>
    </row>
    <row r="89" spans="1:8" s="20" customFormat="1" x14ac:dyDescent="0.4">
      <c r="A89" s="497"/>
      <c r="B89" s="5" t="s">
        <v>256</v>
      </c>
      <c r="C89" s="503"/>
      <c r="D89" s="17">
        <v>2.2000000000000002</v>
      </c>
      <c r="E89" s="17"/>
      <c r="F89" s="17">
        <v>1.2</v>
      </c>
      <c r="G89" s="6">
        <v>1</v>
      </c>
      <c r="H89" s="13">
        <f>-D89*F89*G89</f>
        <v>-2.64</v>
      </c>
    </row>
    <row r="90" spans="1:8" s="20" customFormat="1" x14ac:dyDescent="0.4">
      <c r="A90" s="497"/>
      <c r="B90" s="5" t="s">
        <v>242</v>
      </c>
      <c r="C90" s="503"/>
      <c r="D90" s="17">
        <v>5.0999999999999996</v>
      </c>
      <c r="E90" s="17"/>
      <c r="F90" s="17">
        <v>3.25</v>
      </c>
      <c r="G90" s="6">
        <v>1</v>
      </c>
      <c r="H90" s="13">
        <f t="shared" si="2"/>
        <v>16.574999999999999</v>
      </c>
    </row>
    <row r="91" spans="1:8" s="20" customFormat="1" x14ac:dyDescent="0.4">
      <c r="A91" s="497"/>
      <c r="B91" s="5" t="s">
        <v>243</v>
      </c>
      <c r="C91" s="503"/>
      <c r="D91" s="17">
        <v>2.92</v>
      </c>
      <c r="E91" s="17"/>
      <c r="F91" s="17">
        <v>3.25</v>
      </c>
      <c r="G91" s="6">
        <v>1</v>
      </c>
      <c r="H91" s="13">
        <f t="shared" si="2"/>
        <v>9.49</v>
      </c>
    </row>
    <row r="92" spans="1:8" s="20" customFormat="1" x14ac:dyDescent="0.4">
      <c r="A92" s="497"/>
      <c r="B92" s="5" t="s">
        <v>47</v>
      </c>
      <c r="C92" s="503"/>
      <c r="D92" s="17">
        <v>2.11</v>
      </c>
      <c r="E92" s="17"/>
      <c r="F92" s="17">
        <v>3.25</v>
      </c>
      <c r="G92" s="6">
        <v>2</v>
      </c>
      <c r="H92" s="13">
        <f t="shared" si="2"/>
        <v>13.715</v>
      </c>
    </row>
    <row r="93" spans="1:8" s="20" customFormat="1" x14ac:dyDescent="0.4">
      <c r="A93" s="497"/>
      <c r="B93" s="5"/>
      <c r="C93" s="503"/>
      <c r="D93" s="17">
        <v>7.33</v>
      </c>
      <c r="E93" s="17"/>
      <c r="F93" s="17">
        <v>3.25</v>
      </c>
      <c r="G93" s="6">
        <v>3</v>
      </c>
      <c r="H93" s="13">
        <f>D93*F93*G93</f>
        <v>71.467500000000001</v>
      </c>
    </row>
    <row r="94" spans="1:8" s="20" customFormat="1" x14ac:dyDescent="0.4">
      <c r="A94" s="497"/>
      <c r="B94" s="5" t="s">
        <v>16</v>
      </c>
      <c r="C94" s="503"/>
      <c r="D94" s="17">
        <v>0.9</v>
      </c>
      <c r="E94" s="17"/>
      <c r="F94" s="17">
        <v>2</v>
      </c>
      <c r="G94" s="6">
        <v>1</v>
      </c>
      <c r="H94" s="13">
        <f>-D94*F94*G94</f>
        <v>-1.8</v>
      </c>
    </row>
    <row r="95" spans="1:8" s="20" customFormat="1" ht="27.6" x14ac:dyDescent="0.4">
      <c r="A95" s="497"/>
      <c r="B95" s="5" t="s">
        <v>247</v>
      </c>
      <c r="C95" s="503"/>
      <c r="D95" s="17">
        <v>8.7799999999999994</v>
      </c>
      <c r="E95" s="17"/>
      <c r="F95" s="17">
        <v>3.25</v>
      </c>
      <c r="G95" s="6">
        <v>1</v>
      </c>
      <c r="H95" s="13">
        <f>D95*F95*G95</f>
        <v>28.534999999999997</v>
      </c>
    </row>
    <row r="96" spans="1:8" s="20" customFormat="1" x14ac:dyDescent="0.4">
      <c r="A96" s="497"/>
      <c r="B96" s="5" t="s">
        <v>16</v>
      </c>
      <c r="C96" s="503"/>
      <c r="D96" s="17">
        <v>0.8</v>
      </c>
      <c r="E96" s="17"/>
      <c r="F96" s="17">
        <v>2</v>
      </c>
      <c r="G96" s="6">
        <v>2</v>
      </c>
      <c r="H96" s="13">
        <f>-D96*F96*G96</f>
        <v>-3.2</v>
      </c>
    </row>
    <row r="97" spans="1:8" s="20" customFormat="1" x14ac:dyDescent="0.4">
      <c r="A97" s="497"/>
      <c r="B97" s="5"/>
      <c r="C97" s="503"/>
      <c r="D97" s="17">
        <v>0.9</v>
      </c>
      <c r="E97" s="17"/>
      <c r="F97" s="17">
        <v>2</v>
      </c>
      <c r="G97" s="6">
        <v>1</v>
      </c>
      <c r="H97" s="13">
        <f>-D97*F97*G97</f>
        <v>-1.8</v>
      </c>
    </row>
    <row r="98" spans="1:8" s="20" customFormat="1" x14ac:dyDescent="0.4">
      <c r="A98" s="497"/>
      <c r="B98" s="5" t="s">
        <v>245</v>
      </c>
      <c r="C98" s="503"/>
      <c r="D98" s="17">
        <v>5.15</v>
      </c>
      <c r="E98" s="17"/>
      <c r="F98" s="17">
        <v>3.25</v>
      </c>
      <c r="G98" s="6">
        <v>1</v>
      </c>
      <c r="H98" s="13">
        <f t="shared" si="2"/>
        <v>16.737500000000001</v>
      </c>
    </row>
    <row r="99" spans="1:8" s="20" customFormat="1" x14ac:dyDescent="0.4">
      <c r="A99" s="497"/>
      <c r="B99" s="5" t="s">
        <v>246</v>
      </c>
      <c r="C99" s="503"/>
      <c r="D99" s="17">
        <v>1.1399999999999999</v>
      </c>
      <c r="E99" s="17"/>
      <c r="F99" s="17">
        <v>3.25</v>
      </c>
      <c r="G99" s="6">
        <v>1</v>
      </c>
      <c r="H99" s="13">
        <f t="shared" si="2"/>
        <v>3.7049999999999996</v>
      </c>
    </row>
    <row r="100" spans="1:8" s="20" customFormat="1" x14ac:dyDescent="0.4">
      <c r="A100" s="497"/>
      <c r="B100" s="5" t="s">
        <v>16</v>
      </c>
      <c r="C100" s="503"/>
      <c r="D100" s="17">
        <v>0.9</v>
      </c>
      <c r="E100" s="17"/>
      <c r="F100" s="17">
        <v>2</v>
      </c>
      <c r="G100" s="6">
        <v>1</v>
      </c>
      <c r="H100" s="13">
        <f>-D100*F100*G100</f>
        <v>-1.8</v>
      </c>
    </row>
    <row r="101" spans="1:8" s="20" customFormat="1" x14ac:dyDescent="0.4">
      <c r="A101" s="497"/>
      <c r="B101" s="5" t="s">
        <v>239</v>
      </c>
      <c r="C101" s="503"/>
      <c r="D101" s="17">
        <v>2.4</v>
      </c>
      <c r="E101" s="17"/>
      <c r="F101" s="17">
        <v>3.25</v>
      </c>
      <c r="G101" s="6">
        <v>1</v>
      </c>
      <c r="H101" s="13">
        <f t="shared" si="2"/>
        <v>7.8</v>
      </c>
    </row>
    <row r="102" spans="1:8" s="20" customFormat="1" x14ac:dyDescent="0.4">
      <c r="A102" s="497"/>
      <c r="B102" s="5" t="s">
        <v>16</v>
      </c>
      <c r="C102" s="503"/>
      <c r="D102" s="17">
        <v>0.8</v>
      </c>
      <c r="E102" s="17"/>
      <c r="F102" s="17">
        <v>2</v>
      </c>
      <c r="G102" s="6">
        <v>1</v>
      </c>
      <c r="H102" s="13">
        <f>-D102*F102*G102</f>
        <v>-1.6</v>
      </c>
    </row>
    <row r="103" spans="1:8" s="20" customFormat="1" x14ac:dyDescent="0.4">
      <c r="A103" s="497"/>
      <c r="B103" s="5" t="s">
        <v>252</v>
      </c>
      <c r="C103" s="503"/>
      <c r="D103" s="17">
        <v>1</v>
      </c>
      <c r="E103" s="17"/>
      <c r="F103" s="17">
        <v>3.25</v>
      </c>
      <c r="G103" s="6">
        <v>1</v>
      </c>
      <c r="H103" s="13">
        <f>D103*F103*G103</f>
        <v>3.25</v>
      </c>
    </row>
    <row r="104" spans="1:8" s="20" customFormat="1" x14ac:dyDescent="0.4">
      <c r="A104" s="497"/>
      <c r="B104" s="5" t="s">
        <v>16</v>
      </c>
      <c r="C104" s="503"/>
      <c r="D104" s="17">
        <v>0.8</v>
      </c>
      <c r="E104" s="17"/>
      <c r="F104" s="17">
        <v>2</v>
      </c>
      <c r="G104" s="6">
        <v>1</v>
      </c>
      <c r="H104" s="13">
        <f>-D104*F104*G104</f>
        <v>-1.6</v>
      </c>
    </row>
    <row r="105" spans="1:8" s="20" customFormat="1" x14ac:dyDescent="0.4">
      <c r="A105" s="497"/>
      <c r="B105" s="5" t="s">
        <v>240</v>
      </c>
      <c r="C105" s="503"/>
      <c r="D105" s="17">
        <v>1</v>
      </c>
      <c r="E105" s="17"/>
      <c r="F105" s="17">
        <v>3.25</v>
      </c>
      <c r="G105" s="6">
        <v>1</v>
      </c>
      <c r="H105" s="13">
        <f>D105*F105*G105</f>
        <v>3.25</v>
      </c>
    </row>
    <row r="106" spans="1:8" s="20" customFormat="1" x14ac:dyDescent="0.4">
      <c r="A106" s="497"/>
      <c r="B106" s="5" t="s">
        <v>248</v>
      </c>
      <c r="C106" s="503"/>
      <c r="D106" s="17">
        <v>1</v>
      </c>
      <c r="E106" s="17"/>
      <c r="F106" s="17">
        <v>3.25</v>
      </c>
      <c r="G106" s="6">
        <v>1</v>
      </c>
      <c r="H106" s="13">
        <f>D106*F106*G106</f>
        <v>3.25</v>
      </c>
    </row>
    <row r="107" spans="1:8" s="20" customFormat="1" x14ac:dyDescent="0.4">
      <c r="A107" s="497"/>
      <c r="B107" s="5" t="s">
        <v>248</v>
      </c>
      <c r="C107" s="503"/>
      <c r="D107" s="17">
        <v>3.18</v>
      </c>
      <c r="E107" s="17"/>
      <c r="F107" s="17">
        <v>3.25</v>
      </c>
      <c r="G107" s="6">
        <v>1</v>
      </c>
      <c r="H107" s="13">
        <f>D107*F107*G107</f>
        <v>10.335000000000001</v>
      </c>
    </row>
    <row r="108" spans="1:8" s="20" customFormat="1" x14ac:dyDescent="0.4">
      <c r="A108" s="497"/>
      <c r="B108" s="5" t="s">
        <v>16</v>
      </c>
      <c r="C108" s="503"/>
      <c r="D108" s="17">
        <v>0.8</v>
      </c>
      <c r="E108" s="17"/>
      <c r="F108" s="17">
        <v>2</v>
      </c>
      <c r="G108" s="6">
        <v>1</v>
      </c>
      <c r="H108" s="13">
        <f>-D108*F108*G108</f>
        <v>-1.6</v>
      </c>
    </row>
    <row r="109" spans="1:8" s="20" customFormat="1" x14ac:dyDescent="0.4">
      <c r="A109" s="497"/>
      <c r="B109" s="5" t="s">
        <v>249</v>
      </c>
      <c r="C109" s="503"/>
      <c r="D109" s="17">
        <v>3.18</v>
      </c>
      <c r="E109" s="17"/>
      <c r="F109" s="17">
        <v>3.25</v>
      </c>
      <c r="G109" s="6">
        <v>1</v>
      </c>
      <c r="H109" s="13">
        <f>D109*F109*G109</f>
        <v>10.335000000000001</v>
      </c>
    </row>
    <row r="110" spans="1:8" s="20" customFormat="1" x14ac:dyDescent="0.4">
      <c r="A110" s="497"/>
      <c r="B110" s="5" t="s">
        <v>253</v>
      </c>
      <c r="C110" s="503"/>
      <c r="D110" s="17">
        <v>5.92</v>
      </c>
      <c r="E110" s="17"/>
      <c r="F110" s="17">
        <v>3.25</v>
      </c>
      <c r="G110" s="6">
        <v>1</v>
      </c>
      <c r="H110" s="13">
        <f t="shared" si="2"/>
        <v>19.239999999999998</v>
      </c>
    </row>
    <row r="111" spans="1:8" s="20" customFormat="1" x14ac:dyDescent="0.4">
      <c r="A111" s="497"/>
      <c r="B111" s="5" t="s">
        <v>16</v>
      </c>
      <c r="C111" s="503"/>
      <c r="D111" s="17">
        <v>1</v>
      </c>
      <c r="E111" s="17"/>
      <c r="F111" s="17">
        <v>2</v>
      </c>
      <c r="G111" s="6">
        <v>1</v>
      </c>
      <c r="H111" s="13">
        <f>-D111*F111*G111</f>
        <v>-2</v>
      </c>
    </row>
    <row r="112" spans="1:8" s="20" customFormat="1" x14ac:dyDescent="0.4">
      <c r="A112" s="497"/>
      <c r="B112" s="5" t="s">
        <v>254</v>
      </c>
      <c r="C112" s="503"/>
      <c r="D112" s="17">
        <v>4.08</v>
      </c>
      <c r="E112" s="17"/>
      <c r="F112" s="17">
        <v>3.25</v>
      </c>
      <c r="G112" s="6">
        <v>1</v>
      </c>
      <c r="H112" s="13">
        <f t="shared" si="2"/>
        <v>13.26</v>
      </c>
    </row>
    <row r="113" spans="1:8" s="20" customFormat="1" x14ac:dyDescent="0.4">
      <c r="A113" s="497"/>
      <c r="B113" s="5" t="s">
        <v>16</v>
      </c>
      <c r="C113" s="503"/>
      <c r="D113" s="17">
        <v>1</v>
      </c>
      <c r="E113" s="17"/>
      <c r="F113" s="17">
        <v>2</v>
      </c>
      <c r="G113" s="6">
        <v>1</v>
      </c>
      <c r="H113" s="13">
        <f>-D113*F113*G113</f>
        <v>-2</v>
      </c>
    </row>
    <row r="114" spans="1:8" s="20" customFormat="1" x14ac:dyDescent="0.4">
      <c r="A114" s="497"/>
      <c r="B114" s="14" t="s">
        <v>255</v>
      </c>
      <c r="C114" s="503"/>
      <c r="D114" s="17">
        <v>7.33</v>
      </c>
      <c r="E114" s="17"/>
      <c r="F114" s="17">
        <v>3.25</v>
      </c>
      <c r="G114" s="6">
        <v>1</v>
      </c>
      <c r="H114" s="13">
        <f>D114*F114*G114</f>
        <v>23.822500000000002</v>
      </c>
    </row>
    <row r="115" spans="1:8" s="20" customFormat="1" x14ac:dyDescent="0.4">
      <c r="A115" s="497"/>
      <c r="B115" s="5" t="s">
        <v>16</v>
      </c>
      <c r="C115" s="503"/>
      <c r="D115" s="17">
        <v>1</v>
      </c>
      <c r="E115" s="17"/>
      <c r="F115" s="17">
        <v>2</v>
      </c>
      <c r="G115" s="6">
        <v>1</v>
      </c>
      <c r="H115" s="13">
        <f>-D115*F115*G115</f>
        <v>-2</v>
      </c>
    </row>
    <row r="116" spans="1:8" s="20" customFormat="1" x14ac:dyDescent="0.4">
      <c r="A116" s="497"/>
      <c r="B116" s="6"/>
      <c r="C116" s="503"/>
      <c r="D116" s="22"/>
      <c r="E116" s="22"/>
      <c r="F116" s="22"/>
      <c r="G116" s="22" t="s">
        <v>15</v>
      </c>
      <c r="H116" s="23">
        <f>SUM(H66:H115)</f>
        <v>430.78949999999986</v>
      </c>
    </row>
    <row r="117" spans="1:8" s="20" customFormat="1" x14ac:dyDescent="0.4">
      <c r="A117" s="22"/>
      <c r="B117" s="22"/>
      <c r="C117" s="22"/>
      <c r="D117" s="22"/>
      <c r="E117" s="22"/>
      <c r="F117" s="22"/>
      <c r="G117" s="22"/>
      <c r="H117" s="43"/>
    </row>
    <row r="118" spans="1:8" s="20" customFormat="1" ht="27.6" x14ac:dyDescent="0.4">
      <c r="A118" s="504">
        <v>6</v>
      </c>
      <c r="B118" s="11" t="s">
        <v>257</v>
      </c>
      <c r="C118" s="503" t="s">
        <v>1</v>
      </c>
      <c r="D118" s="16"/>
      <c r="E118" s="16"/>
      <c r="F118" s="16"/>
      <c r="G118" s="16"/>
      <c r="H118" s="16"/>
    </row>
    <row r="119" spans="1:8" s="20" customFormat="1" x14ac:dyDescent="0.4">
      <c r="A119" s="504"/>
      <c r="B119" s="5" t="s">
        <v>238</v>
      </c>
      <c r="C119" s="503"/>
      <c r="D119" s="17">
        <v>2.2400000000000002</v>
      </c>
      <c r="E119" s="17"/>
      <c r="F119" s="17">
        <v>3.25</v>
      </c>
      <c r="G119" s="6">
        <v>1</v>
      </c>
      <c r="H119" s="13">
        <f>D119*F119*G119</f>
        <v>7.2800000000000011</v>
      </c>
    </row>
    <row r="120" spans="1:8" s="20" customFormat="1" x14ac:dyDescent="0.4">
      <c r="A120" s="504"/>
      <c r="B120" s="5" t="s">
        <v>16</v>
      </c>
      <c r="C120" s="503"/>
      <c r="D120" s="17">
        <v>0.8</v>
      </c>
      <c r="E120" s="17"/>
      <c r="F120" s="17">
        <v>2</v>
      </c>
      <c r="G120" s="6">
        <v>1</v>
      </c>
      <c r="H120" s="13">
        <f>-D120*F120*G120</f>
        <v>-1.6</v>
      </c>
    </row>
    <row r="121" spans="1:8" s="20" customFormat="1" x14ac:dyDescent="0.4">
      <c r="A121" s="504"/>
      <c r="B121" s="5" t="s">
        <v>250</v>
      </c>
      <c r="C121" s="503"/>
      <c r="D121" s="7">
        <v>4.6399999999999997</v>
      </c>
      <c r="E121" s="16"/>
      <c r="F121" s="7">
        <v>3.25</v>
      </c>
      <c r="G121" s="7">
        <v>1</v>
      </c>
      <c r="H121" s="13">
        <f>D121*F121*G121</f>
        <v>15.079999999999998</v>
      </c>
    </row>
    <row r="122" spans="1:8" s="20" customFormat="1" x14ac:dyDescent="0.4">
      <c r="A122" s="504"/>
      <c r="B122" s="120"/>
      <c r="C122" s="503"/>
      <c r="D122" s="17">
        <v>3.37</v>
      </c>
      <c r="E122" s="17"/>
      <c r="F122" s="17">
        <v>3.25</v>
      </c>
      <c r="G122" s="6">
        <v>1</v>
      </c>
      <c r="H122" s="13">
        <f>D122*F122*G122</f>
        <v>10.952500000000001</v>
      </c>
    </row>
    <row r="123" spans="1:8" s="20" customFormat="1" x14ac:dyDescent="0.4">
      <c r="A123" s="504"/>
      <c r="B123" s="120" t="s">
        <v>251</v>
      </c>
      <c r="C123" s="503"/>
      <c r="D123" s="17">
        <v>3.27</v>
      </c>
      <c r="E123" s="17"/>
      <c r="F123" s="17">
        <v>3.25</v>
      </c>
      <c r="G123" s="6">
        <v>1</v>
      </c>
      <c r="H123" s="13">
        <f>D123*F123*G123</f>
        <v>10.6275</v>
      </c>
    </row>
    <row r="124" spans="1:8" s="20" customFormat="1" x14ac:dyDescent="0.4">
      <c r="A124" s="504"/>
      <c r="B124" s="120"/>
      <c r="C124" s="503"/>
      <c r="D124" s="17"/>
      <c r="E124" s="17"/>
      <c r="F124" s="17"/>
      <c r="G124" s="22" t="s">
        <v>15</v>
      </c>
      <c r="H124" s="23">
        <f>SUM(H118:H123)</f>
        <v>42.339999999999996</v>
      </c>
    </row>
    <row r="125" spans="1:8" s="20" customFormat="1" x14ac:dyDescent="0.4">
      <c r="A125" s="22"/>
      <c r="B125" s="22"/>
      <c r="C125" s="22"/>
      <c r="D125" s="43"/>
      <c r="E125" s="43"/>
      <c r="F125" s="43"/>
      <c r="G125" s="22"/>
      <c r="H125" s="43"/>
    </row>
    <row r="126" spans="1:8" s="119" customFormat="1" x14ac:dyDescent="0.4">
      <c r="A126" s="501">
        <v>7</v>
      </c>
      <c r="B126" s="11" t="s">
        <v>235</v>
      </c>
      <c r="C126" s="502" t="s">
        <v>1</v>
      </c>
      <c r="D126" s="17">
        <v>1.45</v>
      </c>
      <c r="E126" s="17"/>
      <c r="F126" s="17">
        <v>3.25</v>
      </c>
      <c r="G126" s="4">
        <v>1</v>
      </c>
      <c r="H126" s="24">
        <f>D126*F126*G126</f>
        <v>4.7124999999999995</v>
      </c>
    </row>
    <row r="127" spans="1:8" s="119" customFormat="1" x14ac:dyDescent="0.4">
      <c r="A127" s="501"/>
      <c r="B127" s="5"/>
      <c r="C127" s="502"/>
      <c r="D127" s="17">
        <v>3.31</v>
      </c>
      <c r="E127" s="17"/>
      <c r="F127" s="17">
        <v>3.25</v>
      </c>
      <c r="G127" s="4">
        <v>1</v>
      </c>
      <c r="H127" s="24">
        <f>D127*F127*G127</f>
        <v>10.7575</v>
      </c>
    </row>
    <row r="128" spans="1:8" s="119" customFormat="1" x14ac:dyDescent="0.4">
      <c r="A128" s="501"/>
      <c r="B128" s="5"/>
      <c r="C128" s="502"/>
      <c r="D128" s="17">
        <v>1.57</v>
      </c>
      <c r="E128" s="17"/>
      <c r="F128" s="17">
        <v>3.25</v>
      </c>
      <c r="G128" s="4">
        <v>2</v>
      </c>
      <c r="H128" s="24">
        <f>D128*F128*G128</f>
        <v>10.205</v>
      </c>
    </row>
    <row r="129" spans="1:8" s="119" customFormat="1" x14ac:dyDescent="0.4">
      <c r="A129" s="501"/>
      <c r="B129" s="5" t="s">
        <v>24</v>
      </c>
      <c r="C129" s="502"/>
      <c r="D129" s="17">
        <v>0.8</v>
      </c>
      <c r="E129" s="17"/>
      <c r="F129" s="17">
        <v>2</v>
      </c>
      <c r="G129" s="4">
        <v>4</v>
      </c>
      <c r="H129" s="24">
        <f>-D129*F129*G129</f>
        <v>-6.4</v>
      </c>
    </row>
    <row r="130" spans="1:8" s="119" customFormat="1" x14ac:dyDescent="0.4">
      <c r="A130" s="501"/>
      <c r="B130" s="5"/>
      <c r="C130" s="502"/>
      <c r="D130" s="17"/>
      <c r="E130" s="17"/>
      <c r="F130" s="17"/>
      <c r="G130" s="94" t="s">
        <v>28</v>
      </c>
      <c r="H130" s="23">
        <f>SUM(H126:H129)</f>
        <v>19.274999999999999</v>
      </c>
    </row>
    <row r="131" spans="1:8" s="119" customFormat="1" x14ac:dyDescent="0.4">
      <c r="A131" s="18"/>
      <c r="B131" s="5"/>
      <c r="C131" s="7"/>
      <c r="D131" s="17"/>
      <c r="E131" s="17"/>
      <c r="F131" s="17"/>
      <c r="G131" s="94"/>
      <c r="H131" s="23"/>
    </row>
    <row r="132" spans="1:8" s="119" customFormat="1" ht="41.4" x14ac:dyDescent="0.4">
      <c r="A132" s="501">
        <v>8</v>
      </c>
      <c r="B132" s="11" t="s">
        <v>456</v>
      </c>
      <c r="C132" s="502" t="s">
        <v>1</v>
      </c>
      <c r="D132" s="17">
        <v>0.4</v>
      </c>
      <c r="E132" s="17"/>
      <c r="F132" s="17">
        <v>3.25</v>
      </c>
      <c r="G132" s="4">
        <v>1</v>
      </c>
      <c r="H132" s="24">
        <f>D132*F132*G132</f>
        <v>1.3</v>
      </c>
    </row>
    <row r="133" spans="1:8" s="119" customFormat="1" x14ac:dyDescent="0.4">
      <c r="A133" s="501"/>
      <c r="B133" s="5"/>
      <c r="C133" s="502"/>
      <c r="D133" s="17">
        <v>0.8</v>
      </c>
      <c r="E133" s="17"/>
      <c r="F133" s="17">
        <v>3.25</v>
      </c>
      <c r="G133" s="4">
        <v>1</v>
      </c>
      <c r="H133" s="24">
        <f>D133*F133*G133</f>
        <v>2.6</v>
      </c>
    </row>
    <row r="134" spans="1:8" s="119" customFormat="1" x14ac:dyDescent="0.4">
      <c r="A134" s="501"/>
      <c r="B134" s="5"/>
      <c r="C134" s="502"/>
      <c r="D134" s="17"/>
      <c r="E134" s="17"/>
      <c r="F134" s="17"/>
      <c r="G134" s="94" t="s">
        <v>28</v>
      </c>
      <c r="H134" s="23">
        <f>SUM(H132:H133)</f>
        <v>3.9000000000000004</v>
      </c>
    </row>
    <row r="135" spans="1:8" s="119" customFormat="1" x14ac:dyDescent="0.4">
      <c r="A135" s="18"/>
      <c r="B135" s="5"/>
      <c r="C135" s="7"/>
      <c r="D135" s="17"/>
      <c r="E135" s="17"/>
      <c r="F135" s="17"/>
      <c r="G135" s="4"/>
      <c r="H135" s="24"/>
    </row>
    <row r="136" spans="1:8" s="119" customFormat="1" ht="42.75" customHeight="1" x14ac:dyDescent="0.4">
      <c r="A136" s="501">
        <v>9</v>
      </c>
      <c r="B136" s="19" t="s">
        <v>458</v>
      </c>
      <c r="C136" s="502" t="s">
        <v>1</v>
      </c>
      <c r="D136" s="17">
        <v>2.3199999999999998</v>
      </c>
      <c r="E136" s="17"/>
      <c r="F136" s="17">
        <v>2</v>
      </c>
      <c r="G136" s="4">
        <v>1</v>
      </c>
      <c r="H136" s="24">
        <f>D136*F136*G136</f>
        <v>4.6399999999999997</v>
      </c>
    </row>
    <row r="137" spans="1:8" s="3" customFormat="1" x14ac:dyDescent="0.4">
      <c r="A137" s="501"/>
      <c r="B137" s="19"/>
      <c r="C137" s="502"/>
      <c r="D137" s="17">
        <v>1.4</v>
      </c>
      <c r="E137" s="56"/>
      <c r="F137" s="17">
        <v>2</v>
      </c>
      <c r="G137" s="4">
        <v>7</v>
      </c>
      <c r="H137" s="24">
        <f>D137*F137*G137</f>
        <v>19.599999999999998</v>
      </c>
    </row>
    <row r="138" spans="1:8" s="3" customFormat="1" x14ac:dyDescent="0.4">
      <c r="A138" s="501"/>
      <c r="B138" s="19"/>
      <c r="C138" s="502"/>
      <c r="D138" s="17">
        <v>4.08</v>
      </c>
      <c r="E138" s="56"/>
      <c r="F138" s="17">
        <v>2</v>
      </c>
      <c r="G138" s="4">
        <v>1</v>
      </c>
      <c r="H138" s="24">
        <f>D138*F138*G138</f>
        <v>8.16</v>
      </c>
    </row>
    <row r="139" spans="1:8" s="3" customFormat="1" x14ac:dyDescent="0.4">
      <c r="A139" s="501"/>
      <c r="B139" s="19"/>
      <c r="C139" s="502"/>
      <c r="D139" s="17">
        <v>5.0999999999999996</v>
      </c>
      <c r="E139" s="56"/>
      <c r="F139" s="17">
        <v>2</v>
      </c>
      <c r="G139" s="4">
        <v>1</v>
      </c>
      <c r="H139" s="24">
        <f>D139*F139*G139</f>
        <v>10.199999999999999</v>
      </c>
    </row>
    <row r="140" spans="1:8" s="3" customFormat="1" x14ac:dyDescent="0.4">
      <c r="A140" s="501"/>
      <c r="B140" s="19"/>
      <c r="C140" s="502"/>
      <c r="D140" s="17"/>
      <c r="E140" s="56"/>
      <c r="F140" s="56"/>
      <c r="G140" s="94" t="s">
        <v>28</v>
      </c>
      <c r="H140" s="23">
        <f>SUM(H136:H139)</f>
        <v>42.599999999999994</v>
      </c>
    </row>
    <row r="141" spans="1:8" s="3" customFormat="1" x14ac:dyDescent="0.4">
      <c r="A141" s="121"/>
      <c r="B141" s="99"/>
      <c r="C141" s="110"/>
      <c r="D141" s="56"/>
      <c r="E141" s="56"/>
      <c r="F141" s="56"/>
      <c r="G141" s="68"/>
      <c r="H141" s="65"/>
    </row>
    <row r="142" spans="1:8" s="3" customFormat="1" x14ac:dyDescent="0.4">
      <c r="A142" s="501">
        <v>10</v>
      </c>
      <c r="B142" s="11" t="s">
        <v>33</v>
      </c>
      <c r="C142" s="503" t="s">
        <v>1</v>
      </c>
      <c r="D142" s="35"/>
      <c r="E142" s="35"/>
      <c r="F142" s="35"/>
      <c r="G142" s="34"/>
      <c r="H142" s="35"/>
    </row>
    <row r="143" spans="1:8" s="3" customFormat="1" x14ac:dyDescent="0.4">
      <c r="A143" s="501"/>
      <c r="B143" s="5" t="s">
        <v>42</v>
      </c>
      <c r="C143" s="503"/>
      <c r="D143" s="17">
        <v>1.58</v>
      </c>
      <c r="E143" s="17"/>
      <c r="F143" s="17">
        <v>3.2</v>
      </c>
      <c r="G143" s="4">
        <v>2</v>
      </c>
      <c r="H143" s="24">
        <f>D143*F143*G143</f>
        <v>10.112000000000002</v>
      </c>
    </row>
    <row r="144" spans="1:8" s="3" customFormat="1" x14ac:dyDescent="0.4">
      <c r="A144" s="501"/>
      <c r="B144" s="5"/>
      <c r="C144" s="503"/>
      <c r="D144" s="17">
        <v>1.77</v>
      </c>
      <c r="E144" s="17"/>
      <c r="F144" s="17">
        <v>3.2</v>
      </c>
      <c r="G144" s="4">
        <v>2</v>
      </c>
      <c r="H144" s="24">
        <f t="shared" ref="H144:H149" si="3">D144*F144*G144</f>
        <v>11.328000000000001</v>
      </c>
    </row>
    <row r="145" spans="1:8" s="3" customFormat="1" x14ac:dyDescent="0.4">
      <c r="A145" s="501"/>
      <c r="B145" s="5" t="s">
        <v>35</v>
      </c>
      <c r="C145" s="503"/>
      <c r="D145" s="17">
        <v>2.13</v>
      </c>
      <c r="E145" s="17"/>
      <c r="F145" s="17">
        <v>3.2</v>
      </c>
      <c r="G145" s="4">
        <v>2</v>
      </c>
      <c r="H145" s="24">
        <f t="shared" si="3"/>
        <v>13.632</v>
      </c>
    </row>
    <row r="146" spans="1:8" s="3" customFormat="1" x14ac:dyDescent="0.4">
      <c r="A146" s="501"/>
      <c r="B146" s="5"/>
      <c r="C146" s="503"/>
      <c r="D146" s="17">
        <v>1.77</v>
      </c>
      <c r="E146" s="17"/>
      <c r="F146" s="17">
        <v>3.2</v>
      </c>
      <c r="G146" s="4">
        <v>2</v>
      </c>
      <c r="H146" s="24">
        <f>D146*F146*G146</f>
        <v>11.328000000000001</v>
      </c>
    </row>
    <row r="147" spans="1:8" s="3" customFormat="1" x14ac:dyDescent="0.4">
      <c r="A147" s="501"/>
      <c r="B147" s="30" t="s">
        <v>77</v>
      </c>
      <c r="C147" s="503"/>
      <c r="D147" s="17">
        <v>2.2200000000000002</v>
      </c>
      <c r="E147" s="17"/>
      <c r="F147" s="17">
        <v>3.2</v>
      </c>
      <c r="G147" s="4">
        <v>2</v>
      </c>
      <c r="H147" s="24">
        <f t="shared" si="3"/>
        <v>14.208000000000002</v>
      </c>
    </row>
    <row r="148" spans="1:8" s="3" customFormat="1" x14ac:dyDescent="0.4">
      <c r="A148" s="501"/>
      <c r="B148" s="30"/>
      <c r="C148" s="503"/>
      <c r="D148" s="17">
        <v>1.77</v>
      </c>
      <c r="E148" s="17"/>
      <c r="F148" s="17">
        <v>3.2</v>
      </c>
      <c r="G148" s="4">
        <v>2</v>
      </c>
      <c r="H148" s="24">
        <f>D148*F148*G148</f>
        <v>11.328000000000001</v>
      </c>
    </row>
    <row r="149" spans="1:8" s="3" customFormat="1" x14ac:dyDescent="0.4">
      <c r="A149" s="501"/>
      <c r="B149" s="30" t="s">
        <v>62</v>
      </c>
      <c r="C149" s="503"/>
      <c r="D149" s="17">
        <v>2.86</v>
      </c>
      <c r="E149" s="17"/>
      <c r="F149" s="17">
        <v>3.2</v>
      </c>
      <c r="G149" s="4">
        <v>2</v>
      </c>
      <c r="H149" s="24">
        <f t="shared" si="3"/>
        <v>18.303999999999998</v>
      </c>
    </row>
    <row r="150" spans="1:8" s="3" customFormat="1" x14ac:dyDescent="0.4">
      <c r="A150" s="501"/>
      <c r="B150" s="30"/>
      <c r="C150" s="503"/>
      <c r="D150" s="17">
        <v>1.77</v>
      </c>
      <c r="E150" s="17"/>
      <c r="F150" s="17">
        <v>3.2</v>
      </c>
      <c r="G150" s="4">
        <v>2</v>
      </c>
      <c r="H150" s="24">
        <f>D150*F150*G150</f>
        <v>11.328000000000001</v>
      </c>
    </row>
    <row r="151" spans="1:8" s="3" customFormat="1" x14ac:dyDescent="0.4">
      <c r="A151" s="501"/>
      <c r="B151" s="30" t="s">
        <v>73</v>
      </c>
      <c r="C151" s="503"/>
      <c r="D151" s="17">
        <v>3.75</v>
      </c>
      <c r="E151" s="17"/>
      <c r="F151" s="17">
        <v>3.2</v>
      </c>
      <c r="G151" s="4">
        <v>2</v>
      </c>
      <c r="H151" s="24">
        <f t="shared" ref="H151:H204" si="4">D151*F151*G151</f>
        <v>24</v>
      </c>
    </row>
    <row r="152" spans="1:8" s="3" customFormat="1" x14ac:dyDescent="0.4">
      <c r="A152" s="501"/>
      <c r="B152" s="30"/>
      <c r="C152" s="503"/>
      <c r="D152" s="17">
        <v>1.77</v>
      </c>
      <c r="E152" s="17"/>
      <c r="F152" s="17">
        <v>3.2</v>
      </c>
      <c r="G152" s="4">
        <v>2</v>
      </c>
      <c r="H152" s="24">
        <f t="shared" si="4"/>
        <v>11.328000000000001</v>
      </c>
    </row>
    <row r="153" spans="1:8" s="3" customFormat="1" x14ac:dyDescent="0.4">
      <c r="A153" s="501"/>
      <c r="B153" s="30" t="s">
        <v>181</v>
      </c>
      <c r="C153" s="503"/>
      <c r="D153" s="17">
        <v>8.23</v>
      </c>
      <c r="E153" s="17"/>
      <c r="F153" s="17">
        <v>3.2</v>
      </c>
      <c r="G153" s="4">
        <v>2</v>
      </c>
      <c r="H153" s="24">
        <f t="shared" si="4"/>
        <v>52.672000000000004</v>
      </c>
    </row>
    <row r="154" spans="1:8" s="3" customFormat="1" x14ac:dyDescent="0.4">
      <c r="A154" s="501"/>
      <c r="B154" s="30"/>
      <c r="C154" s="503"/>
      <c r="D154" s="17">
        <v>3.01</v>
      </c>
      <c r="E154" s="17"/>
      <c r="F154" s="17">
        <v>3.2</v>
      </c>
      <c r="G154" s="4">
        <v>2</v>
      </c>
      <c r="H154" s="24">
        <f t="shared" si="4"/>
        <v>19.263999999999999</v>
      </c>
    </row>
    <row r="155" spans="1:8" s="3" customFormat="1" x14ac:dyDescent="0.4">
      <c r="A155" s="501"/>
      <c r="B155" s="30" t="s">
        <v>45</v>
      </c>
      <c r="C155" s="503"/>
      <c r="D155" s="17">
        <v>1.96</v>
      </c>
      <c r="E155" s="17"/>
      <c r="F155" s="17">
        <v>2.7</v>
      </c>
      <c r="G155" s="4">
        <v>2</v>
      </c>
      <c r="H155" s="24">
        <f t="shared" si="4"/>
        <v>10.584</v>
      </c>
    </row>
    <row r="156" spans="1:8" s="3" customFormat="1" x14ac:dyDescent="0.4">
      <c r="A156" s="501"/>
      <c r="B156" s="30"/>
      <c r="C156" s="503"/>
      <c r="D156" s="17">
        <v>1.89</v>
      </c>
      <c r="E156" s="17"/>
      <c r="F156" s="17">
        <v>2.7</v>
      </c>
      <c r="G156" s="4">
        <v>2</v>
      </c>
      <c r="H156" s="24">
        <f>D156*F156*G156</f>
        <v>10.206</v>
      </c>
    </row>
    <row r="157" spans="1:8" s="3" customFormat="1" x14ac:dyDescent="0.4">
      <c r="A157" s="501"/>
      <c r="B157" s="30" t="s">
        <v>46</v>
      </c>
      <c r="C157" s="503"/>
      <c r="D157" s="17">
        <v>1.75</v>
      </c>
      <c r="E157" s="17"/>
      <c r="F157" s="17">
        <v>2.7</v>
      </c>
      <c r="G157" s="4">
        <v>2</v>
      </c>
      <c r="H157" s="24">
        <f t="shared" si="4"/>
        <v>9.4500000000000011</v>
      </c>
    </row>
    <row r="158" spans="1:8" s="3" customFormat="1" x14ac:dyDescent="0.4">
      <c r="A158" s="501"/>
      <c r="B158" s="30"/>
      <c r="C158" s="503"/>
      <c r="D158" s="17">
        <v>1.89</v>
      </c>
      <c r="E158" s="17"/>
      <c r="F158" s="17">
        <v>2.7</v>
      </c>
      <c r="G158" s="4">
        <v>2</v>
      </c>
      <c r="H158" s="24">
        <f t="shared" si="4"/>
        <v>10.206</v>
      </c>
    </row>
    <row r="159" spans="1:8" s="3" customFormat="1" x14ac:dyDescent="0.4">
      <c r="A159" s="501"/>
      <c r="B159" s="191" t="s">
        <v>34</v>
      </c>
      <c r="C159" s="503"/>
      <c r="D159" s="17">
        <v>8.23</v>
      </c>
      <c r="E159" s="17"/>
      <c r="F159" s="17">
        <v>3.2</v>
      </c>
      <c r="G159" s="4">
        <v>2</v>
      </c>
      <c r="H159" s="24">
        <f t="shared" si="4"/>
        <v>52.672000000000004</v>
      </c>
    </row>
    <row r="160" spans="1:8" s="3" customFormat="1" x14ac:dyDescent="0.4">
      <c r="A160" s="501"/>
      <c r="B160" s="14"/>
      <c r="C160" s="503"/>
      <c r="D160" s="17">
        <v>3.47</v>
      </c>
      <c r="E160" s="17"/>
      <c r="F160" s="17">
        <v>3.2</v>
      </c>
      <c r="G160" s="4">
        <v>2</v>
      </c>
      <c r="H160" s="24">
        <f t="shared" si="4"/>
        <v>22.208000000000002</v>
      </c>
    </row>
    <row r="161" spans="1:8" s="3" customFormat="1" x14ac:dyDescent="0.4">
      <c r="A161" s="501"/>
      <c r="B161" s="14" t="s">
        <v>41</v>
      </c>
      <c r="C161" s="503"/>
      <c r="D161" s="17">
        <v>6.6</v>
      </c>
      <c r="E161" s="17"/>
      <c r="F161" s="17">
        <v>3.2</v>
      </c>
      <c r="G161" s="4">
        <v>2</v>
      </c>
      <c r="H161" s="24">
        <f t="shared" si="4"/>
        <v>42.24</v>
      </c>
    </row>
    <row r="162" spans="1:8" s="3" customFormat="1" x14ac:dyDescent="0.4">
      <c r="A162" s="501"/>
      <c r="B162" s="14"/>
      <c r="C162" s="503"/>
      <c r="D162" s="17">
        <v>3.96</v>
      </c>
      <c r="E162" s="17"/>
      <c r="F162" s="17">
        <v>3.2</v>
      </c>
      <c r="G162" s="4">
        <v>2</v>
      </c>
      <c r="H162" s="24">
        <f>D162*F162*G162</f>
        <v>25.344000000000001</v>
      </c>
    </row>
    <row r="163" spans="1:8" s="3" customFormat="1" x14ac:dyDescent="0.4">
      <c r="A163" s="501"/>
      <c r="B163" s="14"/>
      <c r="C163" s="503"/>
      <c r="D163" s="17">
        <v>1.02</v>
      </c>
      <c r="E163" s="17"/>
      <c r="F163" s="17">
        <v>1.6</v>
      </c>
      <c r="G163" s="4">
        <v>1</v>
      </c>
      <c r="H163" s="24">
        <f t="shared" si="4"/>
        <v>1.6320000000000001</v>
      </c>
    </row>
    <row r="164" spans="1:8" s="3" customFormat="1" x14ac:dyDescent="0.4">
      <c r="A164" s="501"/>
      <c r="B164" s="14"/>
      <c r="C164" s="503"/>
      <c r="D164" s="17">
        <v>0.9</v>
      </c>
      <c r="E164" s="17"/>
      <c r="F164" s="17">
        <v>1.6</v>
      </c>
      <c r="G164" s="4">
        <v>1</v>
      </c>
      <c r="H164" s="24">
        <f t="shared" si="4"/>
        <v>1.4400000000000002</v>
      </c>
    </row>
    <row r="165" spans="1:8" s="3" customFormat="1" x14ac:dyDescent="0.4">
      <c r="A165" s="501"/>
      <c r="B165" s="14"/>
      <c r="C165" s="503"/>
      <c r="D165" s="17">
        <v>1.92</v>
      </c>
      <c r="E165" s="17"/>
      <c r="F165" s="17">
        <v>1.6</v>
      </c>
      <c r="G165" s="4">
        <v>2</v>
      </c>
      <c r="H165" s="24">
        <f t="shared" si="4"/>
        <v>6.1440000000000001</v>
      </c>
    </row>
    <row r="166" spans="1:8" s="3" customFormat="1" x14ac:dyDescent="0.4">
      <c r="A166" s="501"/>
      <c r="B166" s="14"/>
      <c r="C166" s="503"/>
      <c r="D166" s="17">
        <v>0.65</v>
      </c>
      <c r="E166" s="17"/>
      <c r="F166" s="17">
        <v>1.6</v>
      </c>
      <c r="G166" s="4">
        <v>1</v>
      </c>
      <c r="H166" s="24">
        <f t="shared" si="4"/>
        <v>1.04</v>
      </c>
    </row>
    <row r="167" spans="1:8" s="3" customFormat="1" x14ac:dyDescent="0.4">
      <c r="A167" s="501"/>
      <c r="B167" s="14"/>
      <c r="C167" s="503"/>
      <c r="D167" s="17">
        <v>0.77</v>
      </c>
      <c r="E167" s="17"/>
      <c r="F167" s="17">
        <v>1.6</v>
      </c>
      <c r="G167" s="4">
        <v>1</v>
      </c>
      <c r="H167" s="24">
        <f t="shared" si="4"/>
        <v>1.2320000000000002</v>
      </c>
    </row>
    <row r="168" spans="1:8" s="3" customFormat="1" x14ac:dyDescent="0.4">
      <c r="A168" s="501"/>
      <c r="B168" s="14"/>
      <c r="C168" s="503"/>
      <c r="D168" s="17">
        <v>0.12</v>
      </c>
      <c r="E168" s="17"/>
      <c r="F168" s="17">
        <v>1.6</v>
      </c>
      <c r="G168" s="4">
        <v>2</v>
      </c>
      <c r="H168" s="24">
        <f t="shared" si="4"/>
        <v>0.38400000000000001</v>
      </c>
    </row>
    <row r="169" spans="1:8" s="3" customFormat="1" x14ac:dyDescent="0.4">
      <c r="A169" s="501"/>
      <c r="B169" s="14"/>
      <c r="C169" s="503"/>
      <c r="D169" s="17">
        <v>2.1</v>
      </c>
      <c r="E169" s="17"/>
      <c r="F169" s="17">
        <v>1.6</v>
      </c>
      <c r="G169" s="4">
        <v>2</v>
      </c>
      <c r="H169" s="24">
        <f t="shared" si="4"/>
        <v>6.7200000000000006</v>
      </c>
    </row>
    <row r="170" spans="1:8" s="3" customFormat="1" x14ac:dyDescent="0.4">
      <c r="A170" s="501"/>
      <c r="B170" s="14" t="s">
        <v>72</v>
      </c>
      <c r="C170" s="503"/>
      <c r="D170" s="17">
        <v>18.2</v>
      </c>
      <c r="E170" s="17"/>
      <c r="F170" s="17">
        <v>3</v>
      </c>
      <c r="G170" s="4">
        <v>1</v>
      </c>
      <c r="H170" s="24">
        <f t="shared" si="4"/>
        <v>54.599999999999994</v>
      </c>
    </row>
    <row r="171" spans="1:8" s="3" customFormat="1" x14ac:dyDescent="0.4">
      <c r="A171" s="501"/>
      <c r="B171" s="14"/>
      <c r="C171" s="503"/>
      <c r="D171" s="17">
        <v>18.2</v>
      </c>
      <c r="E171" s="17"/>
      <c r="F171" s="17">
        <v>2.5</v>
      </c>
      <c r="G171" s="4">
        <v>1</v>
      </c>
      <c r="H171" s="24">
        <f t="shared" ref="H171:H176" si="5">D171*F171*G171</f>
        <v>45.5</v>
      </c>
    </row>
    <row r="172" spans="1:8" s="3" customFormat="1" x14ac:dyDescent="0.4">
      <c r="A172" s="501"/>
      <c r="B172" s="14"/>
      <c r="C172" s="503"/>
      <c r="D172" s="17">
        <v>5.55</v>
      </c>
      <c r="E172" s="17"/>
      <c r="F172" s="17">
        <v>2.5</v>
      </c>
      <c r="G172" s="4">
        <v>1</v>
      </c>
      <c r="H172" s="24">
        <f t="shared" si="5"/>
        <v>13.875</v>
      </c>
    </row>
    <row r="173" spans="1:8" s="3" customFormat="1" x14ac:dyDescent="0.4">
      <c r="A173" s="501"/>
      <c r="B173" s="14"/>
      <c r="C173" s="503"/>
      <c r="D173" s="17">
        <v>1.44</v>
      </c>
      <c r="E173" s="17"/>
      <c r="F173" s="17">
        <v>3.2</v>
      </c>
      <c r="G173" s="4">
        <v>1</v>
      </c>
      <c r="H173" s="24">
        <f t="shared" si="5"/>
        <v>4.6079999999999997</v>
      </c>
    </row>
    <row r="174" spans="1:8" s="3" customFormat="1" x14ac:dyDescent="0.4">
      <c r="A174" s="501"/>
      <c r="B174" s="14"/>
      <c r="C174" s="503"/>
      <c r="D174" s="17">
        <v>3.35</v>
      </c>
      <c r="E174" s="17"/>
      <c r="F174" s="17">
        <v>3</v>
      </c>
      <c r="G174" s="4">
        <v>1</v>
      </c>
      <c r="H174" s="24">
        <f t="shared" si="5"/>
        <v>10.050000000000001</v>
      </c>
    </row>
    <row r="175" spans="1:8" s="3" customFormat="1" x14ac:dyDescent="0.4">
      <c r="A175" s="501"/>
      <c r="B175" s="14"/>
      <c r="C175" s="503"/>
      <c r="D175" s="6">
        <v>1.55</v>
      </c>
      <c r="E175" s="6"/>
      <c r="F175" s="17">
        <v>2.5</v>
      </c>
      <c r="G175" s="6">
        <v>1</v>
      </c>
      <c r="H175" s="24">
        <f t="shared" si="5"/>
        <v>3.875</v>
      </c>
    </row>
    <row r="176" spans="1:8" s="3" customFormat="1" x14ac:dyDescent="0.4">
      <c r="A176" s="501"/>
      <c r="B176" s="14"/>
      <c r="C176" s="503"/>
      <c r="D176" s="17">
        <v>8.74</v>
      </c>
      <c r="E176" s="17"/>
      <c r="F176" s="17">
        <v>3</v>
      </c>
      <c r="G176" s="4">
        <v>1</v>
      </c>
      <c r="H176" s="24">
        <f t="shared" si="5"/>
        <v>26.22</v>
      </c>
    </row>
    <row r="177" spans="1:8" s="3" customFormat="1" x14ac:dyDescent="0.4">
      <c r="A177" s="501"/>
      <c r="B177" s="14" t="s">
        <v>182</v>
      </c>
      <c r="C177" s="503"/>
      <c r="D177" s="17">
        <v>0.5</v>
      </c>
      <c r="E177" s="17"/>
      <c r="F177" s="17">
        <v>3.2</v>
      </c>
      <c r="G177" s="4">
        <v>8</v>
      </c>
      <c r="H177" s="24">
        <f t="shared" si="4"/>
        <v>12.8</v>
      </c>
    </row>
    <row r="178" spans="1:8" s="3" customFormat="1" x14ac:dyDescent="0.4">
      <c r="A178" s="501"/>
      <c r="B178" s="14"/>
      <c r="C178" s="503"/>
      <c r="D178" s="17">
        <v>0.25</v>
      </c>
      <c r="E178" s="17"/>
      <c r="F178" s="17">
        <v>3.2</v>
      </c>
      <c r="G178" s="4">
        <v>8</v>
      </c>
      <c r="H178" s="24">
        <f t="shared" si="4"/>
        <v>6.4</v>
      </c>
    </row>
    <row r="179" spans="1:8" s="3" customFormat="1" x14ac:dyDescent="0.4">
      <c r="A179" s="501"/>
      <c r="B179" s="14" t="s">
        <v>40</v>
      </c>
      <c r="C179" s="503"/>
      <c r="D179" s="17">
        <v>6</v>
      </c>
      <c r="E179" s="17"/>
      <c r="F179" s="17">
        <v>3.2</v>
      </c>
      <c r="G179" s="4">
        <v>1</v>
      </c>
      <c r="H179" s="24">
        <f t="shared" si="4"/>
        <v>19.200000000000003</v>
      </c>
    </row>
    <row r="180" spans="1:8" s="3" customFormat="1" x14ac:dyDescent="0.4">
      <c r="A180" s="501"/>
      <c r="B180" s="14"/>
      <c r="C180" s="503"/>
      <c r="D180" s="17">
        <v>0.13</v>
      </c>
      <c r="E180" s="17"/>
      <c r="F180" s="17">
        <v>3.2</v>
      </c>
      <c r="G180" s="4">
        <v>2</v>
      </c>
      <c r="H180" s="24">
        <f t="shared" si="4"/>
        <v>0.83200000000000007</v>
      </c>
    </row>
    <row r="181" spans="1:8" s="3" customFormat="1" x14ac:dyDescent="0.4">
      <c r="A181" s="501"/>
      <c r="B181" s="14" t="s">
        <v>39</v>
      </c>
      <c r="C181" s="503"/>
      <c r="D181" s="17">
        <v>4.8499999999999996</v>
      </c>
      <c r="E181" s="17"/>
      <c r="F181" s="17">
        <v>3.2</v>
      </c>
      <c r="G181" s="4">
        <v>1</v>
      </c>
      <c r="H181" s="24">
        <f t="shared" si="4"/>
        <v>15.52</v>
      </c>
    </row>
    <row r="182" spans="1:8" s="3" customFormat="1" x14ac:dyDescent="0.4">
      <c r="A182" s="501"/>
      <c r="B182" s="14"/>
      <c r="C182" s="503"/>
      <c r="D182" s="17">
        <v>3.1</v>
      </c>
      <c r="E182" s="17"/>
      <c r="F182" s="17">
        <v>3.2</v>
      </c>
      <c r="G182" s="4">
        <v>1</v>
      </c>
      <c r="H182" s="24">
        <f t="shared" si="4"/>
        <v>9.9200000000000017</v>
      </c>
    </row>
    <row r="183" spans="1:8" s="3" customFormat="1" x14ac:dyDescent="0.4">
      <c r="A183" s="501"/>
      <c r="B183" s="14"/>
      <c r="C183" s="503"/>
      <c r="D183" s="17">
        <v>0.3</v>
      </c>
      <c r="E183" s="17"/>
      <c r="F183" s="17">
        <v>3.2</v>
      </c>
      <c r="G183" s="4">
        <v>1</v>
      </c>
      <c r="H183" s="24">
        <f t="shared" si="4"/>
        <v>0.96</v>
      </c>
    </row>
    <row r="184" spans="1:8" s="3" customFormat="1" x14ac:dyDescent="0.4">
      <c r="A184" s="501"/>
      <c r="B184" s="14"/>
      <c r="C184" s="503"/>
      <c r="D184" s="17">
        <v>2.65</v>
      </c>
      <c r="E184" s="17"/>
      <c r="F184" s="17">
        <v>3.2</v>
      </c>
      <c r="G184" s="4">
        <v>1</v>
      </c>
      <c r="H184" s="24">
        <f>D184*F184*G184</f>
        <v>8.48</v>
      </c>
    </row>
    <row r="185" spans="1:8" s="3" customFormat="1" x14ac:dyDescent="0.4">
      <c r="A185" s="501"/>
      <c r="B185" s="14" t="s">
        <v>37</v>
      </c>
      <c r="C185" s="503"/>
      <c r="D185" s="17">
        <v>7.45</v>
      </c>
      <c r="E185" s="17"/>
      <c r="F185" s="17">
        <v>3.2</v>
      </c>
      <c r="G185" s="4">
        <v>1</v>
      </c>
      <c r="H185" s="24">
        <f t="shared" si="4"/>
        <v>23.840000000000003</v>
      </c>
    </row>
    <row r="186" spans="1:8" s="3" customFormat="1" x14ac:dyDescent="0.4">
      <c r="A186" s="501"/>
      <c r="B186" s="30" t="s">
        <v>36</v>
      </c>
      <c r="C186" s="503"/>
      <c r="D186" s="17">
        <v>3.6</v>
      </c>
      <c r="E186" s="17"/>
      <c r="F186" s="17">
        <v>3.2</v>
      </c>
      <c r="G186" s="4">
        <v>1</v>
      </c>
      <c r="H186" s="24">
        <f t="shared" si="4"/>
        <v>11.520000000000001</v>
      </c>
    </row>
    <row r="187" spans="1:8" s="3" customFormat="1" x14ac:dyDescent="0.4">
      <c r="A187" s="501"/>
      <c r="B187" s="14" t="s">
        <v>145</v>
      </c>
      <c r="C187" s="503"/>
      <c r="D187" s="17">
        <v>0.25</v>
      </c>
      <c r="E187" s="17"/>
      <c r="F187" s="17">
        <v>3.2</v>
      </c>
      <c r="G187" s="4">
        <v>8</v>
      </c>
      <c r="H187" s="24">
        <f t="shared" si="4"/>
        <v>6.4</v>
      </c>
    </row>
    <row r="188" spans="1:8" s="3" customFormat="1" x14ac:dyDescent="0.4">
      <c r="A188" s="501"/>
      <c r="B188" s="14"/>
      <c r="C188" s="503"/>
      <c r="D188" s="17">
        <v>2.0499999999999998</v>
      </c>
      <c r="E188" s="17"/>
      <c r="F188" s="17">
        <v>3.2</v>
      </c>
      <c r="G188" s="4">
        <v>1</v>
      </c>
      <c r="H188" s="24">
        <f t="shared" si="4"/>
        <v>6.56</v>
      </c>
    </row>
    <row r="189" spans="1:8" s="3" customFormat="1" x14ac:dyDescent="0.4">
      <c r="A189" s="501"/>
      <c r="B189" s="14" t="s">
        <v>37</v>
      </c>
      <c r="C189" s="503"/>
      <c r="D189" s="17">
        <v>4.67</v>
      </c>
      <c r="E189" s="17"/>
      <c r="F189" s="17">
        <v>3.2</v>
      </c>
      <c r="G189" s="4">
        <v>1</v>
      </c>
      <c r="H189" s="24">
        <f t="shared" si="4"/>
        <v>14.944000000000001</v>
      </c>
    </row>
    <row r="190" spans="1:8" s="3" customFormat="1" x14ac:dyDescent="0.4">
      <c r="A190" s="501"/>
      <c r="B190" s="14" t="s">
        <v>38</v>
      </c>
      <c r="C190" s="503"/>
      <c r="D190" s="17">
        <v>16.54</v>
      </c>
      <c r="E190" s="17"/>
      <c r="F190" s="17">
        <v>3.2</v>
      </c>
      <c r="G190" s="4">
        <v>1</v>
      </c>
      <c r="H190" s="24">
        <f>D190*F190*G190</f>
        <v>52.927999999999997</v>
      </c>
    </row>
    <row r="191" spans="1:8" s="3" customFormat="1" x14ac:dyDescent="0.4">
      <c r="A191" s="501"/>
      <c r="B191" s="14" t="s">
        <v>38</v>
      </c>
      <c r="C191" s="503"/>
      <c r="D191" s="17">
        <v>21.14</v>
      </c>
      <c r="E191" s="17"/>
      <c r="F191" s="17">
        <v>3.2</v>
      </c>
      <c r="G191" s="4">
        <v>1</v>
      </c>
      <c r="H191" s="24">
        <f t="shared" si="4"/>
        <v>67.64800000000001</v>
      </c>
    </row>
    <row r="192" spans="1:8" s="3" customFormat="1" x14ac:dyDescent="0.4">
      <c r="A192" s="501"/>
      <c r="B192" s="14" t="s">
        <v>38</v>
      </c>
      <c r="C192" s="503"/>
      <c r="D192" s="17">
        <v>1.33</v>
      </c>
      <c r="E192" s="17"/>
      <c r="F192" s="17">
        <v>3.2</v>
      </c>
      <c r="G192" s="4">
        <v>1</v>
      </c>
      <c r="H192" s="24">
        <f t="shared" si="4"/>
        <v>4.2560000000000002</v>
      </c>
    </row>
    <row r="193" spans="1:8" s="3" customFormat="1" x14ac:dyDescent="0.4">
      <c r="A193" s="501"/>
      <c r="B193" s="14" t="s">
        <v>84</v>
      </c>
      <c r="C193" s="503"/>
      <c r="D193" s="17">
        <v>7.1</v>
      </c>
      <c r="E193" s="17"/>
      <c r="F193" s="17">
        <v>3.2</v>
      </c>
      <c r="G193" s="4">
        <v>4</v>
      </c>
      <c r="H193" s="24">
        <f t="shared" si="4"/>
        <v>90.88</v>
      </c>
    </row>
    <row r="194" spans="1:8" s="3" customFormat="1" x14ac:dyDescent="0.4">
      <c r="A194" s="501"/>
      <c r="B194" s="14"/>
      <c r="C194" s="503"/>
      <c r="D194" s="17">
        <v>2.3199999999999998</v>
      </c>
      <c r="E194" s="17"/>
      <c r="F194" s="17">
        <v>3.2</v>
      </c>
      <c r="G194" s="4">
        <v>1</v>
      </c>
      <c r="H194" s="24">
        <f t="shared" si="4"/>
        <v>7.4239999999999995</v>
      </c>
    </row>
    <row r="195" spans="1:8" s="3" customFormat="1" x14ac:dyDescent="0.4">
      <c r="A195" s="501"/>
      <c r="B195" s="14"/>
      <c r="C195" s="503"/>
      <c r="D195" s="17">
        <v>2.71</v>
      </c>
      <c r="E195" s="17"/>
      <c r="F195" s="17">
        <v>3.2</v>
      </c>
      <c r="G195" s="4">
        <v>1</v>
      </c>
      <c r="H195" s="24">
        <f>D195*F195*G195</f>
        <v>8.6720000000000006</v>
      </c>
    </row>
    <row r="196" spans="1:8" s="3" customFormat="1" x14ac:dyDescent="0.4">
      <c r="A196" s="501"/>
      <c r="B196" s="14"/>
      <c r="C196" s="503"/>
      <c r="D196" s="17">
        <v>1.4</v>
      </c>
      <c r="E196" s="17"/>
      <c r="F196" s="17">
        <v>3.2</v>
      </c>
      <c r="G196" s="4">
        <v>1</v>
      </c>
      <c r="H196" s="24">
        <f t="shared" si="4"/>
        <v>4.4799999999999995</v>
      </c>
    </row>
    <row r="197" spans="1:8" s="3" customFormat="1" x14ac:dyDescent="0.4">
      <c r="A197" s="501"/>
      <c r="B197" s="14"/>
      <c r="C197" s="503"/>
      <c r="D197" s="17">
        <v>1.5</v>
      </c>
      <c r="E197" s="17"/>
      <c r="F197" s="17">
        <v>3.2</v>
      </c>
      <c r="G197" s="4">
        <v>1</v>
      </c>
      <c r="H197" s="24">
        <f>D197*F197*G197</f>
        <v>4.8000000000000007</v>
      </c>
    </row>
    <row r="198" spans="1:8" s="3" customFormat="1" x14ac:dyDescent="0.4">
      <c r="A198" s="501"/>
      <c r="B198" s="14"/>
      <c r="C198" s="503"/>
      <c r="D198" s="17">
        <v>0.8</v>
      </c>
      <c r="E198" s="17"/>
      <c r="F198" s="17">
        <v>3.2</v>
      </c>
      <c r="G198" s="4">
        <v>1</v>
      </c>
      <c r="H198" s="24">
        <f t="shared" si="4"/>
        <v>2.5600000000000005</v>
      </c>
    </row>
    <row r="199" spans="1:8" s="3" customFormat="1" x14ac:dyDescent="0.4">
      <c r="A199" s="501"/>
      <c r="B199" s="14"/>
      <c r="C199" s="503"/>
      <c r="D199" s="17">
        <v>0.5</v>
      </c>
      <c r="E199" s="17"/>
      <c r="F199" s="17">
        <v>3.2</v>
      </c>
      <c r="G199" s="4">
        <v>1</v>
      </c>
      <c r="H199" s="24">
        <f>D199*F199*G199</f>
        <v>1.6</v>
      </c>
    </row>
    <row r="200" spans="1:8" s="3" customFormat="1" x14ac:dyDescent="0.4">
      <c r="A200" s="501"/>
      <c r="B200" s="14"/>
      <c r="C200" s="503"/>
      <c r="D200" s="17">
        <v>1.7</v>
      </c>
      <c r="E200" s="17"/>
      <c r="F200" s="17">
        <v>3.2</v>
      </c>
      <c r="G200" s="4">
        <v>2</v>
      </c>
      <c r="H200" s="24">
        <f>D200*F200*G200</f>
        <v>10.88</v>
      </c>
    </row>
    <row r="201" spans="1:8" s="3" customFormat="1" x14ac:dyDescent="0.4">
      <c r="A201" s="501"/>
      <c r="B201" s="14" t="s">
        <v>47</v>
      </c>
      <c r="C201" s="503"/>
      <c r="D201" s="17">
        <v>1.5</v>
      </c>
      <c r="E201" s="17"/>
      <c r="F201" s="17">
        <v>3.2</v>
      </c>
      <c r="G201" s="4">
        <v>2</v>
      </c>
      <c r="H201" s="24">
        <f t="shared" si="4"/>
        <v>9.6000000000000014</v>
      </c>
    </row>
    <row r="202" spans="1:8" s="3" customFormat="1" x14ac:dyDescent="0.4">
      <c r="A202" s="501"/>
      <c r="B202" s="14"/>
      <c r="C202" s="503"/>
      <c r="D202" s="17">
        <v>2.11</v>
      </c>
      <c r="E202" s="17"/>
      <c r="F202" s="17">
        <v>3.2</v>
      </c>
      <c r="G202" s="4">
        <v>2</v>
      </c>
      <c r="H202" s="24">
        <f t="shared" si="4"/>
        <v>13.504</v>
      </c>
    </row>
    <row r="203" spans="1:8" s="3" customFormat="1" x14ac:dyDescent="0.4">
      <c r="A203" s="501"/>
      <c r="B203" s="14" t="s">
        <v>48</v>
      </c>
      <c r="C203" s="503"/>
      <c r="D203" s="17">
        <v>3.33</v>
      </c>
      <c r="E203" s="17"/>
      <c r="F203" s="17">
        <v>3.2</v>
      </c>
      <c r="G203" s="4">
        <v>2</v>
      </c>
      <c r="H203" s="24">
        <f t="shared" si="4"/>
        <v>21.312000000000001</v>
      </c>
    </row>
    <row r="204" spans="1:8" s="3" customFormat="1" x14ac:dyDescent="0.4">
      <c r="A204" s="501"/>
      <c r="B204" s="14"/>
      <c r="C204" s="503"/>
      <c r="D204" s="17">
        <v>3.31</v>
      </c>
      <c r="E204" s="17"/>
      <c r="F204" s="17">
        <v>3.2</v>
      </c>
      <c r="G204" s="4">
        <v>2</v>
      </c>
      <c r="H204" s="24">
        <f t="shared" si="4"/>
        <v>21.184000000000001</v>
      </c>
    </row>
    <row r="205" spans="1:8" s="3" customFormat="1" x14ac:dyDescent="0.4">
      <c r="A205" s="501"/>
      <c r="B205" s="14" t="s">
        <v>50</v>
      </c>
      <c r="C205" s="503"/>
      <c r="D205" s="17">
        <v>1</v>
      </c>
      <c r="E205" s="17"/>
      <c r="F205" s="17">
        <v>3.2</v>
      </c>
      <c r="G205" s="4">
        <v>2</v>
      </c>
      <c r="H205" s="24">
        <f t="shared" ref="H205:H234" si="6">D205*F205*G205</f>
        <v>6.4</v>
      </c>
    </row>
    <row r="206" spans="1:8" s="3" customFormat="1" x14ac:dyDescent="0.4">
      <c r="A206" s="501"/>
      <c r="B206" s="14" t="s">
        <v>51</v>
      </c>
      <c r="C206" s="503"/>
      <c r="D206" s="17">
        <v>1.2</v>
      </c>
      <c r="E206" s="17"/>
      <c r="F206" s="17">
        <v>3.2</v>
      </c>
      <c r="G206" s="4">
        <v>2</v>
      </c>
      <c r="H206" s="24">
        <f t="shared" si="6"/>
        <v>7.68</v>
      </c>
    </row>
    <row r="207" spans="1:8" s="3" customFormat="1" x14ac:dyDescent="0.4">
      <c r="A207" s="501"/>
      <c r="B207" s="14" t="s">
        <v>49</v>
      </c>
      <c r="C207" s="503"/>
      <c r="D207" s="17">
        <v>0.95</v>
      </c>
      <c r="E207" s="17"/>
      <c r="F207" s="17">
        <v>3.2</v>
      </c>
      <c r="G207" s="4">
        <v>2</v>
      </c>
      <c r="H207" s="24">
        <f t="shared" si="6"/>
        <v>6.08</v>
      </c>
    </row>
    <row r="208" spans="1:8" s="3" customFormat="1" x14ac:dyDescent="0.4">
      <c r="A208" s="501"/>
      <c r="B208" s="14"/>
      <c r="C208" s="503"/>
      <c r="D208" s="17">
        <v>1.57</v>
      </c>
      <c r="E208" s="17"/>
      <c r="F208" s="17">
        <v>3.2</v>
      </c>
      <c r="G208" s="4">
        <v>6</v>
      </c>
      <c r="H208" s="24">
        <f t="shared" si="6"/>
        <v>30.144000000000005</v>
      </c>
    </row>
    <row r="209" spans="1:8" s="3" customFormat="1" x14ac:dyDescent="0.4">
      <c r="A209" s="501"/>
      <c r="B209" s="14" t="s">
        <v>52</v>
      </c>
      <c r="C209" s="503"/>
      <c r="D209" s="17">
        <v>4.45</v>
      </c>
      <c r="E209" s="17"/>
      <c r="F209" s="17">
        <v>3.2</v>
      </c>
      <c r="G209" s="4">
        <v>2</v>
      </c>
      <c r="H209" s="24">
        <f t="shared" si="6"/>
        <v>28.480000000000004</v>
      </c>
    </row>
    <row r="210" spans="1:8" s="3" customFormat="1" x14ac:dyDescent="0.4">
      <c r="A210" s="501"/>
      <c r="B210" s="14"/>
      <c r="C210" s="503"/>
      <c r="D210" s="17">
        <v>2.09</v>
      </c>
      <c r="E210" s="17"/>
      <c r="F210" s="17">
        <v>3.2</v>
      </c>
      <c r="G210" s="4">
        <v>2</v>
      </c>
      <c r="H210" s="24">
        <f t="shared" si="6"/>
        <v>13.375999999999999</v>
      </c>
    </row>
    <row r="211" spans="1:8" s="3" customFormat="1" x14ac:dyDescent="0.4">
      <c r="A211" s="501"/>
      <c r="B211" s="14" t="s">
        <v>38</v>
      </c>
      <c r="C211" s="503"/>
      <c r="D211" s="17">
        <v>5.1100000000000003</v>
      </c>
      <c r="E211" s="17"/>
      <c r="F211" s="17">
        <v>3.2</v>
      </c>
      <c r="G211" s="4">
        <v>2</v>
      </c>
      <c r="H211" s="24">
        <f t="shared" si="6"/>
        <v>32.704000000000001</v>
      </c>
    </row>
    <row r="212" spans="1:8" s="3" customFormat="1" x14ac:dyDescent="0.4">
      <c r="A212" s="501"/>
      <c r="B212" s="14"/>
      <c r="C212" s="503"/>
      <c r="D212" s="17">
        <v>1.02</v>
      </c>
      <c r="E212" s="17"/>
      <c r="F212" s="17">
        <v>3.2</v>
      </c>
      <c r="G212" s="4">
        <v>2</v>
      </c>
      <c r="H212" s="24">
        <f t="shared" si="6"/>
        <v>6.5280000000000005</v>
      </c>
    </row>
    <row r="213" spans="1:8" s="3" customFormat="1" x14ac:dyDescent="0.4">
      <c r="A213" s="501"/>
      <c r="B213" s="14" t="s">
        <v>53</v>
      </c>
      <c r="C213" s="503"/>
      <c r="D213" s="17">
        <v>3.33</v>
      </c>
      <c r="E213" s="17"/>
      <c r="F213" s="17">
        <v>3.2</v>
      </c>
      <c r="G213" s="4">
        <v>2</v>
      </c>
      <c r="H213" s="24">
        <f t="shared" si="6"/>
        <v>21.312000000000001</v>
      </c>
    </row>
    <row r="214" spans="1:8" s="3" customFormat="1" x14ac:dyDescent="0.4">
      <c r="A214" s="501"/>
      <c r="B214" s="14"/>
      <c r="C214" s="503"/>
      <c r="D214" s="17">
        <v>3.75</v>
      </c>
      <c r="E214" s="17"/>
      <c r="F214" s="17">
        <v>3.2</v>
      </c>
      <c r="G214" s="4">
        <v>2</v>
      </c>
      <c r="H214" s="24">
        <f t="shared" si="6"/>
        <v>24</v>
      </c>
    </row>
    <row r="215" spans="1:8" s="3" customFormat="1" x14ac:dyDescent="0.4">
      <c r="A215" s="501"/>
      <c r="B215" s="14" t="s">
        <v>54</v>
      </c>
      <c r="C215" s="503"/>
      <c r="D215" s="17">
        <v>3.33</v>
      </c>
      <c r="E215" s="17"/>
      <c r="F215" s="17">
        <v>3.2</v>
      </c>
      <c r="G215" s="4">
        <v>4</v>
      </c>
      <c r="H215" s="24">
        <f t="shared" si="6"/>
        <v>42.624000000000002</v>
      </c>
    </row>
    <row r="216" spans="1:8" s="3" customFormat="1" x14ac:dyDescent="0.4">
      <c r="A216" s="501"/>
      <c r="B216" s="14" t="s">
        <v>55</v>
      </c>
      <c r="C216" s="503"/>
      <c r="D216" s="17">
        <v>3.33</v>
      </c>
      <c r="E216" s="17"/>
      <c r="F216" s="17">
        <v>3.2</v>
      </c>
      <c r="G216" s="4">
        <v>2</v>
      </c>
      <c r="H216" s="24">
        <f t="shared" si="6"/>
        <v>21.312000000000001</v>
      </c>
    </row>
    <row r="217" spans="1:8" s="3" customFormat="1" x14ac:dyDescent="0.4">
      <c r="A217" s="501"/>
      <c r="B217" s="14"/>
      <c r="C217" s="503"/>
      <c r="D217" s="17">
        <v>3</v>
      </c>
      <c r="E217" s="17"/>
      <c r="F217" s="17">
        <v>3.2</v>
      </c>
      <c r="G217" s="4">
        <v>2</v>
      </c>
      <c r="H217" s="24">
        <f t="shared" si="6"/>
        <v>19.200000000000003</v>
      </c>
    </row>
    <row r="218" spans="1:8" s="3" customFormat="1" x14ac:dyDescent="0.4">
      <c r="A218" s="501"/>
      <c r="B218" s="14" t="s">
        <v>56</v>
      </c>
      <c r="C218" s="503"/>
      <c r="D218" s="17">
        <v>3.33</v>
      </c>
      <c r="E218" s="17"/>
      <c r="F218" s="17">
        <v>3.2</v>
      </c>
      <c r="G218" s="4">
        <v>2</v>
      </c>
      <c r="H218" s="24">
        <f t="shared" si="6"/>
        <v>21.312000000000001</v>
      </c>
    </row>
    <row r="219" spans="1:8" s="3" customFormat="1" x14ac:dyDescent="0.4">
      <c r="A219" s="501"/>
      <c r="B219" s="14"/>
      <c r="C219" s="503"/>
      <c r="D219" s="17">
        <v>3.75</v>
      </c>
      <c r="E219" s="17"/>
      <c r="F219" s="17">
        <v>3.2</v>
      </c>
      <c r="G219" s="4">
        <v>2</v>
      </c>
      <c r="H219" s="24">
        <f t="shared" si="6"/>
        <v>24</v>
      </c>
    </row>
    <row r="220" spans="1:8" s="3" customFormat="1" x14ac:dyDescent="0.4">
      <c r="A220" s="501"/>
      <c r="B220" s="14" t="s">
        <v>57</v>
      </c>
      <c r="C220" s="503"/>
      <c r="D220" s="17">
        <v>6.42</v>
      </c>
      <c r="E220" s="17"/>
      <c r="F220" s="17">
        <v>2.5</v>
      </c>
      <c r="G220" s="4">
        <v>2</v>
      </c>
      <c r="H220" s="24">
        <f t="shared" si="6"/>
        <v>32.1</v>
      </c>
    </row>
    <row r="221" spans="1:8" s="3" customFormat="1" x14ac:dyDescent="0.4">
      <c r="A221" s="501"/>
      <c r="B221" s="14"/>
      <c r="C221" s="503"/>
      <c r="D221" s="17">
        <v>3.4</v>
      </c>
      <c r="E221" s="17"/>
      <c r="F221" s="17">
        <v>2.5</v>
      </c>
      <c r="G221" s="4">
        <v>2</v>
      </c>
      <c r="H221" s="24">
        <f t="shared" si="6"/>
        <v>17</v>
      </c>
    </row>
    <row r="222" spans="1:8" s="3" customFormat="1" x14ac:dyDescent="0.4">
      <c r="A222" s="501"/>
      <c r="B222" s="14"/>
      <c r="C222" s="503"/>
      <c r="D222" s="17">
        <v>1</v>
      </c>
      <c r="E222" s="17"/>
      <c r="F222" s="17">
        <v>2.5</v>
      </c>
      <c r="G222" s="4">
        <v>2</v>
      </c>
      <c r="H222" s="24">
        <f t="shared" si="6"/>
        <v>5</v>
      </c>
    </row>
    <row r="223" spans="1:8" s="3" customFormat="1" x14ac:dyDescent="0.4">
      <c r="A223" s="501"/>
      <c r="B223" s="14" t="s">
        <v>58</v>
      </c>
      <c r="C223" s="503"/>
      <c r="D223" s="17">
        <v>3.18</v>
      </c>
      <c r="E223" s="17"/>
      <c r="F223" s="17">
        <v>3.2</v>
      </c>
      <c r="G223" s="4">
        <v>2</v>
      </c>
      <c r="H223" s="24">
        <f t="shared" si="6"/>
        <v>20.352000000000004</v>
      </c>
    </row>
    <row r="224" spans="1:8" s="3" customFormat="1" x14ac:dyDescent="0.4">
      <c r="A224" s="501"/>
      <c r="B224" s="14"/>
      <c r="C224" s="503"/>
      <c r="D224" s="17">
        <v>3</v>
      </c>
      <c r="E224" s="17"/>
      <c r="F224" s="17">
        <v>3.2</v>
      </c>
      <c r="G224" s="4">
        <v>2</v>
      </c>
      <c r="H224" s="24">
        <f t="shared" si="6"/>
        <v>19.200000000000003</v>
      </c>
    </row>
    <row r="225" spans="1:8" s="3" customFormat="1" x14ac:dyDescent="0.4">
      <c r="A225" s="501"/>
      <c r="B225" s="14" t="s">
        <v>59</v>
      </c>
      <c r="C225" s="503"/>
      <c r="D225" s="17">
        <v>3.27</v>
      </c>
      <c r="E225" s="17"/>
      <c r="F225" s="17">
        <v>3.2</v>
      </c>
      <c r="G225" s="4">
        <v>2</v>
      </c>
      <c r="H225" s="24">
        <f t="shared" si="6"/>
        <v>20.928000000000001</v>
      </c>
    </row>
    <row r="226" spans="1:8" s="3" customFormat="1" x14ac:dyDescent="0.4">
      <c r="A226" s="501"/>
      <c r="B226" s="14"/>
      <c r="C226" s="503"/>
      <c r="D226" s="17">
        <v>3.13</v>
      </c>
      <c r="E226" s="17"/>
      <c r="F226" s="17">
        <v>3.2</v>
      </c>
      <c r="G226" s="4">
        <v>2</v>
      </c>
      <c r="H226" s="24">
        <f t="shared" si="6"/>
        <v>20.032</v>
      </c>
    </row>
    <row r="227" spans="1:8" s="3" customFormat="1" x14ac:dyDescent="0.4">
      <c r="A227" s="501"/>
      <c r="B227" s="14" t="s">
        <v>60</v>
      </c>
      <c r="C227" s="503"/>
      <c r="D227" s="17">
        <v>2.2400000000000002</v>
      </c>
      <c r="E227" s="17"/>
      <c r="F227" s="17">
        <v>3.2</v>
      </c>
      <c r="G227" s="4">
        <v>2</v>
      </c>
      <c r="H227" s="24">
        <f t="shared" si="6"/>
        <v>14.336000000000002</v>
      </c>
    </row>
    <row r="228" spans="1:8" s="3" customFormat="1" x14ac:dyDescent="0.4">
      <c r="A228" s="501"/>
      <c r="B228" s="14"/>
      <c r="C228" s="503"/>
      <c r="D228" s="17">
        <v>2.4</v>
      </c>
      <c r="E228" s="17"/>
      <c r="F228" s="17">
        <v>3.2</v>
      </c>
      <c r="G228" s="4">
        <v>2</v>
      </c>
      <c r="H228" s="24">
        <f t="shared" si="6"/>
        <v>15.36</v>
      </c>
    </row>
    <row r="229" spans="1:8" s="3" customFormat="1" x14ac:dyDescent="0.4">
      <c r="A229" s="501"/>
      <c r="B229" s="14" t="s">
        <v>34</v>
      </c>
      <c r="C229" s="503"/>
      <c r="D229" s="17">
        <v>6.01</v>
      </c>
      <c r="E229" s="17"/>
      <c r="F229" s="17">
        <v>3.2</v>
      </c>
      <c r="G229" s="4">
        <v>2</v>
      </c>
      <c r="H229" s="24">
        <f t="shared" si="6"/>
        <v>38.463999999999999</v>
      </c>
    </row>
    <row r="230" spans="1:8" s="3" customFormat="1" x14ac:dyDescent="0.4">
      <c r="A230" s="501"/>
      <c r="B230" s="14"/>
      <c r="C230" s="503"/>
      <c r="D230" s="17">
        <v>4.07</v>
      </c>
      <c r="E230" s="17"/>
      <c r="F230" s="17">
        <v>3.2</v>
      </c>
      <c r="G230" s="4">
        <v>2</v>
      </c>
      <c r="H230" s="24">
        <f t="shared" si="6"/>
        <v>26.048000000000002</v>
      </c>
    </row>
    <row r="231" spans="1:8" s="3" customFormat="1" x14ac:dyDescent="0.4">
      <c r="A231" s="501"/>
      <c r="B231" s="14" t="s">
        <v>61</v>
      </c>
      <c r="C231" s="503"/>
      <c r="D231" s="17">
        <v>10.44</v>
      </c>
      <c r="E231" s="17"/>
      <c r="F231" s="17">
        <v>3.2</v>
      </c>
      <c r="G231" s="4">
        <v>2</v>
      </c>
      <c r="H231" s="24">
        <f t="shared" si="6"/>
        <v>66.816000000000003</v>
      </c>
    </row>
    <row r="232" spans="1:8" s="3" customFormat="1" x14ac:dyDescent="0.4">
      <c r="A232" s="501"/>
      <c r="B232" s="14"/>
      <c r="C232" s="503"/>
      <c r="D232" s="17">
        <v>3.72</v>
      </c>
      <c r="E232" s="17"/>
      <c r="F232" s="17">
        <v>3.2</v>
      </c>
      <c r="G232" s="4">
        <v>2</v>
      </c>
      <c r="H232" s="24">
        <f t="shared" si="6"/>
        <v>23.808000000000003</v>
      </c>
    </row>
    <row r="233" spans="1:8" s="3" customFormat="1" x14ac:dyDescent="0.4">
      <c r="A233" s="501"/>
      <c r="B233" s="14" t="s">
        <v>38</v>
      </c>
      <c r="C233" s="503"/>
      <c r="D233" s="17">
        <v>4.08</v>
      </c>
      <c r="E233" s="17"/>
      <c r="F233" s="17">
        <v>3.2</v>
      </c>
      <c r="G233" s="4">
        <v>2</v>
      </c>
      <c r="H233" s="24">
        <f t="shared" si="6"/>
        <v>26.112000000000002</v>
      </c>
    </row>
    <row r="234" spans="1:8" s="3" customFormat="1" x14ac:dyDescent="0.4">
      <c r="A234" s="501"/>
      <c r="B234" s="14"/>
      <c r="C234" s="503"/>
      <c r="D234" s="17">
        <v>1.2</v>
      </c>
      <c r="E234" s="17"/>
      <c r="F234" s="17">
        <v>3.2</v>
      </c>
      <c r="G234" s="4">
        <v>2</v>
      </c>
      <c r="H234" s="24">
        <f t="shared" si="6"/>
        <v>7.68</v>
      </c>
    </row>
    <row r="235" spans="1:8" s="3" customFormat="1" x14ac:dyDescent="0.4">
      <c r="A235" s="501"/>
      <c r="B235" s="14" t="s">
        <v>16</v>
      </c>
      <c r="C235" s="503"/>
      <c r="D235" s="17"/>
      <c r="E235" s="17"/>
      <c r="F235" s="17"/>
      <c r="G235" s="4"/>
      <c r="H235" s="24"/>
    </row>
    <row r="236" spans="1:8" s="3" customFormat="1" x14ac:dyDescent="0.4">
      <c r="A236" s="501"/>
      <c r="B236" s="14" t="s">
        <v>63</v>
      </c>
      <c r="C236" s="503"/>
      <c r="D236" s="8">
        <v>0.9</v>
      </c>
      <c r="E236" s="17"/>
      <c r="F236" s="8">
        <v>3</v>
      </c>
      <c r="G236" s="7">
        <v>3</v>
      </c>
      <c r="H236" s="24">
        <f>-D236*F236*G236</f>
        <v>-8.1000000000000014</v>
      </c>
    </row>
    <row r="237" spans="1:8" s="3" customFormat="1" x14ac:dyDescent="0.4">
      <c r="A237" s="501"/>
      <c r="B237" s="14"/>
      <c r="C237" s="503"/>
      <c r="D237" s="17">
        <v>3.6</v>
      </c>
      <c r="E237" s="17"/>
      <c r="F237" s="17">
        <v>0.65</v>
      </c>
      <c r="G237" s="6">
        <v>3</v>
      </c>
      <c r="H237" s="24">
        <f t="shared" ref="H237:H243" si="7">-D237*F237*G237</f>
        <v>-7.0200000000000014</v>
      </c>
    </row>
    <row r="238" spans="1:8" s="3" customFormat="1" x14ac:dyDescent="0.4">
      <c r="A238" s="501"/>
      <c r="B238" s="14"/>
      <c r="C238" s="503"/>
      <c r="D238" s="17">
        <v>3.6</v>
      </c>
      <c r="E238" s="17"/>
      <c r="F238" s="17">
        <v>2.85</v>
      </c>
      <c r="G238" s="6">
        <v>6</v>
      </c>
      <c r="H238" s="24">
        <f t="shared" si="7"/>
        <v>-61.56</v>
      </c>
    </row>
    <row r="239" spans="1:8" s="3" customFormat="1" x14ac:dyDescent="0.4">
      <c r="A239" s="501"/>
      <c r="B239" s="14"/>
      <c r="C239" s="503"/>
      <c r="D239" s="17">
        <v>0.9</v>
      </c>
      <c r="E239" s="17"/>
      <c r="F239" s="17">
        <v>2.85</v>
      </c>
      <c r="G239" s="6">
        <v>1</v>
      </c>
      <c r="H239" s="24">
        <f t="shared" si="7"/>
        <v>-2.5649999999999999</v>
      </c>
    </row>
    <row r="240" spans="1:8" s="3" customFormat="1" x14ac:dyDescent="0.4">
      <c r="A240" s="501"/>
      <c r="B240" s="14"/>
      <c r="C240" s="503"/>
      <c r="D240" s="17">
        <v>4</v>
      </c>
      <c r="E240" s="17"/>
      <c r="F240" s="17">
        <v>2.85</v>
      </c>
      <c r="G240" s="6">
        <v>1</v>
      </c>
      <c r="H240" s="24">
        <f t="shared" si="7"/>
        <v>-11.4</v>
      </c>
    </row>
    <row r="241" spans="1:8" s="3" customFormat="1" x14ac:dyDescent="0.4">
      <c r="A241" s="501"/>
      <c r="B241" s="14"/>
      <c r="C241" s="503"/>
      <c r="D241" s="17">
        <v>2.2000000000000002</v>
      </c>
      <c r="E241" s="17"/>
      <c r="F241" s="17">
        <v>2.2000000000000002</v>
      </c>
      <c r="G241" s="6">
        <v>1</v>
      </c>
      <c r="H241" s="24">
        <f t="shared" si="7"/>
        <v>-4.8400000000000007</v>
      </c>
    </row>
    <row r="242" spans="1:8" s="3" customFormat="1" x14ac:dyDescent="0.4">
      <c r="A242" s="501"/>
      <c r="B242" s="14" t="s">
        <v>27</v>
      </c>
      <c r="C242" s="503"/>
      <c r="D242" s="17">
        <v>1.8</v>
      </c>
      <c r="E242" s="17"/>
      <c r="F242" s="17">
        <v>2.1</v>
      </c>
      <c r="G242" s="6">
        <v>3</v>
      </c>
      <c r="H242" s="24">
        <f t="shared" si="7"/>
        <v>-11.34</v>
      </c>
    </row>
    <row r="243" spans="1:8" s="3" customFormat="1" x14ac:dyDescent="0.4">
      <c r="A243" s="501"/>
      <c r="B243" s="14"/>
      <c r="C243" s="503"/>
      <c r="D243" s="17">
        <v>1.6</v>
      </c>
      <c r="E243" s="17"/>
      <c r="F243" s="17">
        <v>2.1</v>
      </c>
      <c r="G243" s="6">
        <v>1</v>
      </c>
      <c r="H243" s="24">
        <f t="shared" si="7"/>
        <v>-3.3600000000000003</v>
      </c>
    </row>
    <row r="244" spans="1:8" s="3" customFormat="1" x14ac:dyDescent="0.4">
      <c r="A244" s="501"/>
      <c r="B244" s="14"/>
      <c r="C244" s="503"/>
      <c r="D244" s="17">
        <v>0.8</v>
      </c>
      <c r="E244" s="17"/>
      <c r="F244" s="17">
        <v>2</v>
      </c>
      <c r="G244" s="6">
        <v>30</v>
      </c>
      <c r="H244" s="13">
        <f>-D244*F244*G244</f>
        <v>-48</v>
      </c>
    </row>
    <row r="245" spans="1:8" s="3" customFormat="1" x14ac:dyDescent="0.4">
      <c r="A245" s="501"/>
      <c r="B245" s="14"/>
      <c r="C245" s="503"/>
      <c r="D245" s="17">
        <v>0.75</v>
      </c>
      <c r="E245" s="17"/>
      <c r="F245" s="17">
        <v>1.5</v>
      </c>
      <c r="G245" s="6">
        <v>6</v>
      </c>
      <c r="H245" s="13">
        <f>-D245*F245*G245</f>
        <v>-6.75</v>
      </c>
    </row>
    <row r="246" spans="1:8" s="3" customFormat="1" x14ac:dyDescent="0.4">
      <c r="A246" s="501"/>
      <c r="B246" s="14"/>
      <c r="C246" s="503"/>
      <c r="D246" s="17">
        <v>0.9</v>
      </c>
      <c r="E246" s="17"/>
      <c r="F246" s="17">
        <v>2</v>
      </c>
      <c r="G246" s="6">
        <v>20</v>
      </c>
      <c r="H246" s="13">
        <f>-D246*F246*G246</f>
        <v>-36</v>
      </c>
    </row>
    <row r="247" spans="1:8" s="3" customFormat="1" x14ac:dyDescent="0.4">
      <c r="A247" s="501"/>
      <c r="B247" s="14"/>
      <c r="C247" s="503"/>
      <c r="D247" s="17">
        <v>1</v>
      </c>
      <c r="E247" s="17"/>
      <c r="F247" s="17">
        <v>2</v>
      </c>
      <c r="G247" s="6">
        <v>6</v>
      </c>
      <c r="H247" s="13">
        <f>-D247*F247*G247</f>
        <v>-12</v>
      </c>
    </row>
    <row r="248" spans="1:8" s="3" customFormat="1" x14ac:dyDescent="0.4">
      <c r="A248" s="501"/>
      <c r="B248" s="14"/>
      <c r="C248" s="503"/>
      <c r="D248" s="17">
        <v>2.2000000000000002</v>
      </c>
      <c r="E248" s="17"/>
      <c r="F248" s="17">
        <v>1.2</v>
      </c>
      <c r="G248" s="6">
        <v>2</v>
      </c>
      <c r="H248" s="13">
        <f>-D248*F248*G248</f>
        <v>-5.28</v>
      </c>
    </row>
    <row r="249" spans="1:8" s="3" customFormat="1" x14ac:dyDescent="0.4">
      <c r="A249" s="501"/>
      <c r="B249" s="14"/>
      <c r="C249" s="503"/>
      <c r="D249" s="17"/>
      <c r="E249" s="17"/>
      <c r="F249" s="17"/>
      <c r="G249" s="4"/>
      <c r="H249" s="24"/>
    </row>
    <row r="250" spans="1:8" s="3" customFormat="1" x14ac:dyDescent="0.4">
      <c r="A250" s="501"/>
      <c r="B250" s="35"/>
      <c r="C250" s="26"/>
      <c r="D250" s="44"/>
      <c r="E250" s="44"/>
      <c r="F250" s="44"/>
      <c r="G250" s="21" t="s">
        <v>64</v>
      </c>
      <c r="H250" s="23">
        <f>SUM(H142:H249)</f>
        <v>1468.3390000000002</v>
      </c>
    </row>
    <row r="251" spans="1:8" s="3" customFormat="1" x14ac:dyDescent="0.4">
      <c r="A251" s="121"/>
      <c r="B251" s="99"/>
      <c r="C251" s="98"/>
      <c r="D251" s="56"/>
      <c r="E251" s="56"/>
      <c r="F251" s="56"/>
      <c r="G251" s="67"/>
      <c r="H251" s="60"/>
    </row>
    <row r="252" spans="1:8" s="15" customFormat="1" x14ac:dyDescent="0.4">
      <c r="A252" s="501">
        <v>11</v>
      </c>
      <c r="B252" s="11" t="s">
        <v>65</v>
      </c>
      <c r="C252" s="503" t="s">
        <v>1</v>
      </c>
      <c r="D252" s="112"/>
      <c r="E252" s="112"/>
      <c r="F252" s="112"/>
      <c r="G252" s="54"/>
      <c r="H252" s="58"/>
    </row>
    <row r="253" spans="1:8" s="15" customFormat="1" x14ac:dyDescent="0.4">
      <c r="A253" s="501"/>
      <c r="B253" s="5" t="s">
        <v>32</v>
      </c>
      <c r="C253" s="503"/>
      <c r="D253" s="8"/>
      <c r="E253" s="8"/>
      <c r="F253" s="8"/>
      <c r="G253" s="9"/>
      <c r="H253" s="13">
        <v>2.85</v>
      </c>
    </row>
    <row r="254" spans="1:8" s="15" customFormat="1" x14ac:dyDescent="0.4">
      <c r="A254" s="501"/>
      <c r="B254" s="5" t="s">
        <v>38</v>
      </c>
      <c r="C254" s="503"/>
      <c r="D254" s="16"/>
      <c r="E254" s="16"/>
      <c r="F254" s="16"/>
      <c r="G254" s="18"/>
      <c r="H254" s="13">
        <v>51.63</v>
      </c>
    </row>
    <row r="255" spans="1:8" s="15" customFormat="1" x14ac:dyDescent="0.4">
      <c r="A255" s="501"/>
      <c r="B255" s="5" t="s">
        <v>38</v>
      </c>
      <c r="C255" s="503"/>
      <c r="D255" s="16"/>
      <c r="E255" s="16"/>
      <c r="F255" s="16"/>
      <c r="G255" s="18"/>
      <c r="H255" s="13">
        <v>5.23</v>
      </c>
    </row>
    <row r="256" spans="1:8" s="15" customFormat="1" x14ac:dyDescent="0.4">
      <c r="A256" s="501"/>
      <c r="B256" s="5" t="s">
        <v>54</v>
      </c>
      <c r="C256" s="503"/>
      <c r="D256" s="16"/>
      <c r="E256" s="16"/>
      <c r="F256" s="16"/>
      <c r="G256" s="18"/>
      <c r="H256" s="13">
        <v>11.08</v>
      </c>
    </row>
    <row r="257" spans="1:8" s="15" customFormat="1" x14ac:dyDescent="0.4">
      <c r="A257" s="501"/>
      <c r="B257" s="5" t="s">
        <v>66</v>
      </c>
      <c r="C257" s="503"/>
      <c r="D257" s="16"/>
      <c r="E257" s="16"/>
      <c r="F257" s="16"/>
      <c r="G257" s="18"/>
      <c r="H257" s="13">
        <v>12.48</v>
      </c>
    </row>
    <row r="258" spans="1:8" s="15" customFormat="1" x14ac:dyDescent="0.4">
      <c r="A258" s="501"/>
      <c r="B258" s="5" t="s">
        <v>52</v>
      </c>
      <c r="C258" s="503"/>
      <c r="D258" s="16"/>
      <c r="E258" s="16"/>
      <c r="F258" s="16"/>
      <c r="G258" s="18"/>
      <c r="H258" s="13">
        <v>9.35</v>
      </c>
    </row>
    <row r="259" spans="1:8" s="15" customFormat="1" x14ac:dyDescent="0.4">
      <c r="A259" s="501"/>
      <c r="B259" s="5" t="s">
        <v>51</v>
      </c>
      <c r="C259" s="503"/>
      <c r="D259" s="16"/>
      <c r="E259" s="16"/>
      <c r="F259" s="16"/>
      <c r="G259" s="18"/>
      <c r="H259" s="13">
        <v>1.89</v>
      </c>
    </row>
    <row r="260" spans="1:8" s="15" customFormat="1" x14ac:dyDescent="0.4">
      <c r="A260" s="501"/>
      <c r="B260" s="5" t="s">
        <v>49</v>
      </c>
      <c r="C260" s="503"/>
      <c r="D260" s="16"/>
      <c r="E260" s="16"/>
      <c r="F260" s="16"/>
      <c r="G260" s="18"/>
      <c r="H260" s="13">
        <v>1.49</v>
      </c>
    </row>
    <row r="261" spans="1:8" s="15" customFormat="1" x14ac:dyDescent="0.4">
      <c r="A261" s="501"/>
      <c r="B261" s="5" t="s">
        <v>67</v>
      </c>
      <c r="C261" s="503"/>
      <c r="D261" s="16"/>
      <c r="E261" s="16"/>
      <c r="F261" s="16"/>
      <c r="G261" s="18"/>
      <c r="H261" s="13">
        <v>1.58</v>
      </c>
    </row>
    <row r="262" spans="1:8" s="15" customFormat="1" x14ac:dyDescent="0.4">
      <c r="A262" s="501"/>
      <c r="B262" s="5" t="s">
        <v>48</v>
      </c>
      <c r="C262" s="503"/>
      <c r="D262" s="16"/>
      <c r="E262" s="16"/>
      <c r="F262" s="16"/>
      <c r="G262" s="18"/>
      <c r="H262" s="13">
        <v>11.04</v>
      </c>
    </row>
    <row r="263" spans="1:8" s="15" customFormat="1" x14ac:dyDescent="0.4">
      <c r="A263" s="501"/>
      <c r="B263" s="5" t="s">
        <v>69</v>
      </c>
      <c r="C263" s="503"/>
      <c r="D263" s="16"/>
      <c r="E263" s="16"/>
      <c r="F263" s="16"/>
      <c r="G263" s="18"/>
      <c r="H263" s="13">
        <v>17.64</v>
      </c>
    </row>
    <row r="264" spans="1:8" s="15" customFormat="1" x14ac:dyDescent="0.4">
      <c r="A264" s="501"/>
      <c r="B264" s="5" t="s">
        <v>68</v>
      </c>
      <c r="C264" s="503"/>
      <c r="D264" s="16"/>
      <c r="E264" s="16"/>
      <c r="F264" s="16"/>
      <c r="G264" s="18"/>
      <c r="H264" s="13">
        <v>3.17</v>
      </c>
    </row>
    <row r="265" spans="1:8" s="15" customFormat="1" x14ac:dyDescent="0.4">
      <c r="A265" s="501"/>
      <c r="B265" s="5" t="s">
        <v>70</v>
      </c>
      <c r="C265" s="503"/>
      <c r="D265" s="16"/>
      <c r="E265" s="16"/>
      <c r="F265" s="16"/>
      <c r="G265" s="18"/>
      <c r="H265" s="13">
        <v>15.64</v>
      </c>
    </row>
    <row r="266" spans="1:8" s="15" customFormat="1" x14ac:dyDescent="0.4">
      <c r="A266" s="501"/>
      <c r="B266" s="14" t="s">
        <v>83</v>
      </c>
      <c r="C266" s="503"/>
      <c r="D266" s="16"/>
      <c r="E266" s="16"/>
      <c r="F266" s="16"/>
      <c r="G266" s="18"/>
      <c r="H266" s="13">
        <v>5.39</v>
      </c>
    </row>
    <row r="267" spans="1:8" s="15" customFormat="1" x14ac:dyDescent="0.4">
      <c r="A267" s="501"/>
      <c r="B267" s="5" t="s">
        <v>56</v>
      </c>
      <c r="C267" s="503"/>
      <c r="D267" s="16"/>
      <c r="E267" s="16"/>
      <c r="F267" s="16"/>
      <c r="G267" s="18"/>
      <c r="H267" s="13">
        <v>10.56</v>
      </c>
    </row>
    <row r="268" spans="1:8" s="15" customFormat="1" x14ac:dyDescent="0.4">
      <c r="A268" s="501"/>
      <c r="B268" s="5" t="s">
        <v>38</v>
      </c>
      <c r="C268" s="503"/>
      <c r="D268" s="16"/>
      <c r="E268" s="16"/>
      <c r="F268" s="16"/>
      <c r="G268" s="18"/>
      <c r="H268" s="13">
        <v>5.38</v>
      </c>
    </row>
    <row r="269" spans="1:8" s="15" customFormat="1" x14ac:dyDescent="0.4">
      <c r="A269" s="501"/>
      <c r="B269" s="5" t="s">
        <v>34</v>
      </c>
      <c r="C269" s="503"/>
      <c r="D269" s="16"/>
      <c r="E269" s="16"/>
      <c r="F269" s="16"/>
      <c r="G269" s="18"/>
      <c r="H269" s="13">
        <v>21.95</v>
      </c>
    </row>
    <row r="270" spans="1:8" s="15" customFormat="1" x14ac:dyDescent="0.4">
      <c r="A270" s="501"/>
      <c r="B270" s="5" t="s">
        <v>71</v>
      </c>
      <c r="C270" s="503"/>
      <c r="D270" s="16"/>
      <c r="E270" s="16"/>
      <c r="F270" s="16"/>
      <c r="G270" s="18"/>
      <c r="H270" s="13">
        <v>32.15</v>
      </c>
    </row>
    <row r="271" spans="1:8" s="15" customFormat="1" x14ac:dyDescent="0.4">
      <c r="A271" s="501"/>
      <c r="B271" s="5" t="s">
        <v>72</v>
      </c>
      <c r="C271" s="503"/>
      <c r="D271" s="16"/>
      <c r="E271" s="16"/>
      <c r="F271" s="16"/>
      <c r="G271" s="18"/>
      <c r="H271" s="13">
        <v>153.88</v>
      </c>
    </row>
    <row r="272" spans="1:8" s="15" customFormat="1" ht="27.6" x14ac:dyDescent="0.4">
      <c r="A272" s="501"/>
      <c r="B272" s="5" t="s">
        <v>183</v>
      </c>
      <c r="C272" s="503"/>
      <c r="D272" s="8">
        <v>18.2</v>
      </c>
      <c r="E272" s="8">
        <v>1.55</v>
      </c>
      <c r="F272" s="8"/>
      <c r="G272" s="100">
        <v>2</v>
      </c>
      <c r="H272" s="13">
        <f>-D272*E272*G272</f>
        <v>-56.42</v>
      </c>
    </row>
    <row r="273" spans="1:8" s="15" customFormat="1" x14ac:dyDescent="0.4">
      <c r="A273" s="501"/>
      <c r="B273" s="5"/>
      <c r="C273" s="503"/>
      <c r="D273" s="8">
        <v>3.95</v>
      </c>
      <c r="E273" s="8">
        <v>2.67</v>
      </c>
      <c r="F273" s="8"/>
      <c r="G273" s="100">
        <v>1</v>
      </c>
      <c r="H273" s="13">
        <f>-D273*E273*G273</f>
        <v>-10.5465</v>
      </c>
    </row>
    <row r="274" spans="1:8" s="15" customFormat="1" x14ac:dyDescent="0.4">
      <c r="A274" s="501"/>
      <c r="B274" s="5"/>
      <c r="C274" s="503"/>
      <c r="D274" s="8">
        <v>5.39</v>
      </c>
      <c r="E274" s="8">
        <v>1.43</v>
      </c>
      <c r="F274" s="8"/>
      <c r="G274" s="100">
        <v>1</v>
      </c>
      <c r="H274" s="13">
        <f>-D274*E274*G274</f>
        <v>-7.7076999999999991</v>
      </c>
    </row>
    <row r="275" spans="1:8" s="15" customFormat="1" x14ac:dyDescent="0.4">
      <c r="A275" s="501"/>
      <c r="B275" s="5"/>
      <c r="C275" s="503"/>
      <c r="D275" s="8">
        <v>1.8</v>
      </c>
      <c r="E275" s="8">
        <v>1.43</v>
      </c>
      <c r="F275" s="8"/>
      <c r="G275" s="100">
        <v>1</v>
      </c>
      <c r="H275" s="13">
        <f>-D275*E275*G275</f>
        <v>-2.5739999999999998</v>
      </c>
    </row>
    <row r="276" spans="1:8" s="15" customFormat="1" x14ac:dyDescent="0.4">
      <c r="A276" s="501"/>
      <c r="B276" s="5" t="s">
        <v>73</v>
      </c>
      <c r="C276" s="503"/>
      <c r="D276" s="16"/>
      <c r="E276" s="16"/>
      <c r="F276" s="16"/>
      <c r="G276" s="18"/>
      <c r="H276" s="13">
        <v>6.64</v>
      </c>
    </row>
    <row r="277" spans="1:8" s="15" customFormat="1" x14ac:dyDescent="0.4">
      <c r="A277" s="501"/>
      <c r="B277" s="14" t="s">
        <v>74</v>
      </c>
      <c r="C277" s="503"/>
      <c r="D277" s="16"/>
      <c r="E277" s="16"/>
      <c r="F277" s="16"/>
      <c r="G277" s="18"/>
      <c r="H277" s="13">
        <v>15.08</v>
      </c>
    </row>
    <row r="278" spans="1:8" s="15" customFormat="1" x14ac:dyDescent="0.4">
      <c r="A278" s="501"/>
      <c r="B278" s="14" t="s">
        <v>75</v>
      </c>
      <c r="C278" s="503"/>
      <c r="D278" s="16"/>
      <c r="E278" s="16"/>
      <c r="F278" s="16"/>
      <c r="G278" s="18"/>
      <c r="H278" s="13">
        <v>7.16</v>
      </c>
    </row>
    <row r="279" spans="1:8" s="15" customFormat="1" x14ac:dyDescent="0.4">
      <c r="A279" s="501"/>
      <c r="B279" s="14" t="s">
        <v>38</v>
      </c>
      <c r="C279" s="503"/>
      <c r="D279" s="16"/>
      <c r="E279" s="16"/>
      <c r="F279" s="16"/>
      <c r="G279" s="18"/>
      <c r="H279" s="13">
        <v>10.5</v>
      </c>
    </row>
    <row r="280" spans="1:8" s="15" customFormat="1" x14ac:dyDescent="0.4">
      <c r="A280" s="501"/>
      <c r="B280" s="30" t="s">
        <v>62</v>
      </c>
      <c r="C280" s="503"/>
      <c r="D280" s="16"/>
      <c r="E280" s="16"/>
      <c r="F280" s="16"/>
      <c r="G280" s="18"/>
      <c r="H280" s="13">
        <v>5.07</v>
      </c>
    </row>
    <row r="281" spans="1:8" s="15" customFormat="1" x14ac:dyDescent="0.4">
      <c r="A281" s="501"/>
      <c r="B281" s="14" t="s">
        <v>42</v>
      </c>
      <c r="C281" s="503"/>
      <c r="D281" s="16"/>
      <c r="E281" s="16"/>
      <c r="F281" s="16"/>
      <c r="G281" s="18"/>
      <c r="H281" s="13">
        <v>2.81</v>
      </c>
    </row>
    <row r="282" spans="1:8" s="15" customFormat="1" x14ac:dyDescent="0.4">
      <c r="A282" s="501"/>
      <c r="B282" s="5" t="s">
        <v>35</v>
      </c>
      <c r="C282" s="503"/>
      <c r="D282" s="16"/>
      <c r="E282" s="16"/>
      <c r="F282" s="16"/>
      <c r="G282" s="18"/>
      <c r="H282" s="13">
        <v>3.77</v>
      </c>
    </row>
    <row r="283" spans="1:8" s="15" customFormat="1" x14ac:dyDescent="0.4">
      <c r="A283" s="501"/>
      <c r="B283" s="30" t="s">
        <v>44</v>
      </c>
      <c r="C283" s="503"/>
      <c r="D283" s="52"/>
      <c r="E283" s="52"/>
      <c r="F283" s="52"/>
      <c r="G283" s="121"/>
      <c r="H283" s="13">
        <v>6.33</v>
      </c>
    </row>
    <row r="284" spans="1:8" s="15" customFormat="1" x14ac:dyDescent="0.4">
      <c r="A284" s="501"/>
      <c r="B284" s="30" t="s">
        <v>77</v>
      </c>
      <c r="C284" s="503"/>
      <c r="D284" s="52"/>
      <c r="E284" s="52"/>
      <c r="F284" s="52"/>
      <c r="G284" s="121"/>
      <c r="H284" s="13">
        <v>3.93</v>
      </c>
    </row>
    <row r="285" spans="1:8" s="15" customFormat="1" x14ac:dyDescent="0.4">
      <c r="A285" s="501"/>
      <c r="B285" s="5" t="s">
        <v>34</v>
      </c>
      <c r="C285" s="503"/>
      <c r="D285" s="52"/>
      <c r="E285" s="52"/>
      <c r="F285" s="52"/>
      <c r="G285" s="121"/>
      <c r="H285" s="13">
        <v>28.44</v>
      </c>
    </row>
    <row r="286" spans="1:8" s="15" customFormat="1" x14ac:dyDescent="0.4">
      <c r="A286" s="501"/>
      <c r="B286" s="5"/>
      <c r="C286" s="503"/>
      <c r="D286" s="16"/>
      <c r="E286" s="16"/>
      <c r="F286" s="16"/>
      <c r="G286" s="95" t="s">
        <v>79</v>
      </c>
      <c r="H286" s="10">
        <f>SUM(H252:H285)</f>
        <v>386.86179999999996</v>
      </c>
    </row>
    <row r="287" spans="1:8" s="15" customFormat="1" x14ac:dyDescent="0.4">
      <c r="A287" s="18"/>
      <c r="B287" s="5"/>
      <c r="C287" s="6"/>
      <c r="D287" s="16"/>
      <c r="E287" s="16"/>
      <c r="F287" s="16"/>
      <c r="G287" s="95"/>
      <c r="H287" s="10"/>
    </row>
    <row r="288" spans="1:8" s="15" customFormat="1" ht="55.2" x14ac:dyDescent="0.4">
      <c r="A288" s="18" t="s">
        <v>482</v>
      </c>
      <c r="B288" s="19" t="s">
        <v>483</v>
      </c>
      <c r="C288" s="6"/>
      <c r="D288" s="16"/>
      <c r="E288" s="16"/>
      <c r="F288" s="16"/>
      <c r="G288" s="18"/>
      <c r="H288" s="10">
        <v>10.23</v>
      </c>
    </row>
    <row r="289" spans="1:8" s="15" customFormat="1" x14ac:dyDescent="0.4">
      <c r="A289" s="52"/>
      <c r="B289" s="5"/>
      <c r="C289" s="98"/>
      <c r="D289" s="16"/>
      <c r="E289" s="16"/>
      <c r="F289" s="16"/>
      <c r="G289" s="18"/>
      <c r="H289" s="13"/>
    </row>
    <row r="290" spans="1:8" s="15" customFormat="1" ht="55.2" x14ac:dyDescent="0.4">
      <c r="A290" s="501">
        <v>12</v>
      </c>
      <c r="B290" s="11" t="s">
        <v>459</v>
      </c>
      <c r="C290" s="503" t="s">
        <v>1</v>
      </c>
      <c r="D290" s="8">
        <v>18.2</v>
      </c>
      <c r="E290" s="8">
        <v>1.55</v>
      </c>
      <c r="F290" s="8"/>
      <c r="G290" s="100">
        <v>1</v>
      </c>
      <c r="H290" s="13">
        <f>D290*E290*G290</f>
        <v>28.21</v>
      </c>
    </row>
    <row r="291" spans="1:8" s="15" customFormat="1" x14ac:dyDescent="0.4">
      <c r="A291" s="501"/>
      <c r="B291" s="11"/>
      <c r="C291" s="503"/>
      <c r="D291" s="8">
        <v>5.39</v>
      </c>
      <c r="E291" s="8">
        <v>1.43</v>
      </c>
      <c r="F291" s="8"/>
      <c r="G291" s="100">
        <v>1</v>
      </c>
      <c r="H291" s="13">
        <f>D291*E291*G291</f>
        <v>7.7076999999999991</v>
      </c>
    </row>
    <row r="292" spans="1:8" s="15" customFormat="1" x14ac:dyDescent="0.4">
      <c r="A292" s="501"/>
      <c r="B292" s="11"/>
      <c r="C292" s="503"/>
      <c r="D292" s="8">
        <v>1.8</v>
      </c>
      <c r="E292" s="8">
        <v>1.43</v>
      </c>
      <c r="F292" s="8"/>
      <c r="G292" s="100">
        <v>1</v>
      </c>
      <c r="H292" s="13">
        <f>D292*E292*G292</f>
        <v>2.5739999999999998</v>
      </c>
    </row>
    <row r="293" spans="1:8" s="15" customFormat="1" x14ac:dyDescent="0.4">
      <c r="A293" s="501"/>
      <c r="B293" s="5" t="s">
        <v>166</v>
      </c>
      <c r="C293" s="503"/>
      <c r="D293" s="8">
        <v>16.77</v>
      </c>
      <c r="E293" s="25"/>
      <c r="F293" s="8">
        <v>0.2</v>
      </c>
      <c r="G293" s="7">
        <v>1</v>
      </c>
      <c r="H293" s="13">
        <f>D293*F293*G293</f>
        <v>3.3540000000000001</v>
      </c>
    </row>
    <row r="294" spans="1:8" s="15" customFormat="1" x14ac:dyDescent="0.4">
      <c r="A294" s="501"/>
      <c r="B294" s="195"/>
      <c r="C294" s="503"/>
      <c r="D294" s="8">
        <v>5.39</v>
      </c>
      <c r="E294" s="25"/>
      <c r="F294" s="8">
        <v>0.2</v>
      </c>
      <c r="G294" s="7">
        <v>1</v>
      </c>
      <c r="H294" s="13">
        <f>D294*F294*G294</f>
        <v>1.0780000000000001</v>
      </c>
    </row>
    <row r="295" spans="1:8" s="15" customFormat="1" x14ac:dyDescent="0.4">
      <c r="A295" s="501"/>
      <c r="B295" s="5"/>
      <c r="C295" s="503"/>
      <c r="D295" s="14"/>
      <c r="E295" s="14"/>
      <c r="F295" s="14"/>
      <c r="G295" s="12" t="s">
        <v>80</v>
      </c>
      <c r="H295" s="10">
        <f>SUM(H290:H294)</f>
        <v>42.923699999999997</v>
      </c>
    </row>
    <row r="296" spans="1:8" s="15" customFormat="1" x14ac:dyDescent="0.4">
      <c r="A296" s="18"/>
      <c r="B296" s="5"/>
      <c r="C296" s="6"/>
      <c r="D296" s="14"/>
      <c r="E296" s="14"/>
      <c r="F296" s="14"/>
      <c r="G296" s="12"/>
      <c r="H296" s="10"/>
    </row>
    <row r="297" spans="1:8" s="15" customFormat="1" ht="55.2" x14ac:dyDescent="0.4">
      <c r="A297" s="498">
        <v>13</v>
      </c>
      <c r="B297" s="11" t="s">
        <v>460</v>
      </c>
      <c r="C297" s="487" t="s">
        <v>1</v>
      </c>
      <c r="D297" s="8">
        <v>18.2</v>
      </c>
      <c r="E297" s="8">
        <v>1.55</v>
      </c>
      <c r="F297" s="8"/>
      <c r="G297" s="100">
        <v>1</v>
      </c>
      <c r="H297" s="13">
        <f>D297*E297*G297</f>
        <v>28.21</v>
      </c>
    </row>
    <row r="298" spans="1:8" s="15" customFormat="1" x14ac:dyDescent="0.4">
      <c r="A298" s="499"/>
      <c r="B298" s="5"/>
      <c r="C298" s="488"/>
      <c r="D298" s="7">
        <v>3.95</v>
      </c>
      <c r="E298" s="7">
        <v>2.67</v>
      </c>
      <c r="F298" s="14"/>
      <c r="G298" s="7">
        <v>1</v>
      </c>
      <c r="H298" s="13">
        <f>D298*E298*G298</f>
        <v>10.5465</v>
      </c>
    </row>
    <row r="299" spans="1:8" s="15" customFormat="1" x14ac:dyDescent="0.4">
      <c r="A299" s="499"/>
      <c r="B299" s="5" t="s">
        <v>166</v>
      </c>
      <c r="C299" s="488"/>
      <c r="D299" s="8">
        <v>16.77</v>
      </c>
      <c r="E299" s="25"/>
      <c r="F299" s="8">
        <v>0.7</v>
      </c>
      <c r="G299" s="7">
        <v>1</v>
      </c>
      <c r="H299" s="13">
        <f>D299*F299*G299</f>
        <v>11.738999999999999</v>
      </c>
    </row>
    <row r="300" spans="1:8" s="15" customFormat="1" x14ac:dyDescent="0.4">
      <c r="A300" s="499"/>
      <c r="B300" s="5"/>
      <c r="C300" s="488"/>
      <c r="D300" s="7">
        <v>3.95</v>
      </c>
      <c r="E300" s="25"/>
      <c r="F300" s="8">
        <v>0.7</v>
      </c>
      <c r="G300" s="7">
        <v>1</v>
      </c>
      <c r="H300" s="13">
        <f>D300*F300*G300</f>
        <v>2.7650000000000001</v>
      </c>
    </row>
    <row r="301" spans="1:8" s="15" customFormat="1" x14ac:dyDescent="0.4">
      <c r="A301" s="500"/>
      <c r="B301" s="5"/>
      <c r="C301" s="489"/>
      <c r="D301" s="14"/>
      <c r="E301" s="14"/>
      <c r="F301" s="14"/>
      <c r="G301" s="12" t="s">
        <v>80</v>
      </c>
      <c r="H301" s="10">
        <f>SUM(H297:H300)</f>
        <v>53.2605</v>
      </c>
    </row>
    <row r="302" spans="1:8" s="15" customFormat="1" x14ac:dyDescent="0.4">
      <c r="A302" s="52"/>
      <c r="B302" s="5"/>
      <c r="C302" s="193"/>
      <c r="D302" s="14"/>
      <c r="E302" s="14"/>
      <c r="F302" s="14"/>
      <c r="G302" s="7"/>
      <c r="H302" s="13"/>
    </row>
    <row r="303" spans="1:8" s="15" customFormat="1" ht="27.6" x14ac:dyDescent="0.4">
      <c r="A303" s="501">
        <v>14</v>
      </c>
      <c r="B303" s="11" t="s">
        <v>78</v>
      </c>
      <c r="C303" s="503" t="s">
        <v>1</v>
      </c>
      <c r="D303" s="14"/>
      <c r="E303" s="14"/>
      <c r="F303" s="14"/>
      <c r="G303" s="7"/>
      <c r="H303" s="13"/>
    </row>
    <row r="304" spans="1:8" s="15" customFormat="1" x14ac:dyDescent="0.4">
      <c r="A304" s="501"/>
      <c r="B304" s="36" t="s">
        <v>38</v>
      </c>
      <c r="C304" s="503"/>
      <c r="D304" s="16"/>
      <c r="E304" s="16"/>
      <c r="F304" s="16"/>
      <c r="G304" s="18"/>
      <c r="H304" s="13">
        <v>18.54</v>
      </c>
    </row>
    <row r="305" spans="1:8" s="20" customFormat="1" x14ac:dyDescent="0.4">
      <c r="A305" s="501"/>
      <c r="B305" s="36" t="s">
        <v>76</v>
      </c>
      <c r="C305" s="503"/>
      <c r="D305" s="16"/>
      <c r="E305" s="16"/>
      <c r="F305" s="16"/>
      <c r="G305" s="18"/>
      <c r="H305" s="13">
        <v>3.69</v>
      </c>
    </row>
    <row r="306" spans="1:8" s="20" customFormat="1" x14ac:dyDescent="0.4">
      <c r="A306" s="501"/>
      <c r="B306" s="5" t="s">
        <v>67</v>
      </c>
      <c r="C306" s="503"/>
      <c r="D306" s="16"/>
      <c r="E306" s="16"/>
      <c r="F306" s="16"/>
      <c r="G306" s="18"/>
      <c r="H306" s="13">
        <v>3.31</v>
      </c>
    </row>
    <row r="307" spans="1:8" s="20" customFormat="1" x14ac:dyDescent="0.4">
      <c r="A307" s="501"/>
      <c r="B307" s="11"/>
      <c r="C307" s="503"/>
      <c r="D307" s="16"/>
      <c r="E307" s="16"/>
      <c r="F307" s="16"/>
      <c r="G307" s="96" t="s">
        <v>80</v>
      </c>
      <c r="H307" s="10">
        <f>SUM(H303:H306)</f>
        <v>25.54</v>
      </c>
    </row>
    <row r="308" spans="1:8" s="15" customFormat="1" x14ac:dyDescent="0.4">
      <c r="A308" s="52"/>
      <c r="B308" s="103"/>
      <c r="C308" s="98"/>
      <c r="D308" s="52"/>
      <c r="E308" s="52"/>
      <c r="F308" s="52"/>
      <c r="G308" s="121"/>
      <c r="H308" s="59"/>
    </row>
    <row r="309" spans="1:8" s="15" customFormat="1" x14ac:dyDescent="0.4">
      <c r="A309" s="501">
        <v>15</v>
      </c>
      <c r="B309" s="11" t="s">
        <v>85</v>
      </c>
      <c r="C309" s="503" t="s">
        <v>1</v>
      </c>
      <c r="D309" s="52"/>
      <c r="E309" s="52"/>
      <c r="F309" s="52"/>
      <c r="G309" s="121"/>
      <c r="H309" s="59"/>
    </row>
    <row r="310" spans="1:8" s="15" customFormat="1" x14ac:dyDescent="0.4">
      <c r="A310" s="501"/>
      <c r="B310" s="5" t="s">
        <v>66</v>
      </c>
      <c r="C310" s="503"/>
      <c r="D310" s="17">
        <v>3.33</v>
      </c>
      <c r="E310" s="17"/>
      <c r="F310" s="17">
        <v>1.6</v>
      </c>
      <c r="G310" s="4">
        <v>2</v>
      </c>
      <c r="H310" s="24">
        <f>D310*F310*G310</f>
        <v>10.656000000000001</v>
      </c>
    </row>
    <row r="311" spans="1:8" s="15" customFormat="1" x14ac:dyDescent="0.4">
      <c r="A311" s="501"/>
      <c r="B311" s="5"/>
      <c r="C311" s="503"/>
      <c r="D311" s="17">
        <v>3.75</v>
      </c>
      <c r="E311" s="17"/>
      <c r="F311" s="17">
        <v>1.6</v>
      </c>
      <c r="G311" s="4">
        <v>2</v>
      </c>
      <c r="H311" s="24">
        <f>D311*F311*G311</f>
        <v>12</v>
      </c>
    </row>
    <row r="312" spans="1:8" s="15" customFormat="1" x14ac:dyDescent="0.4">
      <c r="A312" s="501"/>
      <c r="B312" s="5" t="s">
        <v>93</v>
      </c>
      <c r="C312" s="503"/>
      <c r="D312" s="8">
        <v>0.9</v>
      </c>
      <c r="E312" s="8"/>
      <c r="F312" s="8">
        <v>1.6</v>
      </c>
      <c r="G312" s="7">
        <v>1</v>
      </c>
      <c r="H312" s="13">
        <f>-D312*F312*G312</f>
        <v>-1.4400000000000002</v>
      </c>
    </row>
    <row r="313" spans="1:8" s="15" customFormat="1" x14ac:dyDescent="0.4">
      <c r="A313" s="501"/>
      <c r="B313" s="5"/>
      <c r="C313" s="503"/>
      <c r="D313" s="8"/>
      <c r="E313" s="8"/>
      <c r="F313" s="8"/>
      <c r="G313" s="7"/>
      <c r="H313" s="13"/>
    </row>
    <row r="314" spans="1:8" s="15" customFormat="1" x14ac:dyDescent="0.4">
      <c r="A314" s="501"/>
      <c r="B314" s="5" t="s">
        <v>51</v>
      </c>
      <c r="C314" s="503"/>
      <c r="D314" s="8">
        <v>1.2</v>
      </c>
      <c r="E314" s="8"/>
      <c r="F314" s="8">
        <v>3.2</v>
      </c>
      <c r="G314" s="7">
        <v>2</v>
      </c>
      <c r="H314" s="13">
        <f t="shared" ref="H314:H332" si="8">D314*F314*G314</f>
        <v>7.68</v>
      </c>
    </row>
    <row r="315" spans="1:8" s="15" customFormat="1" x14ac:dyDescent="0.4">
      <c r="A315" s="501"/>
      <c r="B315" s="5"/>
      <c r="C315" s="503"/>
      <c r="D315" s="8">
        <v>1.57</v>
      </c>
      <c r="E315" s="8"/>
      <c r="F315" s="8">
        <v>3.2</v>
      </c>
      <c r="G315" s="7">
        <v>2</v>
      </c>
      <c r="H315" s="13">
        <f t="shared" si="8"/>
        <v>10.048000000000002</v>
      </c>
    </row>
    <row r="316" spans="1:8" s="15" customFormat="1" x14ac:dyDescent="0.4">
      <c r="A316" s="501"/>
      <c r="B316" s="5" t="s">
        <v>87</v>
      </c>
      <c r="C316" s="503"/>
      <c r="D316" s="8">
        <v>0.8</v>
      </c>
      <c r="E316" s="8"/>
      <c r="F316" s="8">
        <v>2</v>
      </c>
      <c r="G316" s="4">
        <v>3</v>
      </c>
      <c r="H316" s="13">
        <f>-D316*F316*G316</f>
        <v>-4.8000000000000007</v>
      </c>
    </row>
    <row r="317" spans="1:8" s="15" customFormat="1" x14ac:dyDescent="0.4">
      <c r="A317" s="501"/>
      <c r="B317" s="5" t="s">
        <v>88</v>
      </c>
      <c r="C317" s="503"/>
      <c r="D317" s="8">
        <v>1</v>
      </c>
      <c r="E317" s="8"/>
      <c r="F317" s="8">
        <v>3.2</v>
      </c>
      <c r="G317" s="4">
        <v>2</v>
      </c>
      <c r="H317" s="13">
        <f t="shared" si="8"/>
        <v>6.4</v>
      </c>
    </row>
    <row r="318" spans="1:8" s="15" customFormat="1" x14ac:dyDescent="0.4">
      <c r="A318" s="501"/>
      <c r="B318" s="5"/>
      <c r="C318" s="503"/>
      <c r="D318" s="8">
        <v>1.57</v>
      </c>
      <c r="E318" s="8"/>
      <c r="F318" s="8">
        <v>3.2</v>
      </c>
      <c r="G318" s="4">
        <v>2</v>
      </c>
      <c r="H318" s="13">
        <f t="shared" si="8"/>
        <v>10.048000000000002</v>
      </c>
    </row>
    <row r="319" spans="1:8" s="15" customFormat="1" x14ac:dyDescent="0.4">
      <c r="A319" s="501"/>
      <c r="B319" s="5" t="s">
        <v>86</v>
      </c>
      <c r="C319" s="503"/>
      <c r="D319" s="8">
        <v>0.8</v>
      </c>
      <c r="E319" s="8"/>
      <c r="F319" s="8">
        <v>2</v>
      </c>
      <c r="G319" s="4">
        <v>1</v>
      </c>
      <c r="H319" s="13">
        <f>-D319*F319*G319</f>
        <v>-1.6</v>
      </c>
    </row>
    <row r="320" spans="1:8" s="15" customFormat="1" x14ac:dyDescent="0.4">
      <c r="A320" s="501"/>
      <c r="B320" s="5" t="s">
        <v>49</v>
      </c>
      <c r="C320" s="503"/>
      <c r="D320" s="8">
        <v>0.95</v>
      </c>
      <c r="E320" s="8"/>
      <c r="F320" s="8">
        <v>3.2</v>
      </c>
      <c r="G320" s="4">
        <v>2</v>
      </c>
      <c r="H320" s="13">
        <f t="shared" si="8"/>
        <v>6.08</v>
      </c>
    </row>
    <row r="321" spans="1:8" s="15" customFormat="1" x14ac:dyDescent="0.4">
      <c r="A321" s="501"/>
      <c r="B321" s="5"/>
      <c r="C321" s="503"/>
      <c r="D321" s="8">
        <v>1.57</v>
      </c>
      <c r="E321" s="8"/>
      <c r="F321" s="8">
        <v>3.2</v>
      </c>
      <c r="G321" s="4">
        <v>2</v>
      </c>
      <c r="H321" s="13">
        <f>D321*F321*G321</f>
        <v>10.048000000000002</v>
      </c>
    </row>
    <row r="322" spans="1:8" s="15" customFormat="1" x14ac:dyDescent="0.4">
      <c r="A322" s="501"/>
      <c r="B322" s="5" t="s">
        <v>86</v>
      </c>
      <c r="C322" s="503"/>
      <c r="D322" s="8">
        <v>0.8</v>
      </c>
      <c r="E322" s="8"/>
      <c r="F322" s="8">
        <v>2</v>
      </c>
      <c r="G322" s="4">
        <v>1</v>
      </c>
      <c r="H322" s="13">
        <f>-D322*F322*G322</f>
        <v>-1.6</v>
      </c>
    </row>
    <row r="323" spans="1:8" s="15" customFormat="1" x14ac:dyDescent="0.4">
      <c r="A323" s="501"/>
      <c r="B323" s="5" t="s">
        <v>69</v>
      </c>
      <c r="C323" s="503"/>
      <c r="D323" s="8">
        <v>7.1</v>
      </c>
      <c r="E323" s="8"/>
      <c r="F323" s="8">
        <v>3.2</v>
      </c>
      <c r="G323" s="4">
        <v>2</v>
      </c>
      <c r="H323" s="13">
        <f t="shared" si="8"/>
        <v>45.44</v>
      </c>
    </row>
    <row r="324" spans="1:8" s="15" customFormat="1" x14ac:dyDescent="0.4">
      <c r="A324" s="501"/>
      <c r="B324" s="5"/>
      <c r="C324" s="503"/>
      <c r="D324" s="8">
        <v>2.71</v>
      </c>
      <c r="E324" s="8"/>
      <c r="F324" s="8">
        <v>3.2</v>
      </c>
      <c r="G324" s="4">
        <v>2</v>
      </c>
      <c r="H324" s="13">
        <f t="shared" si="8"/>
        <v>17.344000000000001</v>
      </c>
    </row>
    <row r="325" spans="1:8" s="15" customFormat="1" x14ac:dyDescent="0.4">
      <c r="A325" s="501"/>
      <c r="B325" s="5"/>
      <c r="C325" s="503"/>
      <c r="D325" s="8">
        <v>0.5</v>
      </c>
      <c r="E325" s="8"/>
      <c r="F325" s="8">
        <v>3.2</v>
      </c>
      <c r="G325" s="4">
        <v>1</v>
      </c>
      <c r="H325" s="13">
        <f t="shared" si="8"/>
        <v>1.6</v>
      </c>
    </row>
    <row r="326" spans="1:8" s="15" customFormat="1" x14ac:dyDescent="0.4">
      <c r="A326" s="501"/>
      <c r="B326" s="5" t="s">
        <v>86</v>
      </c>
      <c r="C326" s="503"/>
      <c r="D326" s="8">
        <v>0.9</v>
      </c>
      <c r="E326" s="8"/>
      <c r="F326" s="8">
        <v>2</v>
      </c>
      <c r="G326" s="4">
        <v>1</v>
      </c>
      <c r="H326" s="13">
        <f>-D326*F326*G326</f>
        <v>-1.8</v>
      </c>
    </row>
    <row r="327" spans="1:8" s="15" customFormat="1" x14ac:dyDescent="0.4">
      <c r="A327" s="501"/>
      <c r="B327" s="14" t="s">
        <v>47</v>
      </c>
      <c r="C327" s="503"/>
      <c r="D327" s="8">
        <v>1.5</v>
      </c>
      <c r="E327" s="8"/>
      <c r="F327" s="8">
        <v>3.2</v>
      </c>
      <c r="G327" s="4">
        <v>2</v>
      </c>
      <c r="H327" s="13">
        <f t="shared" si="8"/>
        <v>9.6000000000000014</v>
      </c>
    </row>
    <row r="328" spans="1:8" s="15" customFormat="1" x14ac:dyDescent="0.4">
      <c r="A328" s="501"/>
      <c r="B328" s="5"/>
      <c r="C328" s="503"/>
      <c r="D328" s="8">
        <v>2.11</v>
      </c>
      <c r="E328" s="8"/>
      <c r="F328" s="8">
        <v>3.2</v>
      </c>
      <c r="G328" s="4">
        <v>2</v>
      </c>
      <c r="H328" s="13">
        <f t="shared" si="8"/>
        <v>13.504</v>
      </c>
    </row>
    <row r="329" spans="1:8" s="15" customFormat="1" x14ac:dyDescent="0.4">
      <c r="A329" s="501"/>
      <c r="B329" s="5" t="s">
        <v>86</v>
      </c>
      <c r="C329" s="503"/>
      <c r="D329" s="8">
        <v>0.9</v>
      </c>
      <c r="E329" s="8"/>
      <c r="F329" s="8">
        <v>2</v>
      </c>
      <c r="G329" s="4">
        <v>1</v>
      </c>
      <c r="H329" s="13">
        <f>-D329*F329*G329</f>
        <v>-1.8</v>
      </c>
    </row>
    <row r="330" spans="1:8" s="15" customFormat="1" x14ac:dyDescent="0.4">
      <c r="A330" s="501"/>
      <c r="B330" s="5" t="s">
        <v>95</v>
      </c>
      <c r="C330" s="503"/>
      <c r="D330" s="8">
        <v>7.1</v>
      </c>
      <c r="E330" s="8"/>
      <c r="F330" s="8">
        <v>3.2</v>
      </c>
      <c r="G330" s="4">
        <v>2</v>
      </c>
      <c r="H330" s="13">
        <f t="shared" si="8"/>
        <v>45.44</v>
      </c>
    </row>
    <row r="331" spans="1:8" s="15" customFormat="1" x14ac:dyDescent="0.4">
      <c r="A331" s="501"/>
      <c r="B331" s="5"/>
      <c r="C331" s="503"/>
      <c r="D331" s="8">
        <v>2.3199999999999998</v>
      </c>
      <c r="E331" s="8"/>
      <c r="F331" s="8">
        <v>3.2</v>
      </c>
      <c r="G331" s="4">
        <v>2</v>
      </c>
      <c r="H331" s="13">
        <f t="shared" si="8"/>
        <v>14.847999999999999</v>
      </c>
    </row>
    <row r="332" spans="1:8" s="15" customFormat="1" x14ac:dyDescent="0.4">
      <c r="A332" s="501"/>
      <c r="B332" s="5"/>
      <c r="C332" s="503"/>
      <c r="D332" s="8">
        <v>0.8</v>
      </c>
      <c r="E332" s="8"/>
      <c r="F332" s="8">
        <v>3.2</v>
      </c>
      <c r="G332" s="4">
        <v>1</v>
      </c>
      <c r="H332" s="13">
        <f t="shared" si="8"/>
        <v>2.5600000000000005</v>
      </c>
    </row>
    <row r="333" spans="1:8" s="15" customFormat="1" x14ac:dyDescent="0.4">
      <c r="A333" s="501"/>
      <c r="B333" s="5" t="s">
        <v>86</v>
      </c>
      <c r="C333" s="503"/>
      <c r="D333" s="8">
        <v>0.9</v>
      </c>
      <c r="E333" s="8"/>
      <c r="F333" s="8">
        <v>2</v>
      </c>
      <c r="G333" s="4">
        <v>1</v>
      </c>
      <c r="H333" s="13">
        <f>-D333*F333*G333</f>
        <v>-1.8</v>
      </c>
    </row>
    <row r="334" spans="1:8" s="15" customFormat="1" x14ac:dyDescent="0.4">
      <c r="A334" s="501"/>
      <c r="B334" s="5" t="s">
        <v>89</v>
      </c>
      <c r="C334" s="503"/>
      <c r="D334" s="17">
        <v>6.42</v>
      </c>
      <c r="E334" s="17"/>
      <c r="F334" s="17">
        <v>3.2</v>
      </c>
      <c r="G334" s="4">
        <v>2</v>
      </c>
      <c r="H334" s="24">
        <f>D334*F334*G334</f>
        <v>41.088000000000001</v>
      </c>
    </row>
    <row r="335" spans="1:8" s="15" customFormat="1" x14ac:dyDescent="0.4">
      <c r="A335" s="501"/>
      <c r="B335" s="5"/>
      <c r="C335" s="503"/>
      <c r="D335" s="17">
        <v>3.4</v>
      </c>
      <c r="E335" s="17"/>
      <c r="F335" s="17">
        <v>3.2</v>
      </c>
      <c r="G335" s="4">
        <v>2</v>
      </c>
      <c r="H335" s="24">
        <f>D335*F335*G335</f>
        <v>21.76</v>
      </c>
    </row>
    <row r="336" spans="1:8" s="15" customFormat="1" x14ac:dyDescent="0.4">
      <c r="A336" s="501"/>
      <c r="B336" s="5"/>
      <c r="C336" s="503"/>
      <c r="D336" s="17">
        <v>1</v>
      </c>
      <c r="E336" s="17"/>
      <c r="F336" s="17">
        <v>3.2</v>
      </c>
      <c r="G336" s="4">
        <v>2</v>
      </c>
      <c r="H336" s="24">
        <f>D336*F336*G336</f>
        <v>6.4</v>
      </c>
    </row>
    <row r="337" spans="1:8" s="15" customFormat="1" x14ac:dyDescent="0.4">
      <c r="A337" s="501"/>
      <c r="B337" s="5" t="s">
        <v>87</v>
      </c>
      <c r="C337" s="503"/>
      <c r="D337" s="8">
        <v>0.8</v>
      </c>
      <c r="E337" s="8"/>
      <c r="F337" s="8">
        <v>2</v>
      </c>
      <c r="G337" s="4">
        <v>5</v>
      </c>
      <c r="H337" s="13">
        <f>-D337*F337*G337</f>
        <v>-8</v>
      </c>
    </row>
    <row r="338" spans="1:8" s="15" customFormat="1" x14ac:dyDescent="0.4">
      <c r="A338" s="501"/>
      <c r="B338" s="5"/>
      <c r="C338" s="503"/>
      <c r="D338" s="8">
        <v>0.9</v>
      </c>
      <c r="E338" s="8"/>
      <c r="F338" s="8">
        <v>2</v>
      </c>
      <c r="G338" s="4">
        <v>1</v>
      </c>
      <c r="H338" s="13">
        <f>-D338*F338*G338</f>
        <v>-1.8</v>
      </c>
    </row>
    <row r="339" spans="1:8" s="15" customFormat="1" x14ac:dyDescent="0.4">
      <c r="A339" s="501"/>
      <c r="B339" s="36" t="s">
        <v>83</v>
      </c>
      <c r="C339" s="503"/>
      <c r="D339" s="17">
        <v>2.2400000000000002</v>
      </c>
      <c r="E339" s="17"/>
      <c r="F339" s="17">
        <v>3.2</v>
      </c>
      <c r="G339" s="4">
        <v>2</v>
      </c>
      <c r="H339" s="24">
        <f>D339*F339*G339</f>
        <v>14.336000000000002</v>
      </c>
    </row>
    <row r="340" spans="1:8" s="15" customFormat="1" x14ac:dyDescent="0.4">
      <c r="A340" s="501"/>
      <c r="B340" s="5"/>
      <c r="C340" s="503"/>
      <c r="D340" s="17">
        <v>2.4</v>
      </c>
      <c r="E340" s="17"/>
      <c r="F340" s="17">
        <v>3.2</v>
      </c>
      <c r="G340" s="4">
        <v>2</v>
      </c>
      <c r="H340" s="24">
        <f>D340*F340*G340</f>
        <v>15.36</v>
      </c>
    </row>
    <row r="341" spans="1:8" s="15" customFormat="1" x14ac:dyDescent="0.4">
      <c r="A341" s="501"/>
      <c r="B341" s="5" t="s">
        <v>87</v>
      </c>
      <c r="C341" s="503"/>
      <c r="D341" s="8">
        <v>0.8</v>
      </c>
      <c r="E341" s="8"/>
      <c r="F341" s="8">
        <v>2</v>
      </c>
      <c r="G341" s="4">
        <v>2</v>
      </c>
      <c r="H341" s="13">
        <f>-D341*F341*G341</f>
        <v>-3.2</v>
      </c>
    </row>
    <row r="342" spans="1:8" s="15" customFormat="1" x14ac:dyDescent="0.4">
      <c r="A342" s="501"/>
      <c r="B342" s="5" t="s">
        <v>41</v>
      </c>
      <c r="C342" s="503"/>
      <c r="D342" s="17">
        <v>6.6</v>
      </c>
      <c r="E342" s="17"/>
      <c r="F342" s="17">
        <v>1.6</v>
      </c>
      <c r="G342" s="4">
        <v>2</v>
      </c>
      <c r="H342" s="24">
        <f t="shared" ref="H342:H350" si="9">D342*F342*G342</f>
        <v>21.12</v>
      </c>
    </row>
    <row r="343" spans="1:8" s="15" customFormat="1" x14ac:dyDescent="0.4">
      <c r="A343" s="501"/>
      <c r="B343" s="5"/>
      <c r="C343" s="503"/>
      <c r="D343" s="17">
        <v>3.96</v>
      </c>
      <c r="E343" s="17"/>
      <c r="F343" s="17">
        <v>1.6</v>
      </c>
      <c r="G343" s="4">
        <v>2</v>
      </c>
      <c r="H343" s="24">
        <f t="shared" si="9"/>
        <v>12.672000000000001</v>
      </c>
    </row>
    <row r="344" spans="1:8" s="15" customFormat="1" x14ac:dyDescent="0.4">
      <c r="A344" s="501"/>
      <c r="B344" s="5"/>
      <c r="C344" s="503"/>
      <c r="D344" s="17">
        <v>1.02</v>
      </c>
      <c r="E344" s="17"/>
      <c r="F344" s="17">
        <v>1.6</v>
      </c>
      <c r="G344" s="4">
        <v>1</v>
      </c>
      <c r="H344" s="24">
        <f t="shared" si="9"/>
        <v>1.6320000000000001</v>
      </c>
    </row>
    <row r="345" spans="1:8" s="15" customFormat="1" x14ac:dyDescent="0.4">
      <c r="A345" s="501"/>
      <c r="B345" s="5"/>
      <c r="C345" s="503"/>
      <c r="D345" s="17">
        <v>0.9</v>
      </c>
      <c r="E345" s="17"/>
      <c r="F345" s="17">
        <v>1.6</v>
      </c>
      <c r="G345" s="4">
        <v>1</v>
      </c>
      <c r="H345" s="24">
        <f t="shared" si="9"/>
        <v>1.4400000000000002</v>
      </c>
    </row>
    <row r="346" spans="1:8" s="15" customFormat="1" x14ac:dyDescent="0.4">
      <c r="A346" s="501"/>
      <c r="B346" s="5"/>
      <c r="C346" s="503"/>
      <c r="D346" s="17">
        <v>1.92</v>
      </c>
      <c r="E346" s="17"/>
      <c r="F346" s="17">
        <v>1.6</v>
      </c>
      <c r="G346" s="4">
        <v>2</v>
      </c>
      <c r="H346" s="24">
        <f t="shared" si="9"/>
        <v>6.1440000000000001</v>
      </c>
    </row>
    <row r="347" spans="1:8" s="15" customFormat="1" x14ac:dyDescent="0.4">
      <c r="A347" s="501"/>
      <c r="B347" s="5"/>
      <c r="C347" s="503"/>
      <c r="D347" s="17">
        <v>0.65</v>
      </c>
      <c r="E347" s="17"/>
      <c r="F347" s="17">
        <v>1.6</v>
      </c>
      <c r="G347" s="4">
        <v>1</v>
      </c>
      <c r="H347" s="24">
        <f t="shared" si="9"/>
        <v>1.04</v>
      </c>
    </row>
    <row r="348" spans="1:8" s="15" customFormat="1" x14ac:dyDescent="0.4">
      <c r="A348" s="501"/>
      <c r="B348" s="5"/>
      <c r="C348" s="503"/>
      <c r="D348" s="17">
        <v>0.77</v>
      </c>
      <c r="E348" s="17"/>
      <c r="F348" s="17">
        <v>1.6</v>
      </c>
      <c r="G348" s="4">
        <v>1</v>
      </c>
      <c r="H348" s="24">
        <f t="shared" si="9"/>
        <v>1.2320000000000002</v>
      </c>
    </row>
    <row r="349" spans="1:8" s="15" customFormat="1" x14ac:dyDescent="0.4">
      <c r="A349" s="501"/>
      <c r="B349" s="5"/>
      <c r="C349" s="503"/>
      <c r="D349" s="17">
        <v>0.12</v>
      </c>
      <c r="E349" s="17"/>
      <c r="F349" s="17">
        <v>1.6</v>
      </c>
      <c r="G349" s="4">
        <v>2</v>
      </c>
      <c r="H349" s="24">
        <f t="shared" si="9"/>
        <v>0.38400000000000001</v>
      </c>
    </row>
    <row r="350" spans="1:8" s="15" customFormat="1" x14ac:dyDescent="0.4">
      <c r="A350" s="501"/>
      <c r="B350" s="5"/>
      <c r="C350" s="503"/>
      <c r="D350" s="17">
        <v>2.1</v>
      </c>
      <c r="E350" s="17"/>
      <c r="F350" s="17">
        <v>1.6</v>
      </c>
      <c r="G350" s="4">
        <v>2</v>
      </c>
      <c r="H350" s="24">
        <f t="shared" si="9"/>
        <v>6.7200000000000006</v>
      </c>
    </row>
    <row r="351" spans="1:8" s="15" customFormat="1" x14ac:dyDescent="0.4">
      <c r="A351" s="501"/>
      <c r="B351" s="5" t="s">
        <v>86</v>
      </c>
      <c r="C351" s="503"/>
      <c r="D351" s="8">
        <v>0.8</v>
      </c>
      <c r="E351" s="8"/>
      <c r="F351" s="8">
        <v>2</v>
      </c>
      <c r="G351" s="4">
        <v>1</v>
      </c>
      <c r="H351" s="13">
        <f>-D351*F351*G351</f>
        <v>-1.6</v>
      </c>
    </row>
    <row r="352" spans="1:8" s="15" customFormat="1" x14ac:dyDescent="0.4">
      <c r="A352" s="501"/>
      <c r="B352" s="5" t="s">
        <v>90</v>
      </c>
      <c r="C352" s="503"/>
      <c r="D352" s="17">
        <v>0.75</v>
      </c>
      <c r="E352" s="17"/>
      <c r="F352" s="17">
        <f>1.6-0.9</f>
        <v>0.70000000000000007</v>
      </c>
      <c r="G352" s="4">
        <v>2</v>
      </c>
      <c r="H352" s="13">
        <f>-D352*F352*G352</f>
        <v>-1.05</v>
      </c>
    </row>
    <row r="353" spans="1:8" s="15" customFormat="1" x14ac:dyDescent="0.4">
      <c r="A353" s="501"/>
      <c r="B353" s="5" t="s">
        <v>43</v>
      </c>
      <c r="C353" s="503"/>
      <c r="D353" s="17">
        <v>2.86</v>
      </c>
      <c r="E353" s="17"/>
      <c r="F353" s="17">
        <v>1.6</v>
      </c>
      <c r="G353" s="4">
        <v>2</v>
      </c>
      <c r="H353" s="24">
        <f t="shared" ref="H353:H360" si="10">D353*F353*G353</f>
        <v>9.1519999999999992</v>
      </c>
    </row>
    <row r="354" spans="1:8" s="15" customFormat="1" x14ac:dyDescent="0.4">
      <c r="A354" s="501"/>
      <c r="B354" s="5"/>
      <c r="C354" s="503"/>
      <c r="D354" s="17">
        <v>1.77</v>
      </c>
      <c r="E354" s="17"/>
      <c r="F354" s="17">
        <v>1.6</v>
      </c>
      <c r="G354" s="4">
        <v>2</v>
      </c>
      <c r="H354" s="24">
        <f t="shared" si="10"/>
        <v>5.6640000000000006</v>
      </c>
    </row>
    <row r="355" spans="1:8" s="15" customFormat="1" x14ac:dyDescent="0.4">
      <c r="A355" s="501"/>
      <c r="B355" s="5" t="s">
        <v>91</v>
      </c>
      <c r="C355" s="503"/>
      <c r="D355" s="8">
        <v>0.8</v>
      </c>
      <c r="E355" s="8"/>
      <c r="F355" s="8">
        <v>1.6</v>
      </c>
      <c r="G355" s="4">
        <v>1</v>
      </c>
      <c r="H355" s="13">
        <f>-D355*F355*G355</f>
        <v>-1.2800000000000002</v>
      </c>
    </row>
    <row r="356" spans="1:8" s="15" customFormat="1" x14ac:dyDescent="0.4">
      <c r="A356" s="501"/>
      <c r="B356" s="5" t="s">
        <v>42</v>
      </c>
      <c r="C356" s="503"/>
      <c r="D356" s="17">
        <v>1.58</v>
      </c>
      <c r="E356" s="17"/>
      <c r="F356" s="17">
        <v>1.6</v>
      </c>
      <c r="G356" s="4">
        <v>2</v>
      </c>
      <c r="H356" s="24">
        <f t="shared" si="10"/>
        <v>5.0560000000000009</v>
      </c>
    </row>
    <row r="357" spans="1:8" s="15" customFormat="1" x14ac:dyDescent="0.4">
      <c r="A357" s="501"/>
      <c r="B357" s="5"/>
      <c r="C357" s="503"/>
      <c r="D357" s="17">
        <v>1.77</v>
      </c>
      <c r="E357" s="17"/>
      <c r="F357" s="17">
        <v>1.6</v>
      </c>
      <c r="G357" s="4">
        <v>2</v>
      </c>
      <c r="H357" s="24">
        <f t="shared" si="10"/>
        <v>5.6640000000000006</v>
      </c>
    </row>
    <row r="358" spans="1:8" s="15" customFormat="1" x14ac:dyDescent="0.4">
      <c r="A358" s="501"/>
      <c r="B358" s="5" t="s">
        <v>91</v>
      </c>
      <c r="C358" s="503"/>
      <c r="D358" s="8">
        <v>0.9</v>
      </c>
      <c r="E358" s="8"/>
      <c r="F358" s="17">
        <v>1.6</v>
      </c>
      <c r="G358" s="4">
        <v>1</v>
      </c>
      <c r="H358" s="13">
        <f>-D358*F358*G358</f>
        <v>-1.4400000000000002</v>
      </c>
    </row>
    <row r="359" spans="1:8" s="15" customFormat="1" x14ac:dyDescent="0.4">
      <c r="A359" s="501"/>
      <c r="B359" s="5" t="s">
        <v>88</v>
      </c>
      <c r="C359" s="503"/>
      <c r="D359" s="8">
        <v>1.75</v>
      </c>
      <c r="E359" s="8"/>
      <c r="F359" s="8">
        <v>3.2</v>
      </c>
      <c r="G359" s="4">
        <v>2</v>
      </c>
      <c r="H359" s="24">
        <f t="shared" si="10"/>
        <v>11.200000000000001</v>
      </c>
    </row>
    <row r="360" spans="1:8" s="15" customFormat="1" x14ac:dyDescent="0.4">
      <c r="A360" s="501"/>
      <c r="B360" s="5"/>
      <c r="C360" s="503"/>
      <c r="D360" s="8">
        <v>1.89</v>
      </c>
      <c r="E360" s="8"/>
      <c r="F360" s="8">
        <v>3.2</v>
      </c>
      <c r="G360" s="4">
        <v>2</v>
      </c>
      <c r="H360" s="24">
        <f t="shared" si="10"/>
        <v>12.096</v>
      </c>
    </row>
    <row r="361" spans="1:8" s="15" customFormat="1" x14ac:dyDescent="0.4">
      <c r="A361" s="501"/>
      <c r="B361" s="5" t="s">
        <v>86</v>
      </c>
      <c r="C361" s="503"/>
      <c r="D361" s="8">
        <v>0.8</v>
      </c>
      <c r="E361" s="8"/>
      <c r="F361" s="8">
        <v>2</v>
      </c>
      <c r="G361" s="4">
        <v>1</v>
      </c>
      <c r="H361" s="13">
        <f>-D361*F361*G361</f>
        <v>-1.6</v>
      </c>
    </row>
    <row r="362" spans="1:8" s="15" customFormat="1" x14ac:dyDescent="0.4">
      <c r="A362" s="501"/>
      <c r="B362" s="5"/>
      <c r="C362" s="503"/>
      <c r="D362" s="8"/>
      <c r="E362" s="8"/>
      <c r="F362" s="8"/>
      <c r="G362" s="21" t="s">
        <v>92</v>
      </c>
      <c r="H362" s="10">
        <f>SUM(H309:H361)</f>
        <v>388.64600000000002</v>
      </c>
    </row>
    <row r="363" spans="1:8" s="15" customFormat="1" x14ac:dyDescent="0.4">
      <c r="A363" s="16"/>
      <c r="B363" s="5"/>
      <c r="C363" s="6"/>
      <c r="D363" s="8"/>
      <c r="E363" s="8"/>
      <c r="F363" s="8"/>
      <c r="G363" s="21"/>
      <c r="H363" s="10"/>
    </row>
    <row r="364" spans="1:8" s="15" customFormat="1" x14ac:dyDescent="0.4">
      <c r="A364" s="18">
        <v>16</v>
      </c>
      <c r="B364" s="19" t="s">
        <v>94</v>
      </c>
      <c r="C364" s="7" t="s">
        <v>1</v>
      </c>
      <c r="D364" s="8"/>
      <c r="E364" s="8"/>
      <c r="F364" s="8"/>
      <c r="G364" s="9"/>
      <c r="H364" s="10">
        <f>H250+H286+H288+H295+H301+H307-H362</f>
        <v>1598.5090000000002</v>
      </c>
    </row>
    <row r="365" spans="1:8" s="15" customFormat="1" x14ac:dyDescent="0.4">
      <c r="A365" s="7"/>
      <c r="B365" s="14"/>
      <c r="C365" s="7"/>
      <c r="D365" s="8"/>
      <c r="E365" s="8"/>
      <c r="F365" s="8"/>
      <c r="G365" s="9"/>
      <c r="H365" s="10"/>
    </row>
    <row r="366" spans="1:8" s="15" customFormat="1" ht="27.6" x14ac:dyDescent="0.4">
      <c r="A366" s="501">
        <v>17</v>
      </c>
      <c r="B366" s="19" t="s">
        <v>102</v>
      </c>
      <c r="C366" s="502" t="s">
        <v>1</v>
      </c>
      <c r="D366" s="8"/>
      <c r="E366" s="8"/>
      <c r="F366" s="8"/>
      <c r="G366" s="9"/>
      <c r="H366" s="10"/>
    </row>
    <row r="367" spans="1:8" s="15" customFormat="1" x14ac:dyDescent="0.4">
      <c r="A367" s="501"/>
      <c r="B367" s="14" t="s">
        <v>103</v>
      </c>
      <c r="C367" s="502"/>
      <c r="D367" s="8"/>
      <c r="E367" s="8"/>
      <c r="F367" s="8"/>
      <c r="G367" s="9"/>
      <c r="H367" s="13">
        <v>1.89</v>
      </c>
    </row>
    <row r="368" spans="1:8" s="15" customFormat="1" x14ac:dyDescent="0.4">
      <c r="A368" s="501"/>
      <c r="B368" s="14" t="s">
        <v>104</v>
      </c>
      <c r="C368" s="502"/>
      <c r="D368" s="8"/>
      <c r="E368" s="8"/>
      <c r="F368" s="8"/>
      <c r="G368" s="9"/>
      <c r="H368" s="13">
        <v>1.49</v>
      </c>
    </row>
    <row r="369" spans="1:8" s="15" customFormat="1" x14ac:dyDescent="0.4">
      <c r="A369" s="501"/>
      <c r="B369" s="5" t="s">
        <v>67</v>
      </c>
      <c r="C369" s="502"/>
      <c r="D369" s="8"/>
      <c r="E369" s="8"/>
      <c r="F369" s="8"/>
      <c r="G369" s="9"/>
      <c r="H369" s="13">
        <v>1.58</v>
      </c>
    </row>
    <row r="370" spans="1:8" s="15" customFormat="1" x14ac:dyDescent="0.4">
      <c r="A370" s="501"/>
      <c r="B370" s="5" t="s">
        <v>105</v>
      </c>
      <c r="C370" s="502"/>
      <c r="D370" s="8"/>
      <c r="E370" s="8"/>
      <c r="F370" s="8"/>
      <c r="G370" s="9"/>
      <c r="H370" s="13">
        <v>17.64</v>
      </c>
    </row>
    <row r="371" spans="1:8" s="15" customFormat="1" x14ac:dyDescent="0.4">
      <c r="A371" s="501"/>
      <c r="B371" s="14" t="s">
        <v>106</v>
      </c>
      <c r="C371" s="502"/>
      <c r="D371" s="8"/>
      <c r="E371" s="8"/>
      <c r="F371" s="8"/>
      <c r="G371" s="9"/>
      <c r="H371" s="13">
        <v>3.17</v>
      </c>
    </row>
    <row r="372" spans="1:8" s="15" customFormat="1" x14ac:dyDescent="0.4">
      <c r="A372" s="501"/>
      <c r="B372" s="5" t="s">
        <v>107</v>
      </c>
      <c r="C372" s="502"/>
      <c r="D372" s="8"/>
      <c r="E372" s="8"/>
      <c r="F372" s="8"/>
      <c r="G372" s="9"/>
      <c r="H372" s="13">
        <v>15.64</v>
      </c>
    </row>
    <row r="373" spans="1:8" s="15" customFormat="1" x14ac:dyDescent="0.4">
      <c r="A373" s="501"/>
      <c r="B373" s="14" t="s">
        <v>108</v>
      </c>
      <c r="C373" s="502"/>
      <c r="D373" s="8"/>
      <c r="E373" s="8"/>
      <c r="F373" s="8"/>
      <c r="G373" s="9"/>
      <c r="H373" s="13">
        <v>18.54</v>
      </c>
    </row>
    <row r="374" spans="1:8" s="15" customFormat="1" x14ac:dyDescent="0.4">
      <c r="A374" s="501"/>
      <c r="B374" s="14" t="s">
        <v>109</v>
      </c>
      <c r="C374" s="502"/>
      <c r="D374" s="8"/>
      <c r="E374" s="8"/>
      <c r="F374" s="8"/>
      <c r="G374" s="9"/>
      <c r="H374" s="13">
        <v>5.39</v>
      </c>
    </row>
    <row r="375" spans="1:8" s="15" customFormat="1" x14ac:dyDescent="0.4">
      <c r="A375" s="501"/>
      <c r="B375" s="14" t="s">
        <v>76</v>
      </c>
      <c r="C375" s="502"/>
      <c r="D375" s="8"/>
      <c r="E375" s="8"/>
      <c r="F375" s="8"/>
      <c r="G375" s="9"/>
      <c r="H375" s="13">
        <v>3.69</v>
      </c>
    </row>
    <row r="376" spans="1:8" s="15" customFormat="1" x14ac:dyDescent="0.4">
      <c r="A376" s="501"/>
      <c r="B376" s="5" t="s">
        <v>88</v>
      </c>
      <c r="C376" s="502"/>
      <c r="D376" s="8"/>
      <c r="E376" s="8"/>
      <c r="F376" s="8"/>
      <c r="G376" s="9"/>
      <c r="H376" s="13">
        <v>3.31</v>
      </c>
    </row>
    <row r="377" spans="1:8" s="15" customFormat="1" x14ac:dyDescent="0.4">
      <c r="A377" s="501"/>
      <c r="B377" s="14"/>
      <c r="C377" s="502"/>
      <c r="D377" s="8"/>
      <c r="E377" s="8"/>
      <c r="F377" s="8"/>
      <c r="G377" s="21" t="s">
        <v>96</v>
      </c>
      <c r="H377" s="10">
        <f>SUM(H366:H376)</f>
        <v>72.34</v>
      </c>
    </row>
    <row r="378" spans="1:8" s="15" customFormat="1" x14ac:dyDescent="0.4">
      <c r="A378" s="7"/>
      <c r="B378" s="14"/>
      <c r="C378" s="7"/>
      <c r="D378" s="8"/>
      <c r="E378" s="8"/>
      <c r="F378" s="8"/>
      <c r="G378" s="9"/>
      <c r="H378" s="13"/>
    </row>
    <row r="379" spans="1:8" s="15" customFormat="1" ht="27.6" x14ac:dyDescent="0.4">
      <c r="A379" s="501">
        <v>18</v>
      </c>
      <c r="B379" s="19" t="s">
        <v>97</v>
      </c>
      <c r="C379" s="502" t="s">
        <v>1</v>
      </c>
      <c r="D379" s="8"/>
      <c r="E379" s="8"/>
      <c r="F379" s="8"/>
      <c r="G379" s="9"/>
      <c r="H379" s="13"/>
    </row>
    <row r="380" spans="1:8" s="15" customFormat="1" x14ac:dyDescent="0.4">
      <c r="A380" s="501"/>
      <c r="B380" s="14" t="s">
        <v>98</v>
      </c>
      <c r="C380" s="502"/>
      <c r="D380" s="17">
        <v>6.6</v>
      </c>
      <c r="E380" s="17"/>
      <c r="F380" s="17">
        <f>3.2-1.6</f>
        <v>1.6</v>
      </c>
      <c r="G380" s="4">
        <v>2</v>
      </c>
      <c r="H380" s="24">
        <f>D380*F380*G380</f>
        <v>21.12</v>
      </c>
    </row>
    <row r="381" spans="1:8" s="15" customFormat="1" x14ac:dyDescent="0.4">
      <c r="A381" s="501"/>
      <c r="B381" s="14"/>
      <c r="C381" s="502"/>
      <c r="D381" s="17">
        <v>3.96</v>
      </c>
      <c r="E381" s="17"/>
      <c r="F381" s="17">
        <f>3.2-1.6</f>
        <v>1.6</v>
      </c>
      <c r="G381" s="4">
        <v>2</v>
      </c>
      <c r="H381" s="24">
        <f>D381*F381*G381</f>
        <v>12.672000000000001</v>
      </c>
    </row>
    <row r="382" spans="1:8" s="15" customFormat="1" x14ac:dyDescent="0.4">
      <c r="A382" s="501"/>
      <c r="B382" s="14"/>
      <c r="C382" s="502"/>
      <c r="D382" s="8"/>
      <c r="E382" s="8"/>
      <c r="F382" s="8"/>
      <c r="G382" s="9"/>
      <c r="H382" s="24">
        <v>15.08</v>
      </c>
    </row>
    <row r="383" spans="1:8" s="15" customFormat="1" x14ac:dyDescent="0.4">
      <c r="A383" s="501"/>
      <c r="B383" s="14"/>
      <c r="C383" s="502"/>
      <c r="D383" s="8"/>
      <c r="E383" s="8"/>
      <c r="F383" s="8"/>
      <c r="G383" s="9"/>
      <c r="H383" s="24">
        <v>7.16</v>
      </c>
    </row>
    <row r="384" spans="1:8" s="15" customFormat="1" x14ac:dyDescent="0.4">
      <c r="A384" s="501"/>
      <c r="B384" s="14" t="s">
        <v>99</v>
      </c>
      <c r="C384" s="502"/>
      <c r="D384" s="8">
        <v>3.6</v>
      </c>
      <c r="E384" s="8"/>
      <c r="F384" s="8">
        <v>0.65</v>
      </c>
      <c r="G384" s="9">
        <v>1</v>
      </c>
      <c r="H384" s="24">
        <f>-D384*F384*G384</f>
        <v>-2.3400000000000003</v>
      </c>
    </row>
    <row r="385" spans="1:8" s="15" customFormat="1" x14ac:dyDescent="0.4">
      <c r="A385" s="501"/>
      <c r="B385" s="14"/>
      <c r="C385" s="502"/>
      <c r="D385" s="8">
        <v>0.75</v>
      </c>
      <c r="E385" s="8"/>
      <c r="F385" s="8">
        <f>3.2-1.6</f>
        <v>1.6</v>
      </c>
      <c r="G385" s="9">
        <v>2</v>
      </c>
      <c r="H385" s="24">
        <f>-D385*F385*G385</f>
        <v>-2.4000000000000004</v>
      </c>
    </row>
    <row r="386" spans="1:8" s="15" customFormat="1" x14ac:dyDescent="0.4">
      <c r="A386" s="501"/>
      <c r="B386" s="14" t="s">
        <v>91</v>
      </c>
      <c r="C386" s="502"/>
      <c r="D386" s="8">
        <v>0.8</v>
      </c>
      <c r="E386" s="8"/>
      <c r="F386" s="8">
        <f>2-1.6</f>
        <v>0.39999999999999991</v>
      </c>
      <c r="G386" s="9">
        <v>2</v>
      </c>
      <c r="H386" s="24">
        <f>-D386*F386*G386</f>
        <v>-0.6399999999999999</v>
      </c>
    </row>
    <row r="387" spans="1:8" s="15" customFormat="1" x14ac:dyDescent="0.4">
      <c r="A387" s="501"/>
      <c r="B387" s="14" t="s">
        <v>62</v>
      </c>
      <c r="C387" s="502"/>
      <c r="D387" s="8">
        <v>2.86</v>
      </c>
      <c r="E387" s="8"/>
      <c r="F387" s="17">
        <f>3.2-1.6</f>
        <v>1.6</v>
      </c>
      <c r="G387" s="9">
        <v>2</v>
      </c>
      <c r="H387" s="24">
        <f>D387*F387*G387</f>
        <v>9.1519999999999992</v>
      </c>
    </row>
    <row r="388" spans="1:8" s="15" customFormat="1" x14ac:dyDescent="0.4">
      <c r="A388" s="501"/>
      <c r="B388" s="14"/>
      <c r="C388" s="502"/>
      <c r="D388" s="8">
        <v>1.77</v>
      </c>
      <c r="E388" s="8"/>
      <c r="F388" s="17">
        <f>3.2-1.6</f>
        <v>1.6</v>
      </c>
      <c r="G388" s="9">
        <v>2</v>
      </c>
      <c r="H388" s="24">
        <f>D388*F388*G388</f>
        <v>5.6640000000000006</v>
      </c>
    </row>
    <row r="389" spans="1:8" s="15" customFormat="1" x14ac:dyDescent="0.4">
      <c r="A389" s="501"/>
      <c r="B389" s="14" t="s">
        <v>91</v>
      </c>
      <c r="C389" s="502"/>
      <c r="D389" s="8">
        <v>0.8</v>
      </c>
      <c r="E389" s="8"/>
      <c r="F389" s="8">
        <f>2-1.6</f>
        <v>0.39999999999999991</v>
      </c>
      <c r="G389" s="9">
        <v>1</v>
      </c>
      <c r="H389" s="24">
        <f>-D389*F389*G389</f>
        <v>-0.31999999999999995</v>
      </c>
    </row>
    <row r="390" spans="1:8" s="15" customFormat="1" x14ac:dyDescent="0.4">
      <c r="A390" s="501"/>
      <c r="B390" s="14" t="s">
        <v>42</v>
      </c>
      <c r="C390" s="502"/>
      <c r="D390" s="8">
        <v>1.58</v>
      </c>
      <c r="E390" s="8"/>
      <c r="F390" s="17">
        <f>3.2-1.6</f>
        <v>1.6</v>
      </c>
      <c r="G390" s="9">
        <v>2</v>
      </c>
      <c r="H390" s="24">
        <f>D390*F390*G390</f>
        <v>5.0560000000000009</v>
      </c>
    </row>
    <row r="391" spans="1:8" s="15" customFormat="1" x14ac:dyDescent="0.4">
      <c r="A391" s="501"/>
      <c r="B391" s="14"/>
      <c r="C391" s="502"/>
      <c r="D391" s="8">
        <v>1.77</v>
      </c>
      <c r="E391" s="8"/>
      <c r="F391" s="17">
        <f>3.2-1.6</f>
        <v>1.6</v>
      </c>
      <c r="G391" s="9">
        <v>2</v>
      </c>
      <c r="H391" s="24">
        <f>D391*F391*G391</f>
        <v>5.6640000000000006</v>
      </c>
    </row>
    <row r="392" spans="1:8" s="15" customFormat="1" x14ac:dyDescent="0.4">
      <c r="A392" s="501"/>
      <c r="B392" s="14" t="s">
        <v>91</v>
      </c>
      <c r="C392" s="502"/>
      <c r="D392" s="8">
        <v>0.9</v>
      </c>
      <c r="E392" s="8"/>
      <c r="F392" s="8">
        <f>3-1.6</f>
        <v>1.4</v>
      </c>
      <c r="G392" s="9">
        <v>1</v>
      </c>
      <c r="H392" s="24">
        <f>-D392*F392*G392</f>
        <v>-1.26</v>
      </c>
    </row>
    <row r="393" spans="1:8" s="15" customFormat="1" x14ac:dyDescent="0.4">
      <c r="A393" s="501"/>
      <c r="B393" s="14"/>
      <c r="C393" s="502"/>
      <c r="D393" s="8"/>
      <c r="E393" s="8"/>
      <c r="F393" s="8"/>
      <c r="G393" s="21" t="s">
        <v>100</v>
      </c>
      <c r="H393" s="10">
        <f>SUM(H379:H392)</f>
        <v>74.60799999999999</v>
      </c>
    </row>
    <row r="394" spans="1:8" s="15" customFormat="1" x14ac:dyDescent="0.4">
      <c r="A394" s="7"/>
      <c r="B394" s="14"/>
      <c r="C394" s="7"/>
      <c r="D394" s="8"/>
      <c r="E394" s="8"/>
      <c r="F394" s="8"/>
      <c r="G394" s="9"/>
      <c r="H394" s="10"/>
    </row>
    <row r="395" spans="1:8" s="15" customFormat="1" ht="15" customHeight="1" x14ac:dyDescent="0.4">
      <c r="A395" s="18">
        <v>19</v>
      </c>
      <c r="B395" s="19" t="s">
        <v>101</v>
      </c>
      <c r="C395" s="7" t="s">
        <v>1</v>
      </c>
      <c r="D395" s="8"/>
      <c r="E395" s="8"/>
      <c r="F395" s="8"/>
      <c r="G395" s="9"/>
      <c r="H395" s="10">
        <f>H364-H377-H393</f>
        <v>1451.5610000000004</v>
      </c>
    </row>
    <row r="396" spans="1:8" s="15" customFormat="1" x14ac:dyDescent="0.4">
      <c r="A396" s="7"/>
      <c r="B396" s="14"/>
      <c r="C396" s="7"/>
      <c r="D396" s="8"/>
      <c r="E396" s="8"/>
      <c r="F396" s="8"/>
      <c r="G396" s="9"/>
      <c r="H396" s="10"/>
    </row>
    <row r="397" spans="1:8" s="15" customFormat="1" x14ac:dyDescent="0.4">
      <c r="A397" s="501">
        <v>20</v>
      </c>
      <c r="B397" s="11" t="s">
        <v>189</v>
      </c>
      <c r="C397" s="503" t="s">
        <v>1</v>
      </c>
      <c r="D397" s="14"/>
      <c r="E397" s="14"/>
      <c r="F397" s="14"/>
      <c r="G397" s="7"/>
      <c r="H397" s="10"/>
    </row>
    <row r="398" spans="1:8" s="15" customFormat="1" x14ac:dyDescent="0.4">
      <c r="A398" s="501"/>
      <c r="B398" s="5" t="s">
        <v>32</v>
      </c>
      <c r="C398" s="503"/>
      <c r="D398" s="8"/>
      <c r="E398" s="8"/>
      <c r="F398" s="8"/>
      <c r="G398" s="9"/>
      <c r="H398" s="13">
        <v>2.85</v>
      </c>
    </row>
    <row r="399" spans="1:8" s="15" customFormat="1" x14ac:dyDescent="0.4">
      <c r="A399" s="501"/>
      <c r="B399" s="5" t="s">
        <v>38</v>
      </c>
      <c r="C399" s="503"/>
      <c r="D399" s="16"/>
      <c r="E399" s="16"/>
      <c r="F399" s="16"/>
      <c r="G399" s="18"/>
      <c r="H399" s="13">
        <v>51.63</v>
      </c>
    </row>
    <row r="400" spans="1:8" s="15" customFormat="1" x14ac:dyDescent="0.4">
      <c r="A400" s="501"/>
      <c r="B400" s="5" t="s">
        <v>38</v>
      </c>
      <c r="C400" s="503"/>
      <c r="D400" s="16"/>
      <c r="E400" s="16"/>
      <c r="F400" s="16"/>
      <c r="G400" s="18"/>
      <c r="H400" s="13">
        <v>5.23</v>
      </c>
    </row>
    <row r="401" spans="1:8" s="15" customFormat="1" x14ac:dyDescent="0.4">
      <c r="A401" s="501"/>
      <c r="B401" s="5" t="s">
        <v>54</v>
      </c>
      <c r="C401" s="503"/>
      <c r="D401" s="16"/>
      <c r="E401" s="16"/>
      <c r="F401" s="16"/>
      <c r="G401" s="18"/>
      <c r="H401" s="13">
        <v>11.08</v>
      </c>
    </row>
    <row r="402" spans="1:8" s="15" customFormat="1" x14ac:dyDescent="0.4">
      <c r="A402" s="501"/>
      <c r="B402" s="5" t="s">
        <v>66</v>
      </c>
      <c r="C402" s="503"/>
      <c r="D402" s="16"/>
      <c r="E402" s="16"/>
      <c r="F402" s="16"/>
      <c r="G402" s="18"/>
      <c r="H402" s="13">
        <v>12.48</v>
      </c>
    </row>
    <row r="403" spans="1:8" s="15" customFormat="1" x14ac:dyDescent="0.4">
      <c r="A403" s="501"/>
      <c r="B403" s="5" t="s">
        <v>52</v>
      </c>
      <c r="C403" s="503"/>
      <c r="D403" s="16"/>
      <c r="E403" s="16"/>
      <c r="F403" s="16"/>
      <c r="G403" s="18"/>
      <c r="H403" s="13">
        <v>9.35</v>
      </c>
    </row>
    <row r="404" spans="1:8" s="15" customFormat="1" x14ac:dyDescent="0.4">
      <c r="A404" s="501"/>
      <c r="B404" s="5" t="s">
        <v>51</v>
      </c>
      <c r="C404" s="503"/>
      <c r="D404" s="16"/>
      <c r="E404" s="16"/>
      <c r="F404" s="16"/>
      <c r="G404" s="18"/>
      <c r="H404" s="13">
        <v>1.89</v>
      </c>
    </row>
    <row r="405" spans="1:8" s="15" customFormat="1" x14ac:dyDescent="0.4">
      <c r="A405" s="501"/>
      <c r="B405" s="5" t="s">
        <v>49</v>
      </c>
      <c r="C405" s="503"/>
      <c r="D405" s="16"/>
      <c r="E405" s="16"/>
      <c r="F405" s="16"/>
      <c r="G405" s="18"/>
      <c r="H405" s="13">
        <v>1.49</v>
      </c>
    </row>
    <row r="406" spans="1:8" s="15" customFormat="1" x14ac:dyDescent="0.4">
      <c r="A406" s="501"/>
      <c r="B406" s="5" t="s">
        <v>67</v>
      </c>
      <c r="C406" s="503"/>
      <c r="D406" s="16"/>
      <c r="E406" s="16"/>
      <c r="F406" s="16"/>
      <c r="G406" s="18"/>
      <c r="H406" s="13">
        <v>1.58</v>
      </c>
    </row>
    <row r="407" spans="1:8" s="15" customFormat="1" x14ac:dyDescent="0.4">
      <c r="A407" s="501"/>
      <c r="B407" s="5" t="s">
        <v>48</v>
      </c>
      <c r="C407" s="503"/>
      <c r="D407" s="16"/>
      <c r="E407" s="16"/>
      <c r="F407" s="16"/>
      <c r="G407" s="18"/>
      <c r="H407" s="13">
        <v>11.04</v>
      </c>
    </row>
    <row r="408" spans="1:8" s="15" customFormat="1" x14ac:dyDescent="0.4">
      <c r="A408" s="501"/>
      <c r="B408" s="5" t="s">
        <v>69</v>
      </c>
      <c r="C408" s="503"/>
      <c r="D408" s="16"/>
      <c r="E408" s="16"/>
      <c r="F408" s="16"/>
      <c r="G408" s="18"/>
      <c r="H408" s="13">
        <v>17.64</v>
      </c>
    </row>
    <row r="409" spans="1:8" s="15" customFormat="1" x14ac:dyDescent="0.4">
      <c r="A409" s="501"/>
      <c r="B409" s="5" t="s">
        <v>68</v>
      </c>
      <c r="C409" s="503"/>
      <c r="D409" s="16"/>
      <c r="E409" s="16"/>
      <c r="F409" s="16"/>
      <c r="G409" s="18"/>
      <c r="H409" s="13">
        <v>3.17</v>
      </c>
    </row>
    <row r="410" spans="1:8" s="15" customFormat="1" x14ac:dyDescent="0.4">
      <c r="A410" s="501"/>
      <c r="B410" s="5" t="s">
        <v>70</v>
      </c>
      <c r="C410" s="503"/>
      <c r="D410" s="16"/>
      <c r="E410" s="16"/>
      <c r="F410" s="16"/>
      <c r="G410" s="18"/>
      <c r="H410" s="13">
        <v>15.64</v>
      </c>
    </row>
    <row r="411" spans="1:8" s="15" customFormat="1" x14ac:dyDescent="0.4">
      <c r="A411" s="501"/>
      <c r="B411" s="14" t="s">
        <v>55</v>
      </c>
      <c r="C411" s="503"/>
      <c r="D411" s="16"/>
      <c r="E411" s="16"/>
      <c r="F411" s="16"/>
      <c r="G411" s="18"/>
      <c r="H411" s="13">
        <v>10</v>
      </c>
    </row>
    <row r="412" spans="1:8" s="15" customFormat="1" x14ac:dyDescent="0.4">
      <c r="A412" s="501"/>
      <c r="B412" s="14" t="s">
        <v>59</v>
      </c>
      <c r="C412" s="503"/>
      <c r="D412" s="16"/>
      <c r="E412" s="16"/>
      <c r="F412" s="16"/>
      <c r="G412" s="18"/>
      <c r="H412" s="13">
        <v>10.23</v>
      </c>
    </row>
    <row r="413" spans="1:8" s="15" customFormat="1" x14ac:dyDescent="0.4">
      <c r="A413" s="501"/>
      <c r="B413" s="14" t="s">
        <v>83</v>
      </c>
      <c r="C413" s="503"/>
      <c r="D413" s="16"/>
      <c r="E413" s="16"/>
      <c r="F413" s="16"/>
      <c r="G413" s="18"/>
      <c r="H413" s="13">
        <v>5.39</v>
      </c>
    </row>
    <row r="414" spans="1:8" s="15" customFormat="1" x14ac:dyDescent="0.4">
      <c r="A414" s="501"/>
      <c r="B414" s="14" t="s">
        <v>58</v>
      </c>
      <c r="C414" s="503"/>
      <c r="D414" s="16"/>
      <c r="E414" s="16"/>
      <c r="F414" s="16"/>
      <c r="G414" s="18"/>
      <c r="H414" s="13">
        <v>9.5500000000000007</v>
      </c>
    </row>
    <row r="415" spans="1:8" s="15" customFormat="1" x14ac:dyDescent="0.4">
      <c r="A415" s="501"/>
      <c r="B415" s="5" t="s">
        <v>56</v>
      </c>
      <c r="C415" s="503"/>
      <c r="D415" s="16"/>
      <c r="E415" s="16"/>
      <c r="F415" s="16"/>
      <c r="G415" s="18"/>
      <c r="H415" s="13">
        <v>10.56</v>
      </c>
    </row>
    <row r="416" spans="1:8" s="15" customFormat="1" x14ac:dyDescent="0.4">
      <c r="A416" s="501"/>
      <c r="B416" s="5" t="s">
        <v>38</v>
      </c>
      <c r="C416" s="503"/>
      <c r="D416" s="16"/>
      <c r="E416" s="16"/>
      <c r="F416" s="16"/>
      <c r="G416" s="18"/>
      <c r="H416" s="13">
        <v>5.38</v>
      </c>
    </row>
    <row r="417" spans="1:8" s="15" customFormat="1" x14ac:dyDescent="0.4">
      <c r="A417" s="501"/>
      <c r="B417" s="5" t="s">
        <v>34</v>
      </c>
      <c r="C417" s="503"/>
      <c r="D417" s="16"/>
      <c r="E417" s="16"/>
      <c r="F417" s="16"/>
      <c r="G417" s="18"/>
      <c r="H417" s="13">
        <v>21.95</v>
      </c>
    </row>
    <row r="418" spans="1:8" s="15" customFormat="1" x14ac:dyDescent="0.4">
      <c r="A418" s="501"/>
      <c r="B418" s="5" t="s">
        <v>71</v>
      </c>
      <c r="C418" s="503"/>
      <c r="D418" s="16"/>
      <c r="E418" s="16"/>
      <c r="F418" s="16"/>
      <c r="G418" s="18"/>
      <c r="H418" s="13">
        <v>32.15</v>
      </c>
    </row>
    <row r="419" spans="1:8" s="15" customFormat="1" x14ac:dyDescent="0.4">
      <c r="A419" s="501"/>
      <c r="B419" s="5" t="s">
        <v>72</v>
      </c>
      <c r="C419" s="503"/>
      <c r="D419" s="16"/>
      <c r="E419" s="16"/>
      <c r="F419" s="16"/>
      <c r="G419" s="18"/>
      <c r="H419" s="13">
        <v>153.88</v>
      </c>
    </row>
    <row r="420" spans="1:8" s="15" customFormat="1" x14ac:dyDescent="0.4">
      <c r="A420" s="501"/>
      <c r="B420" s="5" t="s">
        <v>73</v>
      </c>
      <c r="C420" s="503"/>
      <c r="D420" s="16"/>
      <c r="E420" s="16"/>
      <c r="F420" s="16"/>
      <c r="G420" s="18"/>
      <c r="H420" s="13">
        <v>6.64</v>
      </c>
    </row>
    <row r="421" spans="1:8" s="15" customFormat="1" x14ac:dyDescent="0.4">
      <c r="A421" s="501"/>
      <c r="B421" s="36" t="s">
        <v>74</v>
      </c>
      <c r="C421" s="503"/>
      <c r="D421" s="16"/>
      <c r="E421" s="16"/>
      <c r="F421" s="16"/>
      <c r="G421" s="18"/>
      <c r="H421" s="13">
        <v>15.08</v>
      </c>
    </row>
    <row r="422" spans="1:8" s="15" customFormat="1" x14ac:dyDescent="0.4">
      <c r="A422" s="501"/>
      <c r="B422" s="36" t="s">
        <v>75</v>
      </c>
      <c r="C422" s="503"/>
      <c r="D422" s="16"/>
      <c r="E422" s="16"/>
      <c r="F422" s="16"/>
      <c r="G422" s="18"/>
      <c r="H422" s="13">
        <v>7.16</v>
      </c>
    </row>
    <row r="423" spans="1:8" s="15" customFormat="1" x14ac:dyDescent="0.4">
      <c r="A423" s="501"/>
      <c r="B423" s="36" t="s">
        <v>38</v>
      </c>
      <c r="C423" s="503"/>
      <c r="D423" s="16"/>
      <c r="E423" s="16"/>
      <c r="F423" s="16"/>
      <c r="G423" s="18"/>
      <c r="H423" s="13">
        <v>10.5</v>
      </c>
    </row>
    <row r="424" spans="1:8" s="15" customFormat="1" x14ac:dyDescent="0.4">
      <c r="A424" s="501"/>
      <c r="B424" s="30" t="s">
        <v>62</v>
      </c>
      <c r="C424" s="503"/>
      <c r="D424" s="16"/>
      <c r="E424" s="16"/>
      <c r="F424" s="16"/>
      <c r="G424" s="18"/>
      <c r="H424" s="13">
        <v>5.07</v>
      </c>
    </row>
    <row r="425" spans="1:8" s="15" customFormat="1" x14ac:dyDescent="0.4">
      <c r="A425" s="501"/>
      <c r="B425" s="36" t="s">
        <v>42</v>
      </c>
      <c r="C425" s="503"/>
      <c r="D425" s="16"/>
      <c r="E425" s="16"/>
      <c r="F425" s="16"/>
      <c r="G425" s="18"/>
      <c r="H425" s="13">
        <v>2.81</v>
      </c>
    </row>
    <row r="426" spans="1:8" s="15" customFormat="1" x14ac:dyDescent="0.4">
      <c r="A426" s="501"/>
      <c r="B426" s="5" t="s">
        <v>35</v>
      </c>
      <c r="C426" s="503"/>
      <c r="D426" s="16"/>
      <c r="E426" s="16"/>
      <c r="F426" s="16"/>
      <c r="G426" s="18"/>
      <c r="H426" s="13">
        <v>3.77</v>
      </c>
    </row>
    <row r="427" spans="1:8" s="15" customFormat="1" x14ac:dyDescent="0.4">
      <c r="A427" s="501"/>
      <c r="B427" s="30" t="s">
        <v>44</v>
      </c>
      <c r="C427" s="503"/>
      <c r="D427" s="52"/>
      <c r="E427" s="52"/>
      <c r="F427" s="52"/>
      <c r="G427" s="121"/>
      <c r="H427" s="13">
        <v>6.33</v>
      </c>
    </row>
    <row r="428" spans="1:8" s="15" customFormat="1" x14ac:dyDescent="0.4">
      <c r="A428" s="501"/>
      <c r="B428" s="30" t="s">
        <v>77</v>
      </c>
      <c r="C428" s="503"/>
      <c r="D428" s="52"/>
      <c r="E428" s="52"/>
      <c r="F428" s="52"/>
      <c r="G428" s="121"/>
      <c r="H428" s="13">
        <v>3.93</v>
      </c>
    </row>
    <row r="429" spans="1:8" s="15" customFormat="1" x14ac:dyDescent="0.4">
      <c r="A429" s="501"/>
      <c r="B429" s="5" t="s">
        <v>34</v>
      </c>
      <c r="C429" s="503"/>
      <c r="D429" s="52"/>
      <c r="E429" s="52"/>
      <c r="F429" s="52"/>
      <c r="G429" s="121"/>
      <c r="H429" s="13">
        <v>28.44</v>
      </c>
    </row>
    <row r="430" spans="1:8" s="15" customFormat="1" x14ac:dyDescent="0.4">
      <c r="A430" s="501"/>
      <c r="B430" s="36" t="s">
        <v>38</v>
      </c>
      <c r="C430" s="503"/>
      <c r="D430" s="14"/>
      <c r="E430" s="14"/>
      <c r="F430" s="14"/>
      <c r="G430" s="7"/>
      <c r="H430" s="13">
        <v>18.54</v>
      </c>
    </row>
    <row r="431" spans="1:8" s="15" customFormat="1" x14ac:dyDescent="0.4">
      <c r="A431" s="501"/>
      <c r="B431" s="36" t="s">
        <v>76</v>
      </c>
      <c r="C431" s="503"/>
      <c r="D431" s="14"/>
      <c r="E431" s="14"/>
      <c r="F431" s="14"/>
      <c r="G431" s="7"/>
      <c r="H431" s="13">
        <v>3.69</v>
      </c>
    </row>
    <row r="432" spans="1:8" s="15" customFormat="1" x14ac:dyDescent="0.4">
      <c r="A432" s="501"/>
      <c r="B432" s="5" t="s">
        <v>67</v>
      </c>
      <c r="C432" s="503"/>
      <c r="D432" s="14"/>
      <c r="E432" s="14"/>
      <c r="F432" s="14"/>
      <c r="G432" s="7"/>
      <c r="H432" s="13">
        <v>3.31</v>
      </c>
    </row>
    <row r="433" spans="1:8" s="15" customFormat="1" x14ac:dyDescent="0.4">
      <c r="A433" s="501"/>
      <c r="B433" s="11"/>
      <c r="C433" s="503"/>
      <c r="D433" s="14"/>
      <c r="E433" s="14"/>
      <c r="F433" s="14"/>
      <c r="G433" s="95" t="s">
        <v>28</v>
      </c>
      <c r="H433" s="10">
        <f>SUM(H397:H432)</f>
        <v>519.42999999999995</v>
      </c>
    </row>
    <row r="434" spans="1:8" s="15" customFormat="1" x14ac:dyDescent="0.4">
      <c r="A434" s="18"/>
      <c r="B434" s="11"/>
      <c r="C434" s="6"/>
      <c r="D434" s="14"/>
      <c r="E434" s="14"/>
      <c r="F434" s="14"/>
      <c r="G434" s="7"/>
      <c r="H434" s="10"/>
    </row>
    <row r="435" spans="1:8" s="20" customFormat="1" x14ac:dyDescent="0.4">
      <c r="A435" s="501">
        <v>21</v>
      </c>
      <c r="B435" s="19" t="s">
        <v>81</v>
      </c>
      <c r="C435" s="503" t="s">
        <v>1</v>
      </c>
      <c r="D435" s="8"/>
      <c r="E435" s="8"/>
      <c r="F435" s="8"/>
      <c r="G435" s="7"/>
      <c r="H435" s="13"/>
    </row>
    <row r="436" spans="1:8" s="20" customFormat="1" x14ac:dyDescent="0.4">
      <c r="A436" s="501"/>
      <c r="B436" s="5" t="s">
        <v>32</v>
      </c>
      <c r="C436" s="503"/>
      <c r="D436" s="8"/>
      <c r="E436" s="8"/>
      <c r="F436" s="8"/>
      <c r="G436" s="7"/>
      <c r="H436" s="13">
        <v>2.85</v>
      </c>
    </row>
    <row r="437" spans="1:8" s="20" customFormat="1" x14ac:dyDescent="0.4">
      <c r="A437" s="501"/>
      <c r="B437" s="5" t="s">
        <v>38</v>
      </c>
      <c r="C437" s="503"/>
      <c r="D437" s="8"/>
      <c r="E437" s="8"/>
      <c r="F437" s="8"/>
      <c r="G437" s="7"/>
      <c r="H437" s="13">
        <v>51.63</v>
      </c>
    </row>
    <row r="438" spans="1:8" s="20" customFormat="1" x14ac:dyDescent="0.4">
      <c r="A438" s="501"/>
      <c r="B438" s="5" t="s">
        <v>38</v>
      </c>
      <c r="C438" s="503"/>
      <c r="D438" s="8"/>
      <c r="E438" s="8"/>
      <c r="F438" s="8"/>
      <c r="G438" s="7"/>
      <c r="H438" s="13">
        <v>5.23</v>
      </c>
    </row>
    <row r="439" spans="1:8" s="20" customFormat="1" x14ac:dyDescent="0.4">
      <c r="A439" s="501"/>
      <c r="B439" s="5" t="s">
        <v>54</v>
      </c>
      <c r="C439" s="503"/>
      <c r="D439" s="8"/>
      <c r="E439" s="8"/>
      <c r="F439" s="8"/>
      <c r="G439" s="7"/>
      <c r="H439" s="13">
        <v>11.08</v>
      </c>
    </row>
    <row r="440" spans="1:8" s="20" customFormat="1" x14ac:dyDescent="0.4">
      <c r="A440" s="501"/>
      <c r="B440" s="5" t="s">
        <v>66</v>
      </c>
      <c r="C440" s="503"/>
      <c r="D440" s="8"/>
      <c r="E440" s="8"/>
      <c r="F440" s="8"/>
      <c r="G440" s="7"/>
      <c r="H440" s="13">
        <v>12.48</v>
      </c>
    </row>
    <row r="441" spans="1:8" s="20" customFormat="1" x14ac:dyDescent="0.4">
      <c r="A441" s="501"/>
      <c r="B441" s="5" t="s">
        <v>52</v>
      </c>
      <c r="C441" s="503"/>
      <c r="D441" s="14"/>
      <c r="E441" s="14"/>
      <c r="F441" s="14"/>
      <c r="G441" s="7"/>
      <c r="H441" s="13">
        <v>9.35</v>
      </c>
    </row>
    <row r="442" spans="1:8" s="20" customFormat="1" x14ac:dyDescent="0.4">
      <c r="A442" s="501"/>
      <c r="B442" s="5" t="s">
        <v>51</v>
      </c>
      <c r="C442" s="503"/>
      <c r="D442" s="52"/>
      <c r="E442" s="52"/>
      <c r="F442" s="52"/>
      <c r="G442" s="121"/>
      <c r="H442" s="13">
        <v>1.89</v>
      </c>
    </row>
    <row r="443" spans="1:8" s="20" customFormat="1" x14ac:dyDescent="0.4">
      <c r="A443" s="501"/>
      <c r="B443" s="5" t="s">
        <v>49</v>
      </c>
      <c r="C443" s="503"/>
      <c r="D443" s="52"/>
      <c r="E443" s="52"/>
      <c r="F443" s="52"/>
      <c r="G443" s="121"/>
      <c r="H443" s="13">
        <v>1.49</v>
      </c>
    </row>
    <row r="444" spans="1:8" s="20" customFormat="1" x14ac:dyDescent="0.4">
      <c r="A444" s="501"/>
      <c r="B444" s="5" t="s">
        <v>67</v>
      </c>
      <c r="C444" s="503"/>
      <c r="D444" s="52"/>
      <c r="E444" s="52"/>
      <c r="F444" s="52"/>
      <c r="G444" s="121"/>
      <c r="H444" s="13">
        <v>1.58</v>
      </c>
    </row>
    <row r="445" spans="1:8" s="20" customFormat="1" x14ac:dyDescent="0.4">
      <c r="A445" s="501"/>
      <c r="B445" s="5" t="s">
        <v>48</v>
      </c>
      <c r="C445" s="503"/>
      <c r="D445" s="16"/>
      <c r="E445" s="16"/>
      <c r="F445" s="16"/>
      <c r="G445" s="18"/>
      <c r="H445" s="13">
        <v>11.04</v>
      </c>
    </row>
    <row r="446" spans="1:8" s="20" customFormat="1" x14ac:dyDescent="0.4">
      <c r="A446" s="501"/>
      <c r="B446" s="36" t="s">
        <v>83</v>
      </c>
      <c r="C446" s="503"/>
      <c r="D446" s="16"/>
      <c r="E446" s="16"/>
      <c r="F446" s="16"/>
      <c r="G446" s="18"/>
      <c r="H446" s="13">
        <v>5.39</v>
      </c>
    </row>
    <row r="447" spans="1:8" s="20" customFormat="1" x14ac:dyDescent="0.4">
      <c r="A447" s="501"/>
      <c r="B447" s="5" t="s">
        <v>38</v>
      </c>
      <c r="C447" s="503"/>
      <c r="D447" s="16"/>
      <c r="E447" s="16"/>
      <c r="F447" s="16"/>
      <c r="G447" s="18"/>
      <c r="H447" s="13">
        <v>5.38</v>
      </c>
    </row>
    <row r="448" spans="1:8" s="20" customFormat="1" x14ac:dyDescent="0.4">
      <c r="A448" s="501"/>
      <c r="B448" s="5" t="s">
        <v>34</v>
      </c>
      <c r="C448" s="503"/>
      <c r="D448" s="16"/>
      <c r="E448" s="16"/>
      <c r="F448" s="16"/>
      <c r="G448" s="18"/>
      <c r="H448" s="13">
        <v>21.95</v>
      </c>
    </row>
    <row r="449" spans="1:8" s="20" customFormat="1" x14ac:dyDescent="0.4">
      <c r="A449" s="501"/>
      <c r="B449" s="5" t="s">
        <v>71</v>
      </c>
      <c r="C449" s="503"/>
      <c r="D449" s="16"/>
      <c r="E449" s="16"/>
      <c r="F449" s="16"/>
      <c r="G449" s="18"/>
      <c r="H449" s="13">
        <v>32.15</v>
      </c>
    </row>
    <row r="450" spans="1:8" s="20" customFormat="1" x14ac:dyDescent="0.4">
      <c r="A450" s="501"/>
      <c r="B450" s="5" t="s">
        <v>72</v>
      </c>
      <c r="C450" s="503"/>
      <c r="D450" s="16"/>
      <c r="E450" s="16"/>
      <c r="F450" s="16"/>
      <c r="G450" s="18"/>
      <c r="H450" s="13">
        <v>153.88</v>
      </c>
    </row>
    <row r="451" spans="1:8" s="20" customFormat="1" x14ac:dyDescent="0.4">
      <c r="A451" s="501"/>
      <c r="B451" s="5" t="s">
        <v>73</v>
      </c>
      <c r="C451" s="503"/>
      <c r="D451" s="16"/>
      <c r="E451" s="16"/>
      <c r="F451" s="16"/>
      <c r="G451" s="18"/>
      <c r="H451" s="13">
        <v>6.64</v>
      </c>
    </row>
    <row r="452" spans="1:8" s="20" customFormat="1" x14ac:dyDescent="0.4">
      <c r="A452" s="501"/>
      <c r="B452" s="36" t="s">
        <v>74</v>
      </c>
      <c r="C452" s="503"/>
      <c r="D452" s="16"/>
      <c r="E452" s="16"/>
      <c r="F452" s="16"/>
      <c r="G452" s="18"/>
      <c r="H452" s="13">
        <v>15.08</v>
      </c>
    </row>
    <row r="453" spans="1:8" s="20" customFormat="1" x14ac:dyDescent="0.4">
      <c r="A453" s="501"/>
      <c r="B453" s="36" t="s">
        <v>75</v>
      </c>
      <c r="C453" s="503"/>
      <c r="D453" s="16"/>
      <c r="E453" s="16"/>
      <c r="F453" s="16"/>
      <c r="G453" s="18"/>
      <c r="H453" s="13">
        <v>7.16</v>
      </c>
    </row>
    <row r="454" spans="1:8" s="20" customFormat="1" x14ac:dyDescent="0.4">
      <c r="A454" s="501"/>
      <c r="B454" s="36" t="s">
        <v>38</v>
      </c>
      <c r="C454" s="503"/>
      <c r="D454" s="16"/>
      <c r="E454" s="16"/>
      <c r="F454" s="16"/>
      <c r="G454" s="18"/>
      <c r="H454" s="13">
        <v>10.5</v>
      </c>
    </row>
    <row r="455" spans="1:8" s="20" customFormat="1" x14ac:dyDescent="0.4">
      <c r="A455" s="501"/>
      <c r="B455" s="30" t="s">
        <v>62</v>
      </c>
      <c r="C455" s="503"/>
      <c r="D455" s="16"/>
      <c r="E455" s="16"/>
      <c r="F455" s="16"/>
      <c r="G455" s="18"/>
      <c r="H455" s="13">
        <v>5.07</v>
      </c>
    </row>
    <row r="456" spans="1:8" s="20" customFormat="1" x14ac:dyDescent="0.4">
      <c r="A456" s="501"/>
      <c r="B456" s="36" t="s">
        <v>42</v>
      </c>
      <c r="C456" s="503"/>
      <c r="D456" s="16"/>
      <c r="E456" s="16"/>
      <c r="F456" s="16"/>
      <c r="G456" s="18"/>
      <c r="H456" s="13">
        <v>2.81</v>
      </c>
    </row>
    <row r="457" spans="1:8" s="20" customFormat="1" x14ac:dyDescent="0.4">
      <c r="A457" s="501"/>
      <c r="B457" s="36" t="s">
        <v>76</v>
      </c>
      <c r="C457" s="503"/>
      <c r="D457" s="16"/>
      <c r="E457" s="16"/>
      <c r="F457" s="16"/>
      <c r="G457" s="18"/>
      <c r="H457" s="13">
        <v>3.69</v>
      </c>
    </row>
    <row r="458" spans="1:8" s="20" customFormat="1" x14ac:dyDescent="0.4">
      <c r="A458" s="501"/>
      <c r="B458" s="5" t="s">
        <v>67</v>
      </c>
      <c r="C458" s="503"/>
      <c r="D458" s="16"/>
      <c r="E458" s="16"/>
      <c r="F458" s="16"/>
      <c r="G458" s="18"/>
      <c r="H458" s="13">
        <v>3.31</v>
      </c>
    </row>
    <row r="459" spans="1:8" s="20" customFormat="1" x14ac:dyDescent="0.4">
      <c r="A459" s="501"/>
      <c r="B459" s="5" t="s">
        <v>35</v>
      </c>
      <c r="C459" s="503"/>
      <c r="D459" s="16"/>
      <c r="E459" s="16"/>
      <c r="F459" s="16"/>
      <c r="G459" s="18"/>
      <c r="H459" s="13">
        <v>3.77</v>
      </c>
    </row>
    <row r="460" spans="1:8" s="20" customFormat="1" x14ac:dyDescent="0.4">
      <c r="A460" s="501"/>
      <c r="B460" s="30" t="s">
        <v>44</v>
      </c>
      <c r="C460" s="503"/>
      <c r="D460" s="16"/>
      <c r="E460" s="16"/>
      <c r="F460" s="16"/>
      <c r="G460" s="18"/>
      <c r="H460" s="13">
        <v>6.33</v>
      </c>
    </row>
    <row r="461" spans="1:8" s="20" customFormat="1" x14ac:dyDescent="0.4">
      <c r="A461" s="501"/>
      <c r="B461" s="30" t="s">
        <v>77</v>
      </c>
      <c r="C461" s="503"/>
      <c r="D461" s="16"/>
      <c r="E461" s="16"/>
      <c r="F461" s="16"/>
      <c r="G461" s="18"/>
      <c r="H461" s="13">
        <v>3.93</v>
      </c>
    </row>
    <row r="462" spans="1:8" s="20" customFormat="1" x14ac:dyDescent="0.4">
      <c r="A462" s="501"/>
      <c r="B462" s="5" t="s">
        <v>34</v>
      </c>
      <c r="C462" s="503"/>
      <c r="D462" s="16"/>
      <c r="E462" s="16"/>
      <c r="F462" s="16"/>
      <c r="G462" s="18"/>
      <c r="H462" s="13">
        <v>28.44</v>
      </c>
    </row>
    <row r="463" spans="1:8" s="20" customFormat="1" x14ac:dyDescent="0.4">
      <c r="A463" s="501"/>
      <c r="B463" s="16"/>
      <c r="C463" s="503"/>
      <c r="D463" s="52"/>
      <c r="E463" s="52"/>
      <c r="F463" s="52"/>
      <c r="G463" s="96" t="s">
        <v>15</v>
      </c>
      <c r="H463" s="10">
        <f>SUM(H435:H462)</f>
        <v>424.09999999999997</v>
      </c>
    </row>
    <row r="464" spans="1:8" s="20" customFormat="1" x14ac:dyDescent="0.4">
      <c r="A464" s="52"/>
      <c r="B464" s="16"/>
      <c r="C464" s="98"/>
      <c r="D464" s="52"/>
      <c r="E464" s="52"/>
      <c r="F464" s="52"/>
      <c r="G464" s="121"/>
      <c r="H464" s="59"/>
    </row>
    <row r="465" spans="1:8" s="20" customFormat="1" x14ac:dyDescent="0.4">
      <c r="A465" s="501">
        <v>22</v>
      </c>
      <c r="B465" s="19" t="s">
        <v>82</v>
      </c>
      <c r="C465" s="503" t="s">
        <v>1</v>
      </c>
      <c r="D465" s="16"/>
      <c r="E465" s="16"/>
      <c r="F465" s="16"/>
      <c r="G465" s="18"/>
      <c r="H465" s="13"/>
    </row>
    <row r="466" spans="1:8" s="20" customFormat="1" x14ac:dyDescent="0.4">
      <c r="A466" s="501"/>
      <c r="B466" s="5" t="s">
        <v>69</v>
      </c>
      <c r="C466" s="503"/>
      <c r="D466" s="16"/>
      <c r="E466" s="16"/>
      <c r="F466" s="16"/>
      <c r="G466" s="18"/>
      <c r="H466" s="13">
        <v>17.64</v>
      </c>
    </row>
    <row r="467" spans="1:8" s="20" customFormat="1" x14ac:dyDescent="0.4">
      <c r="A467" s="501"/>
      <c r="B467" s="5" t="s">
        <v>68</v>
      </c>
      <c r="C467" s="503"/>
      <c r="D467" s="16"/>
      <c r="E467" s="16"/>
      <c r="F467" s="16"/>
      <c r="G467" s="18"/>
      <c r="H467" s="13">
        <v>3.17</v>
      </c>
    </row>
    <row r="468" spans="1:8" s="20" customFormat="1" x14ac:dyDescent="0.4">
      <c r="A468" s="501"/>
      <c r="B468" s="5" t="s">
        <v>70</v>
      </c>
      <c r="C468" s="503"/>
      <c r="D468" s="16"/>
      <c r="E468" s="16"/>
      <c r="F468" s="16"/>
      <c r="G468" s="18"/>
      <c r="H468" s="13">
        <v>15.64</v>
      </c>
    </row>
    <row r="469" spans="1:8" s="20" customFormat="1" x14ac:dyDescent="0.4">
      <c r="A469" s="501"/>
      <c r="B469" s="5" t="s">
        <v>38</v>
      </c>
      <c r="C469" s="503"/>
      <c r="D469" s="16"/>
      <c r="E469" s="16"/>
      <c r="F469" s="16"/>
      <c r="G469" s="18"/>
      <c r="H469" s="13">
        <v>18.54</v>
      </c>
    </row>
    <row r="470" spans="1:8" s="20" customFormat="1" x14ac:dyDescent="0.4">
      <c r="A470" s="501"/>
      <c r="B470" s="5"/>
      <c r="C470" s="503"/>
      <c r="D470" s="16"/>
      <c r="E470" s="16"/>
      <c r="F470" s="16"/>
      <c r="G470" s="96" t="s">
        <v>15</v>
      </c>
      <c r="H470" s="10">
        <f>SUM(H466:H469)</f>
        <v>54.99</v>
      </c>
    </row>
    <row r="471" spans="1:8" s="20" customFormat="1" x14ac:dyDescent="0.4">
      <c r="A471" s="18"/>
      <c r="B471" s="5"/>
      <c r="C471" s="6"/>
      <c r="D471" s="16"/>
      <c r="E471" s="16"/>
      <c r="F471" s="16"/>
      <c r="G471" s="96"/>
      <c r="H471" s="10"/>
    </row>
    <row r="472" spans="1:8" s="20" customFormat="1" ht="69" x14ac:dyDescent="0.4">
      <c r="A472" s="18">
        <v>23</v>
      </c>
      <c r="B472" s="11" t="s">
        <v>293</v>
      </c>
      <c r="C472" s="6" t="s">
        <v>4</v>
      </c>
      <c r="D472" s="16"/>
      <c r="E472" s="16"/>
      <c r="F472" s="16"/>
      <c r="G472" s="96"/>
      <c r="H472" s="45">
        <v>2</v>
      </c>
    </row>
    <row r="473" spans="1:8" s="20" customFormat="1" x14ac:dyDescent="0.4">
      <c r="A473" s="18"/>
      <c r="B473" s="5"/>
      <c r="C473" s="6"/>
      <c r="D473" s="16"/>
      <c r="E473" s="16"/>
      <c r="F473" s="16"/>
      <c r="G473" s="96"/>
      <c r="H473" s="10"/>
    </row>
    <row r="474" spans="1:8" s="15" customFormat="1" ht="41.4" x14ac:dyDescent="0.4">
      <c r="A474" s="18">
        <v>24</v>
      </c>
      <c r="B474" s="19" t="s">
        <v>294</v>
      </c>
      <c r="C474" s="7" t="s">
        <v>4</v>
      </c>
      <c r="D474" s="8"/>
      <c r="E474" s="8"/>
      <c r="F474" s="8"/>
      <c r="G474" s="9"/>
      <c r="H474" s="45">
        <v>2</v>
      </c>
    </row>
    <row r="475" spans="1:8" s="15" customFormat="1" x14ac:dyDescent="0.4">
      <c r="A475" s="110"/>
      <c r="B475" s="55"/>
      <c r="C475" s="110"/>
      <c r="D475" s="112"/>
      <c r="E475" s="112"/>
      <c r="F475" s="112"/>
      <c r="G475" s="54"/>
      <c r="H475" s="58"/>
    </row>
    <row r="476" spans="1:8" s="15" customFormat="1" ht="25" customHeight="1" x14ac:dyDescent="0.4">
      <c r="A476" s="18"/>
      <c r="B476" s="42" t="s">
        <v>295</v>
      </c>
      <c r="C476" s="110"/>
      <c r="D476" s="112"/>
      <c r="E476" s="112"/>
      <c r="F476" s="112"/>
      <c r="G476" s="54"/>
      <c r="H476" s="58"/>
    </row>
    <row r="477" spans="1:8" s="20" customFormat="1" ht="27.6" x14ac:dyDescent="0.4">
      <c r="A477" s="18">
        <v>1</v>
      </c>
      <c r="B477" s="19" t="s">
        <v>273</v>
      </c>
      <c r="C477" s="7" t="s">
        <v>5</v>
      </c>
      <c r="D477" s="8"/>
      <c r="E477" s="8"/>
      <c r="F477" s="8"/>
      <c r="G477" s="9"/>
      <c r="H477" s="10">
        <v>8.99</v>
      </c>
    </row>
    <row r="478" spans="1:8" s="20" customFormat="1" x14ac:dyDescent="0.4">
      <c r="A478" s="18"/>
      <c r="B478" s="19"/>
      <c r="C478" s="7"/>
      <c r="D478" s="8"/>
      <c r="E478" s="8"/>
      <c r="F478" s="8"/>
      <c r="G478" s="9"/>
      <c r="H478" s="10"/>
    </row>
    <row r="479" spans="1:8" s="15" customFormat="1" x14ac:dyDescent="0.4">
      <c r="A479" s="18">
        <v>2</v>
      </c>
      <c r="B479" s="19" t="s">
        <v>269</v>
      </c>
      <c r="C479" s="7" t="s">
        <v>5</v>
      </c>
      <c r="D479" s="8"/>
      <c r="E479" s="8"/>
      <c r="F479" s="8"/>
      <c r="G479" s="9"/>
      <c r="H479" s="10">
        <v>8.99</v>
      </c>
    </row>
    <row r="480" spans="1:8" s="15" customFormat="1" x14ac:dyDescent="0.4">
      <c r="A480" s="18"/>
      <c r="B480" s="14"/>
      <c r="C480" s="7"/>
      <c r="D480" s="8"/>
      <c r="E480" s="8"/>
      <c r="F480" s="8"/>
      <c r="G480" s="9"/>
      <c r="H480" s="10"/>
    </row>
    <row r="481" spans="1:8" s="15" customFormat="1" ht="41.4" x14ac:dyDescent="0.4">
      <c r="A481" s="18">
        <v>3</v>
      </c>
      <c r="B481" s="19" t="s">
        <v>270</v>
      </c>
      <c r="C481" s="7" t="s">
        <v>5</v>
      </c>
      <c r="D481" s="8"/>
      <c r="E481" s="8"/>
      <c r="F481" s="8"/>
      <c r="G481" s="9"/>
      <c r="H481" s="10">
        <v>8.99</v>
      </c>
    </row>
    <row r="482" spans="1:8" s="15" customFormat="1" x14ac:dyDescent="0.4">
      <c r="A482" s="18"/>
      <c r="B482" s="14"/>
      <c r="C482" s="7"/>
      <c r="D482" s="8"/>
      <c r="E482" s="8"/>
      <c r="F482" s="8"/>
      <c r="G482" s="9"/>
      <c r="H482" s="10"/>
    </row>
    <row r="483" spans="1:8" s="15" customFormat="1" ht="41.4" x14ac:dyDescent="0.4">
      <c r="A483" s="18">
        <v>4</v>
      </c>
      <c r="B483" s="19" t="s">
        <v>271</v>
      </c>
      <c r="C483" s="7" t="s">
        <v>5</v>
      </c>
      <c r="D483" s="8"/>
      <c r="E483" s="8"/>
      <c r="F483" s="8"/>
      <c r="G483" s="9"/>
      <c r="H483" s="10">
        <v>8.99</v>
      </c>
    </row>
    <row r="484" spans="1:8" s="15" customFormat="1" x14ac:dyDescent="0.4">
      <c r="A484" s="18"/>
      <c r="B484" s="25"/>
      <c r="C484" s="25"/>
      <c r="D484" s="8"/>
      <c r="E484" s="8"/>
      <c r="F484" s="8"/>
      <c r="G484" s="9"/>
      <c r="H484" s="10"/>
    </row>
    <row r="485" spans="1:8" s="15" customFormat="1" ht="27.6" x14ac:dyDescent="0.4">
      <c r="A485" s="18">
        <v>5</v>
      </c>
      <c r="B485" s="19" t="s">
        <v>272</v>
      </c>
      <c r="C485" s="7" t="s">
        <v>5</v>
      </c>
      <c r="D485" s="8"/>
      <c r="E485" s="8"/>
      <c r="F485" s="8"/>
      <c r="G485" s="9"/>
      <c r="H485" s="10">
        <v>8.99</v>
      </c>
    </row>
    <row r="486" spans="1:8" s="15" customFormat="1" x14ac:dyDescent="0.4">
      <c r="A486" s="7"/>
      <c r="B486" s="55"/>
      <c r="C486" s="110"/>
      <c r="D486" s="112"/>
      <c r="E486" s="112"/>
      <c r="F486" s="112"/>
      <c r="G486" s="54"/>
      <c r="H486" s="58"/>
    </row>
    <row r="487" spans="1:8" s="15" customFormat="1" x14ac:dyDescent="0.4">
      <c r="A487" s="7"/>
      <c r="B487" s="55"/>
      <c r="C487" s="110"/>
      <c r="D487" s="112"/>
      <c r="E487" s="112"/>
      <c r="F487" s="112"/>
      <c r="G487" s="54"/>
      <c r="H487" s="58"/>
    </row>
    <row r="488" spans="1:8" s="15" customFormat="1" ht="25" customHeight="1" x14ac:dyDescent="0.4">
      <c r="A488" s="7"/>
      <c r="B488" s="42" t="s">
        <v>303</v>
      </c>
      <c r="C488" s="7"/>
      <c r="D488" s="8"/>
      <c r="E488" s="8"/>
      <c r="F488" s="8"/>
      <c r="G488" s="9"/>
      <c r="H488" s="13"/>
    </row>
    <row r="489" spans="1:8" s="15" customFormat="1" ht="27.6" x14ac:dyDescent="0.4">
      <c r="A489" s="501">
        <v>1</v>
      </c>
      <c r="B489" s="47" t="s">
        <v>30</v>
      </c>
      <c r="C489" s="502" t="s">
        <v>2</v>
      </c>
      <c r="D489" s="17">
        <v>8.99</v>
      </c>
      <c r="E489" s="17">
        <v>0.25</v>
      </c>
      <c r="F489" s="17">
        <v>3.25</v>
      </c>
      <c r="G489" s="6">
        <v>1</v>
      </c>
      <c r="H489" s="24">
        <f t="shared" ref="H489:H503" si="11">D489*E489*F489*G489</f>
        <v>7.3043750000000003</v>
      </c>
    </row>
    <row r="490" spans="1:8" s="15" customFormat="1" x14ac:dyDescent="0.4">
      <c r="A490" s="501"/>
      <c r="B490" s="47"/>
      <c r="C490" s="502"/>
      <c r="D490" s="39">
        <v>29.04</v>
      </c>
      <c r="E490" s="17">
        <v>0.25</v>
      </c>
      <c r="F490" s="17">
        <v>3.25</v>
      </c>
      <c r="G490" s="6">
        <v>1</v>
      </c>
      <c r="H490" s="24">
        <f t="shared" si="11"/>
        <v>23.594999999999999</v>
      </c>
    </row>
    <row r="491" spans="1:8" s="15" customFormat="1" x14ac:dyDescent="0.4">
      <c r="A491" s="501"/>
      <c r="B491" s="47"/>
      <c r="C491" s="502"/>
      <c r="D491" s="8">
        <v>7.45</v>
      </c>
      <c r="E491" s="8">
        <v>0.25</v>
      </c>
      <c r="F491" s="8">
        <v>4.7</v>
      </c>
      <c r="G491" s="9">
        <v>2</v>
      </c>
      <c r="H491" s="13">
        <f t="shared" si="11"/>
        <v>17.5075</v>
      </c>
    </row>
    <row r="492" spans="1:8" s="15" customFormat="1" x14ac:dyDescent="0.4">
      <c r="A492" s="501"/>
      <c r="B492" s="47"/>
      <c r="C492" s="502"/>
      <c r="D492" s="8">
        <v>3.2</v>
      </c>
      <c r="E492" s="8">
        <v>0.25</v>
      </c>
      <c r="F492" s="8">
        <v>4.7</v>
      </c>
      <c r="G492" s="9">
        <v>1</v>
      </c>
      <c r="H492" s="13">
        <f t="shared" si="11"/>
        <v>3.7600000000000002</v>
      </c>
    </row>
    <row r="493" spans="1:8" s="15" customFormat="1" x14ac:dyDescent="0.4">
      <c r="A493" s="501"/>
      <c r="B493" s="47"/>
      <c r="C493" s="502"/>
      <c r="D493" s="8">
        <v>29.61</v>
      </c>
      <c r="E493" s="17">
        <v>0.25</v>
      </c>
      <c r="F493" s="17">
        <v>3.25</v>
      </c>
      <c r="G493" s="6">
        <v>1</v>
      </c>
      <c r="H493" s="24">
        <f t="shared" si="11"/>
        <v>24.058125</v>
      </c>
    </row>
    <row r="494" spans="1:8" s="15" customFormat="1" x14ac:dyDescent="0.4">
      <c r="A494" s="501"/>
      <c r="B494" s="47"/>
      <c r="C494" s="502"/>
      <c r="D494" s="8">
        <v>8.7799999999999994</v>
      </c>
      <c r="E494" s="8">
        <v>0.25</v>
      </c>
      <c r="F494" s="8">
        <v>3.25</v>
      </c>
      <c r="G494" s="9">
        <v>1</v>
      </c>
      <c r="H494" s="13">
        <f t="shared" si="11"/>
        <v>7.1337499999999991</v>
      </c>
    </row>
    <row r="495" spans="1:8" s="15" customFormat="1" x14ac:dyDescent="0.4">
      <c r="A495" s="501"/>
      <c r="B495" s="47"/>
      <c r="C495" s="502"/>
      <c r="D495" s="8">
        <v>29.55</v>
      </c>
      <c r="E495" s="8">
        <v>0.25</v>
      </c>
      <c r="F495" s="8">
        <v>3.25</v>
      </c>
      <c r="G495" s="9">
        <v>1</v>
      </c>
      <c r="H495" s="13">
        <f t="shared" si="11"/>
        <v>24.009375000000002</v>
      </c>
    </row>
    <row r="496" spans="1:8" s="15" customFormat="1" x14ac:dyDescent="0.4">
      <c r="A496" s="501"/>
      <c r="B496" s="47"/>
      <c r="C496" s="502"/>
      <c r="D496" s="8">
        <v>3.35</v>
      </c>
      <c r="E496" s="8">
        <v>0.25</v>
      </c>
      <c r="F496" s="8">
        <v>3.25</v>
      </c>
      <c r="G496" s="9">
        <v>1</v>
      </c>
      <c r="H496" s="13">
        <f t="shared" si="11"/>
        <v>2.7218750000000003</v>
      </c>
    </row>
    <row r="497" spans="1:8" s="15" customFormat="1" x14ac:dyDescent="0.4">
      <c r="A497" s="501"/>
      <c r="B497" s="47"/>
      <c r="C497" s="502"/>
      <c r="D497" s="8">
        <v>1.43</v>
      </c>
      <c r="E497" s="8">
        <v>0.25</v>
      </c>
      <c r="F497" s="8">
        <v>3.25</v>
      </c>
      <c r="G497" s="9">
        <v>1</v>
      </c>
      <c r="H497" s="13">
        <f t="shared" si="11"/>
        <v>1.161875</v>
      </c>
    </row>
    <row r="498" spans="1:8" s="15" customFormat="1" x14ac:dyDescent="0.4">
      <c r="A498" s="501"/>
      <c r="B498" s="47"/>
      <c r="C498" s="502"/>
      <c r="D498" s="8">
        <v>0.81</v>
      </c>
      <c r="E498" s="8">
        <v>0.25</v>
      </c>
      <c r="F498" s="8">
        <v>3.25</v>
      </c>
      <c r="G498" s="9">
        <v>1</v>
      </c>
      <c r="H498" s="13">
        <f t="shared" si="11"/>
        <v>0.65812500000000007</v>
      </c>
    </row>
    <row r="499" spans="1:8" s="15" customFormat="1" x14ac:dyDescent="0.4">
      <c r="A499" s="501"/>
      <c r="B499" s="47"/>
      <c r="C499" s="502"/>
      <c r="D499" s="8">
        <v>29.62</v>
      </c>
      <c r="E499" s="8">
        <v>0.25</v>
      </c>
      <c r="F499" s="8">
        <v>3.25</v>
      </c>
      <c r="G499" s="9">
        <v>1</v>
      </c>
      <c r="H499" s="13">
        <f t="shared" si="11"/>
        <v>24.06625</v>
      </c>
    </row>
    <row r="500" spans="1:8" s="15" customFormat="1" x14ac:dyDescent="0.4">
      <c r="A500" s="501"/>
      <c r="B500" s="14"/>
      <c r="C500" s="502"/>
      <c r="D500" s="8">
        <v>4.51</v>
      </c>
      <c r="E500" s="8">
        <v>0.25</v>
      </c>
      <c r="F500" s="8">
        <v>3.25</v>
      </c>
      <c r="G500" s="9">
        <v>1</v>
      </c>
      <c r="H500" s="13">
        <f t="shared" si="11"/>
        <v>3.6643749999999997</v>
      </c>
    </row>
    <row r="501" spans="1:8" s="15" customFormat="1" x14ac:dyDescent="0.4">
      <c r="A501" s="501"/>
      <c r="B501" s="14"/>
      <c r="C501" s="502"/>
      <c r="D501" s="8">
        <v>1.35</v>
      </c>
      <c r="E501" s="8">
        <v>0.25</v>
      </c>
      <c r="F501" s="8">
        <v>3.25</v>
      </c>
      <c r="G501" s="9">
        <v>1</v>
      </c>
      <c r="H501" s="13">
        <f t="shared" si="11"/>
        <v>1.096875</v>
      </c>
    </row>
    <row r="502" spans="1:8" s="15" customFormat="1" x14ac:dyDescent="0.4">
      <c r="A502" s="501"/>
      <c r="B502" s="14"/>
      <c r="C502" s="502"/>
      <c r="D502" s="8">
        <v>8.7899999999999991</v>
      </c>
      <c r="E502" s="8">
        <v>0.25</v>
      </c>
      <c r="F502" s="8">
        <v>3.25</v>
      </c>
      <c r="G502" s="9">
        <v>1</v>
      </c>
      <c r="H502" s="13">
        <f t="shared" si="11"/>
        <v>7.1418749999999989</v>
      </c>
    </row>
    <row r="503" spans="1:8" s="15" customFormat="1" x14ac:dyDescent="0.4">
      <c r="A503" s="501"/>
      <c r="B503" s="14"/>
      <c r="C503" s="502"/>
      <c r="D503" s="8">
        <v>8.49</v>
      </c>
      <c r="E503" s="8">
        <v>0.25</v>
      </c>
      <c r="F503" s="8">
        <v>3.25</v>
      </c>
      <c r="G503" s="9">
        <v>1</v>
      </c>
      <c r="H503" s="13">
        <f t="shared" si="11"/>
        <v>6.8981250000000003</v>
      </c>
    </row>
    <row r="504" spans="1:8" s="15" customFormat="1" x14ac:dyDescent="0.4">
      <c r="A504" s="501"/>
      <c r="B504" s="14" t="s">
        <v>461</v>
      </c>
      <c r="C504" s="502"/>
      <c r="D504" s="8">
        <v>3.6</v>
      </c>
      <c r="E504" s="8">
        <v>0.25</v>
      </c>
      <c r="F504" s="8">
        <v>2.85</v>
      </c>
      <c r="G504" s="9">
        <v>12</v>
      </c>
      <c r="H504" s="13">
        <f>-D504*E504*F504*G504</f>
        <v>-30.78</v>
      </c>
    </row>
    <row r="505" spans="1:8" s="15" customFormat="1" x14ac:dyDescent="0.4">
      <c r="A505" s="501"/>
      <c r="B505" s="14"/>
      <c r="C505" s="502"/>
      <c r="D505" s="8">
        <v>3.6</v>
      </c>
      <c r="E505" s="8">
        <v>0.25</v>
      </c>
      <c r="F505" s="8">
        <v>1</v>
      </c>
      <c r="G505" s="9">
        <v>8</v>
      </c>
      <c r="H505" s="13">
        <f>-D505*E505*F505*G505</f>
        <v>-7.2</v>
      </c>
    </row>
    <row r="506" spans="1:8" s="15" customFormat="1" x14ac:dyDescent="0.4">
      <c r="A506" s="501"/>
      <c r="B506" s="14"/>
      <c r="C506" s="502"/>
      <c r="D506" s="8">
        <v>2.7</v>
      </c>
      <c r="E506" s="8">
        <v>0.25</v>
      </c>
      <c r="F506" s="8">
        <v>1</v>
      </c>
      <c r="G506" s="9">
        <v>1</v>
      </c>
      <c r="H506" s="13">
        <f>-D506*E506*F506*G506</f>
        <v>-0.67500000000000004</v>
      </c>
    </row>
    <row r="507" spans="1:8" s="15" customFormat="1" x14ac:dyDescent="0.4">
      <c r="A507" s="501"/>
      <c r="B507" s="14" t="s">
        <v>87</v>
      </c>
      <c r="C507" s="502"/>
      <c r="D507" s="8">
        <v>0.9</v>
      </c>
      <c r="E507" s="8">
        <v>0.25</v>
      </c>
      <c r="F507" s="8">
        <v>2</v>
      </c>
      <c r="G507" s="9">
        <v>2</v>
      </c>
      <c r="H507" s="13">
        <f>-D507*E507*F507*G507</f>
        <v>-0.9</v>
      </c>
    </row>
    <row r="508" spans="1:8" s="15" customFormat="1" x14ac:dyDescent="0.4">
      <c r="A508" s="501"/>
      <c r="B508" s="14"/>
      <c r="C508" s="502"/>
      <c r="D508" s="8">
        <v>1</v>
      </c>
      <c r="E508" s="8">
        <v>0.25</v>
      </c>
      <c r="F508" s="8">
        <v>2</v>
      </c>
      <c r="G508" s="9">
        <v>1</v>
      </c>
      <c r="H508" s="13">
        <f>-D508*E508*F508*G508</f>
        <v>-0.5</v>
      </c>
    </row>
    <row r="509" spans="1:8" s="15" customFormat="1" x14ac:dyDescent="0.4">
      <c r="A509" s="501"/>
      <c r="B509" s="14"/>
      <c r="C509" s="502"/>
      <c r="D509" s="8"/>
      <c r="E509" s="8"/>
      <c r="F509" s="8"/>
      <c r="G509" s="26" t="s">
        <v>15</v>
      </c>
      <c r="H509" s="10">
        <f>SUM(H488:H508)</f>
        <v>114.7225</v>
      </c>
    </row>
    <row r="510" spans="1:8" s="15" customFormat="1" x14ac:dyDescent="0.4">
      <c r="A510" s="7"/>
      <c r="B510" s="14"/>
      <c r="C510" s="7"/>
      <c r="D510" s="8"/>
      <c r="E510" s="8"/>
      <c r="F510" s="8"/>
      <c r="G510" s="9"/>
      <c r="H510" s="13"/>
    </row>
    <row r="511" spans="1:8" s="15" customFormat="1" ht="27.6" x14ac:dyDescent="0.4">
      <c r="A511" s="501">
        <v>2</v>
      </c>
      <c r="B511" s="47" t="s">
        <v>138</v>
      </c>
      <c r="C511" s="502" t="s">
        <v>1</v>
      </c>
      <c r="D511" s="8">
        <v>14.99</v>
      </c>
      <c r="E511" s="8"/>
      <c r="F511" s="8">
        <v>3.25</v>
      </c>
      <c r="G511" s="9">
        <v>1</v>
      </c>
      <c r="H511" s="13">
        <f>D511*F511*G511</f>
        <v>48.717500000000001</v>
      </c>
    </row>
    <row r="512" spans="1:8" s="15" customFormat="1" x14ac:dyDescent="0.4">
      <c r="A512" s="501"/>
      <c r="B512" s="14"/>
      <c r="C512" s="502"/>
      <c r="D512" s="8">
        <v>7.17</v>
      </c>
      <c r="E512" s="8"/>
      <c r="F512" s="8">
        <v>3.25</v>
      </c>
      <c r="G512" s="9">
        <v>1</v>
      </c>
      <c r="H512" s="13">
        <f>D512*F512*G512</f>
        <v>23.302499999999998</v>
      </c>
    </row>
    <row r="513" spans="1:8" s="15" customFormat="1" x14ac:dyDescent="0.4">
      <c r="A513" s="501"/>
      <c r="B513" s="14"/>
      <c r="C513" s="502"/>
      <c r="D513" s="8">
        <v>2.66</v>
      </c>
      <c r="E513" s="8"/>
      <c r="F513" s="8">
        <v>3.25</v>
      </c>
      <c r="G513" s="9">
        <v>1</v>
      </c>
      <c r="H513" s="13">
        <f>D513*F513*G513</f>
        <v>8.6449999999999996</v>
      </c>
    </row>
    <row r="514" spans="1:8" s="15" customFormat="1" x14ac:dyDescent="0.4">
      <c r="A514" s="501"/>
      <c r="B514" s="14"/>
      <c r="C514" s="502"/>
      <c r="D514" s="8">
        <v>2.46</v>
      </c>
      <c r="E514" s="8"/>
      <c r="F514" s="8">
        <v>3.25</v>
      </c>
      <c r="G514" s="9">
        <v>1</v>
      </c>
      <c r="H514" s="13">
        <f t="shared" ref="H514:H519" si="12">D514*F514*G514</f>
        <v>7.9950000000000001</v>
      </c>
    </row>
    <row r="515" spans="1:8" s="15" customFormat="1" x14ac:dyDescent="0.4">
      <c r="A515" s="501"/>
      <c r="B515" s="14"/>
      <c r="C515" s="502"/>
      <c r="D515" s="8">
        <v>1.49</v>
      </c>
      <c r="E515" s="8"/>
      <c r="F515" s="8">
        <v>3.25</v>
      </c>
      <c r="G515" s="9">
        <v>2</v>
      </c>
      <c r="H515" s="13">
        <f t="shared" si="12"/>
        <v>9.6850000000000005</v>
      </c>
    </row>
    <row r="516" spans="1:8" s="15" customFormat="1" x14ac:dyDescent="0.4">
      <c r="A516" s="501"/>
      <c r="B516" s="14"/>
      <c r="C516" s="502"/>
      <c r="D516" s="8">
        <v>2.44</v>
      </c>
      <c r="E516" s="8"/>
      <c r="F516" s="8">
        <v>3.25</v>
      </c>
      <c r="G516" s="9">
        <v>1</v>
      </c>
      <c r="H516" s="13">
        <f t="shared" si="12"/>
        <v>7.93</v>
      </c>
    </row>
    <row r="517" spans="1:8" s="15" customFormat="1" x14ac:dyDescent="0.4">
      <c r="A517" s="501"/>
      <c r="B517" s="14"/>
      <c r="C517" s="502"/>
      <c r="D517" s="8">
        <v>2.2999999999999998</v>
      </c>
      <c r="E517" s="8"/>
      <c r="F517" s="8">
        <v>3.25</v>
      </c>
      <c r="G517" s="9">
        <v>1</v>
      </c>
      <c r="H517" s="13">
        <f t="shared" si="12"/>
        <v>7.4749999999999996</v>
      </c>
    </row>
    <row r="518" spans="1:8" s="15" customFormat="1" x14ac:dyDescent="0.4">
      <c r="A518" s="501"/>
      <c r="B518" s="14"/>
      <c r="C518" s="502"/>
      <c r="D518" s="8">
        <v>2.17</v>
      </c>
      <c r="E518" s="8"/>
      <c r="F518" s="8">
        <v>3.25</v>
      </c>
      <c r="G518" s="9">
        <v>1</v>
      </c>
      <c r="H518" s="13">
        <f t="shared" si="12"/>
        <v>7.0525000000000002</v>
      </c>
    </row>
    <row r="519" spans="1:8" s="15" customFormat="1" x14ac:dyDescent="0.4">
      <c r="A519" s="501"/>
      <c r="B519" s="55"/>
      <c r="C519" s="502"/>
      <c r="D519" s="8">
        <v>7.35</v>
      </c>
      <c r="E519" s="112"/>
      <c r="F519" s="8">
        <v>3.25</v>
      </c>
      <c r="G519" s="9">
        <v>1</v>
      </c>
      <c r="H519" s="13">
        <f t="shared" si="12"/>
        <v>23.887499999999999</v>
      </c>
    </row>
    <row r="520" spans="1:8" s="15" customFormat="1" x14ac:dyDescent="0.4">
      <c r="A520" s="501"/>
      <c r="B520" s="14"/>
      <c r="C520" s="502"/>
      <c r="D520" s="8">
        <v>15.62</v>
      </c>
      <c r="E520" s="8"/>
      <c r="F520" s="8">
        <v>3.25</v>
      </c>
      <c r="G520" s="9">
        <v>1</v>
      </c>
      <c r="H520" s="13">
        <f t="shared" ref="H520:H525" si="13">D520*F520*G520</f>
        <v>50.765000000000001</v>
      </c>
    </row>
    <row r="521" spans="1:8" s="15" customFormat="1" x14ac:dyDescent="0.4">
      <c r="A521" s="501"/>
      <c r="B521" s="14"/>
      <c r="C521" s="502"/>
      <c r="D521" s="8">
        <v>8.7799999999999994</v>
      </c>
      <c r="E521" s="8"/>
      <c r="F521" s="8">
        <v>3.25</v>
      </c>
      <c r="G521" s="9">
        <v>1</v>
      </c>
      <c r="H521" s="13">
        <f t="shared" si="13"/>
        <v>28.534999999999997</v>
      </c>
    </row>
    <row r="522" spans="1:8" s="15" customFormat="1" x14ac:dyDescent="0.4">
      <c r="A522" s="501"/>
      <c r="B522" s="14"/>
      <c r="C522" s="502"/>
      <c r="D522" s="8">
        <v>2.17</v>
      </c>
      <c r="E522" s="8"/>
      <c r="F522" s="8">
        <v>3.25</v>
      </c>
      <c r="G522" s="9">
        <v>1</v>
      </c>
      <c r="H522" s="13">
        <f t="shared" si="13"/>
        <v>7.0525000000000002</v>
      </c>
    </row>
    <row r="523" spans="1:8" s="15" customFormat="1" x14ac:dyDescent="0.4">
      <c r="A523" s="501"/>
      <c r="B523" s="14"/>
      <c r="C523" s="502"/>
      <c r="D523" s="8">
        <v>2.2999999999999998</v>
      </c>
      <c r="E523" s="8"/>
      <c r="F523" s="8">
        <v>3.25</v>
      </c>
      <c r="G523" s="9">
        <v>1</v>
      </c>
      <c r="H523" s="13">
        <f t="shared" si="13"/>
        <v>7.4749999999999996</v>
      </c>
    </row>
    <row r="524" spans="1:8" s="15" customFormat="1" x14ac:dyDescent="0.4">
      <c r="A524" s="501"/>
      <c r="B524" s="14"/>
      <c r="C524" s="502"/>
      <c r="D524" s="8">
        <v>1.57</v>
      </c>
      <c r="E524" s="8"/>
      <c r="F524" s="8">
        <v>3.25</v>
      </c>
      <c r="G524" s="9">
        <v>3</v>
      </c>
      <c r="H524" s="13">
        <f t="shared" si="13"/>
        <v>15.307500000000001</v>
      </c>
    </row>
    <row r="525" spans="1:8" s="15" customFormat="1" x14ac:dyDescent="0.4">
      <c r="A525" s="501"/>
      <c r="B525" s="14"/>
      <c r="C525" s="502"/>
      <c r="D525" s="8">
        <v>2.16</v>
      </c>
      <c r="E525" s="8"/>
      <c r="F525" s="8">
        <v>3.25</v>
      </c>
      <c r="G525" s="9">
        <v>1</v>
      </c>
      <c r="H525" s="13">
        <f t="shared" si="13"/>
        <v>7.0200000000000005</v>
      </c>
    </row>
    <row r="526" spans="1:8" s="15" customFormat="1" x14ac:dyDescent="0.4">
      <c r="A526" s="501"/>
      <c r="B526" s="14" t="s">
        <v>16</v>
      </c>
      <c r="C526" s="502"/>
      <c r="D526" s="8">
        <v>1.8</v>
      </c>
      <c r="E526" s="8"/>
      <c r="F526" s="8">
        <v>2.1</v>
      </c>
      <c r="G526" s="9">
        <v>1</v>
      </c>
      <c r="H526" s="13">
        <f>-D526*F526*G526</f>
        <v>-3.7800000000000002</v>
      </c>
    </row>
    <row r="527" spans="1:8" s="15" customFormat="1" x14ac:dyDescent="0.4">
      <c r="A527" s="501"/>
      <c r="B527" s="14"/>
      <c r="C527" s="502"/>
      <c r="D527" s="8">
        <v>0.8</v>
      </c>
      <c r="E527" s="8"/>
      <c r="F527" s="8">
        <v>2</v>
      </c>
      <c r="G527" s="9">
        <v>4</v>
      </c>
      <c r="H527" s="13">
        <f>-D527*F527*G527</f>
        <v>-6.4</v>
      </c>
    </row>
    <row r="528" spans="1:8" s="15" customFormat="1" x14ac:dyDescent="0.4">
      <c r="A528" s="501"/>
      <c r="B528" s="14"/>
      <c r="C528" s="502"/>
      <c r="D528" s="8">
        <v>0.9</v>
      </c>
      <c r="E528" s="8"/>
      <c r="F528" s="8">
        <v>2</v>
      </c>
      <c r="G528" s="9">
        <v>5</v>
      </c>
      <c r="H528" s="13">
        <f>-D528*F528*G528</f>
        <v>-9</v>
      </c>
    </row>
    <row r="529" spans="1:8" s="15" customFormat="1" x14ac:dyDescent="0.4">
      <c r="A529" s="501"/>
      <c r="B529" s="14"/>
      <c r="C529" s="502"/>
      <c r="D529" s="8"/>
      <c r="E529" s="8"/>
      <c r="F529" s="8"/>
      <c r="G529" s="26" t="s">
        <v>15</v>
      </c>
      <c r="H529" s="10">
        <f>SUM(H511:H528)</f>
        <v>241.66499999999999</v>
      </c>
    </row>
    <row r="530" spans="1:8" s="15" customFormat="1" x14ac:dyDescent="0.4">
      <c r="A530" s="7"/>
      <c r="B530" s="14"/>
      <c r="C530" s="7"/>
      <c r="D530" s="8"/>
      <c r="E530" s="8"/>
      <c r="F530" s="8"/>
      <c r="G530" s="9"/>
      <c r="H530" s="13"/>
    </row>
    <row r="531" spans="1:8" s="15" customFormat="1" x14ac:dyDescent="0.4">
      <c r="A531" s="501">
        <v>3</v>
      </c>
      <c r="B531" s="11" t="s">
        <v>29</v>
      </c>
      <c r="C531" s="502" t="s">
        <v>1</v>
      </c>
      <c r="D531" s="8">
        <v>1.43</v>
      </c>
      <c r="E531" s="8"/>
      <c r="F531" s="8">
        <v>3.25</v>
      </c>
      <c r="G531" s="9">
        <v>1</v>
      </c>
      <c r="H531" s="13">
        <f>D531*F531*G531</f>
        <v>4.6475</v>
      </c>
    </row>
    <row r="532" spans="1:8" s="15" customFormat="1" x14ac:dyDescent="0.4">
      <c r="A532" s="501"/>
      <c r="B532" s="14"/>
      <c r="C532" s="502"/>
      <c r="D532" s="8">
        <v>1.55</v>
      </c>
      <c r="E532" s="8"/>
      <c r="F532" s="8">
        <v>3.25</v>
      </c>
      <c r="G532" s="9">
        <v>1</v>
      </c>
      <c r="H532" s="13">
        <f>D532*F532*G532</f>
        <v>5.0375000000000005</v>
      </c>
    </row>
    <row r="533" spans="1:8" s="15" customFormat="1" x14ac:dyDescent="0.4">
      <c r="A533" s="501"/>
      <c r="B533" s="14" t="s">
        <v>16</v>
      </c>
      <c r="C533" s="502"/>
      <c r="D533" s="8">
        <v>0.9</v>
      </c>
      <c r="E533" s="8"/>
      <c r="F533" s="8">
        <v>2</v>
      </c>
      <c r="G533" s="9">
        <v>1</v>
      </c>
      <c r="H533" s="13">
        <f>-D533*F533*G533</f>
        <v>-1.8</v>
      </c>
    </row>
    <row r="534" spans="1:8" s="15" customFormat="1" x14ac:dyDescent="0.4">
      <c r="A534" s="501"/>
      <c r="B534" s="14"/>
      <c r="C534" s="502"/>
      <c r="D534" s="8">
        <v>0.8</v>
      </c>
      <c r="E534" s="8"/>
      <c r="F534" s="8">
        <v>2</v>
      </c>
      <c r="G534" s="9">
        <v>1</v>
      </c>
      <c r="H534" s="13">
        <f>-D534*F534*G534</f>
        <v>-1.6</v>
      </c>
    </row>
    <row r="535" spans="1:8" s="15" customFormat="1" x14ac:dyDescent="0.4">
      <c r="A535" s="501"/>
      <c r="B535" s="14"/>
      <c r="C535" s="502"/>
      <c r="D535" s="8"/>
      <c r="E535" s="8"/>
      <c r="F535" s="8"/>
      <c r="G535" s="26" t="s">
        <v>15</v>
      </c>
      <c r="H535" s="10">
        <f>SUM(H531:H534)</f>
        <v>6.2850000000000001</v>
      </c>
    </row>
    <row r="536" spans="1:8" s="15" customFormat="1" x14ac:dyDescent="0.4">
      <c r="A536" s="7"/>
      <c r="B536" s="14"/>
      <c r="C536" s="7"/>
      <c r="D536" s="8"/>
      <c r="E536" s="8"/>
      <c r="F536" s="8"/>
      <c r="G536" s="9"/>
      <c r="H536" s="10"/>
    </row>
    <row r="537" spans="1:8" s="15" customFormat="1" ht="55.2" x14ac:dyDescent="0.4">
      <c r="A537" s="501">
        <v>4</v>
      </c>
      <c r="B537" s="11" t="s">
        <v>304</v>
      </c>
      <c r="C537" s="502" t="s">
        <v>1</v>
      </c>
      <c r="D537" s="8">
        <v>0.2</v>
      </c>
      <c r="E537" s="8"/>
      <c r="F537" s="8">
        <v>3.25</v>
      </c>
      <c r="G537" s="9">
        <v>1</v>
      </c>
      <c r="H537" s="13">
        <f>D537*F537*G537</f>
        <v>0.65</v>
      </c>
    </row>
    <row r="538" spans="1:8" s="15" customFormat="1" x14ac:dyDescent="0.4">
      <c r="A538" s="501"/>
      <c r="B538" s="14"/>
      <c r="C538" s="502"/>
      <c r="D538" s="8">
        <v>0.45</v>
      </c>
      <c r="E538" s="8"/>
      <c r="F538" s="8">
        <v>3.25</v>
      </c>
      <c r="G538" s="9">
        <v>1</v>
      </c>
      <c r="H538" s="13">
        <f t="shared" ref="H538:H545" si="14">D538*F538*G538</f>
        <v>1.4625000000000001</v>
      </c>
    </row>
    <row r="539" spans="1:8" s="15" customFormat="1" x14ac:dyDescent="0.4">
      <c r="A539" s="501"/>
      <c r="B539" s="14"/>
      <c r="C539" s="502"/>
      <c r="D539" s="8">
        <v>0.9</v>
      </c>
      <c r="E539" s="8"/>
      <c r="F539" s="8">
        <v>3.25</v>
      </c>
      <c r="G539" s="9">
        <v>2</v>
      </c>
      <c r="H539" s="13">
        <f t="shared" si="14"/>
        <v>5.8500000000000005</v>
      </c>
    </row>
    <row r="540" spans="1:8" s="15" customFormat="1" x14ac:dyDescent="0.4">
      <c r="A540" s="501"/>
      <c r="B540" s="14"/>
      <c r="C540" s="502"/>
      <c r="D540" s="8">
        <v>0.35</v>
      </c>
      <c r="E540" s="8"/>
      <c r="F540" s="8">
        <v>3.25</v>
      </c>
      <c r="G540" s="9">
        <v>1</v>
      </c>
      <c r="H540" s="13">
        <f t="shared" si="14"/>
        <v>1.1375</v>
      </c>
    </row>
    <row r="541" spans="1:8" s="15" customFormat="1" x14ac:dyDescent="0.4">
      <c r="A541" s="501"/>
      <c r="B541" s="14"/>
      <c r="C541" s="502"/>
      <c r="D541" s="8">
        <v>0.27</v>
      </c>
      <c r="E541" s="8"/>
      <c r="F541" s="8">
        <v>3.25</v>
      </c>
      <c r="G541" s="9">
        <v>1</v>
      </c>
      <c r="H541" s="13">
        <f t="shared" si="14"/>
        <v>0.87750000000000006</v>
      </c>
    </row>
    <row r="542" spans="1:8" s="15" customFormat="1" x14ac:dyDescent="0.4">
      <c r="A542" s="501"/>
      <c r="B542" s="14"/>
      <c r="C542" s="502"/>
      <c r="D542" s="8">
        <v>0.2</v>
      </c>
      <c r="E542" s="8"/>
      <c r="F542" s="8">
        <v>3.25</v>
      </c>
      <c r="G542" s="9">
        <v>2</v>
      </c>
      <c r="H542" s="13">
        <f t="shared" si="14"/>
        <v>1.3</v>
      </c>
    </row>
    <row r="543" spans="1:8" s="15" customFormat="1" x14ac:dyDescent="0.4">
      <c r="A543" s="501"/>
      <c r="B543" s="14"/>
      <c r="C543" s="502"/>
      <c r="D543" s="8">
        <v>1.24</v>
      </c>
      <c r="E543" s="8"/>
      <c r="F543" s="8">
        <v>3.25</v>
      </c>
      <c r="G543" s="9">
        <v>1</v>
      </c>
      <c r="H543" s="13">
        <f t="shared" si="14"/>
        <v>4.03</v>
      </c>
    </row>
    <row r="544" spans="1:8" s="15" customFormat="1" x14ac:dyDescent="0.4">
      <c r="A544" s="501"/>
      <c r="B544" s="14"/>
      <c r="C544" s="502"/>
      <c r="D544" s="8">
        <v>0.7</v>
      </c>
      <c r="E544" s="8"/>
      <c r="F544" s="8">
        <v>3.25</v>
      </c>
      <c r="G544" s="9">
        <v>1</v>
      </c>
      <c r="H544" s="13">
        <f t="shared" si="14"/>
        <v>2.2749999999999999</v>
      </c>
    </row>
    <row r="545" spans="1:8" s="15" customFormat="1" x14ac:dyDescent="0.4">
      <c r="A545" s="501"/>
      <c r="B545" s="14"/>
      <c r="C545" s="502"/>
      <c r="D545" s="8">
        <v>0.2</v>
      </c>
      <c r="E545" s="8"/>
      <c r="F545" s="8">
        <v>3.25</v>
      </c>
      <c r="G545" s="9">
        <v>8</v>
      </c>
      <c r="H545" s="13">
        <f t="shared" si="14"/>
        <v>5.2</v>
      </c>
    </row>
    <row r="546" spans="1:8" s="15" customFormat="1" x14ac:dyDescent="0.4">
      <c r="A546" s="501"/>
      <c r="B546" s="14"/>
      <c r="C546" s="502"/>
      <c r="D546" s="8"/>
      <c r="E546" s="8"/>
      <c r="F546" s="8"/>
      <c r="G546" s="26" t="s">
        <v>15</v>
      </c>
      <c r="H546" s="10">
        <f>SUM(H537:H545)</f>
        <v>22.782499999999999</v>
      </c>
    </row>
    <row r="547" spans="1:8" s="15" customFormat="1" x14ac:dyDescent="0.4">
      <c r="A547" s="7"/>
      <c r="B547" s="14"/>
      <c r="C547" s="7"/>
      <c r="D547" s="8"/>
      <c r="E547" s="8"/>
      <c r="F547" s="8"/>
      <c r="G547" s="9"/>
      <c r="H547" s="13"/>
    </row>
    <row r="548" spans="1:8" s="15" customFormat="1" ht="27.6" x14ac:dyDescent="0.4">
      <c r="A548" s="501">
        <v>5</v>
      </c>
      <c r="B548" s="19" t="s">
        <v>462</v>
      </c>
      <c r="C548" s="502" t="s">
        <v>1</v>
      </c>
      <c r="D548" s="25"/>
      <c r="E548" s="25"/>
      <c r="F548" s="25"/>
      <c r="G548" s="25"/>
      <c r="H548" s="25"/>
    </row>
    <row r="549" spans="1:8" s="15" customFormat="1" ht="27.6" x14ac:dyDescent="0.4">
      <c r="A549" s="501"/>
      <c r="B549" s="14" t="s">
        <v>142</v>
      </c>
      <c r="C549" s="502"/>
      <c r="D549" s="8">
        <v>2.73</v>
      </c>
      <c r="E549" s="8"/>
      <c r="F549" s="8">
        <v>2</v>
      </c>
      <c r="G549" s="9">
        <v>1</v>
      </c>
      <c r="H549" s="13">
        <f>D549*F549*G549</f>
        <v>5.46</v>
      </c>
    </row>
    <row r="550" spans="1:8" s="15" customFormat="1" x14ac:dyDescent="0.4">
      <c r="A550" s="501"/>
      <c r="B550" s="25"/>
      <c r="C550" s="502"/>
      <c r="D550" s="8">
        <v>1.45</v>
      </c>
      <c r="E550" s="8"/>
      <c r="F550" s="8">
        <v>2</v>
      </c>
      <c r="G550" s="9">
        <v>2</v>
      </c>
      <c r="H550" s="13">
        <f>D550*F550*G550</f>
        <v>5.8</v>
      </c>
    </row>
    <row r="551" spans="1:8" s="15" customFormat="1" x14ac:dyDescent="0.4">
      <c r="A551" s="501"/>
      <c r="B551" s="19"/>
      <c r="C551" s="502"/>
      <c r="D551" s="8">
        <v>3.66</v>
      </c>
      <c r="E551" s="8"/>
      <c r="F551" s="8">
        <v>2</v>
      </c>
      <c r="G551" s="9">
        <v>1</v>
      </c>
      <c r="H551" s="13">
        <f>D551*F551*G551</f>
        <v>7.32</v>
      </c>
    </row>
    <row r="552" spans="1:8" s="15" customFormat="1" x14ac:dyDescent="0.4">
      <c r="A552" s="501"/>
      <c r="B552" s="19"/>
      <c r="C552" s="502"/>
      <c r="D552" s="8">
        <v>1.1299999999999999</v>
      </c>
      <c r="E552" s="8"/>
      <c r="F552" s="8">
        <v>2</v>
      </c>
      <c r="G552" s="9">
        <v>3</v>
      </c>
      <c r="H552" s="13">
        <f>D552*F552*G552</f>
        <v>6.7799999999999994</v>
      </c>
    </row>
    <row r="553" spans="1:8" s="15" customFormat="1" x14ac:dyDescent="0.4">
      <c r="A553" s="501"/>
      <c r="B553" s="19"/>
      <c r="C553" s="502"/>
      <c r="D553" s="8"/>
      <c r="E553" s="8"/>
      <c r="F553" s="8"/>
      <c r="G553" s="9"/>
      <c r="H553" s="13"/>
    </row>
    <row r="554" spans="1:8" s="15" customFormat="1" ht="27.6" x14ac:dyDescent="0.4">
      <c r="A554" s="501"/>
      <c r="B554" s="14" t="s">
        <v>143</v>
      </c>
      <c r="C554" s="502"/>
      <c r="D554" s="8">
        <v>5.52</v>
      </c>
      <c r="E554" s="8"/>
      <c r="F554" s="8">
        <v>2</v>
      </c>
      <c r="G554" s="9">
        <v>1</v>
      </c>
      <c r="H554" s="13">
        <f>D554*F554*G554</f>
        <v>11.04</v>
      </c>
    </row>
    <row r="555" spans="1:8" s="15" customFormat="1" x14ac:dyDescent="0.4">
      <c r="A555" s="501"/>
      <c r="B555" s="14"/>
      <c r="C555" s="502"/>
      <c r="D555" s="8">
        <v>1.1000000000000001</v>
      </c>
      <c r="E555" s="8"/>
      <c r="F555" s="8">
        <v>2</v>
      </c>
      <c r="G555" s="9">
        <v>6</v>
      </c>
      <c r="H555" s="13">
        <f>D555*F555*G555</f>
        <v>13.200000000000001</v>
      </c>
    </row>
    <row r="556" spans="1:8" s="15" customFormat="1" x14ac:dyDescent="0.4">
      <c r="A556" s="501"/>
      <c r="B556" s="14"/>
      <c r="C556" s="502"/>
      <c r="D556" s="8">
        <v>2.74</v>
      </c>
      <c r="E556" s="8"/>
      <c r="F556" s="8">
        <v>2</v>
      </c>
      <c r="G556" s="9">
        <v>1</v>
      </c>
      <c r="H556" s="13">
        <f>D556*F556*G556</f>
        <v>5.48</v>
      </c>
    </row>
    <row r="557" spans="1:8" s="15" customFormat="1" x14ac:dyDescent="0.4">
      <c r="A557" s="501"/>
      <c r="B557" s="14"/>
      <c r="C557" s="502"/>
      <c r="D557" s="8">
        <v>1.2</v>
      </c>
      <c r="E557" s="8"/>
      <c r="F557" s="8">
        <v>2</v>
      </c>
      <c r="G557" s="9">
        <v>2</v>
      </c>
      <c r="H557" s="13">
        <f>D557*F557*G557</f>
        <v>4.8</v>
      </c>
    </row>
    <row r="558" spans="1:8" s="15" customFormat="1" x14ac:dyDescent="0.4">
      <c r="A558" s="501"/>
      <c r="B558" s="14"/>
      <c r="C558" s="502"/>
      <c r="D558" s="8"/>
      <c r="E558" s="8"/>
      <c r="F558" s="8"/>
      <c r="G558" s="26" t="s">
        <v>15</v>
      </c>
      <c r="H558" s="10">
        <f>SUM(H548:H557)</f>
        <v>59.879999999999995</v>
      </c>
    </row>
    <row r="559" spans="1:8" s="15" customFormat="1" x14ac:dyDescent="0.4">
      <c r="A559" s="18"/>
      <c r="B559" s="14"/>
      <c r="C559" s="7"/>
      <c r="D559" s="8"/>
      <c r="E559" s="8"/>
      <c r="F559" s="8"/>
      <c r="G559" s="9"/>
      <c r="H559" s="13"/>
    </row>
    <row r="560" spans="1:8" s="15" customFormat="1" x14ac:dyDescent="0.4">
      <c r="A560" s="501">
        <v>6</v>
      </c>
      <c r="B560" s="11" t="s">
        <v>33</v>
      </c>
      <c r="C560" s="502" t="s">
        <v>1</v>
      </c>
      <c r="D560" s="8"/>
      <c r="E560" s="8"/>
      <c r="F560" s="8"/>
      <c r="G560" s="9"/>
      <c r="H560" s="13"/>
    </row>
    <row r="561" spans="1:8" s="15" customFormat="1" x14ac:dyDescent="0.4">
      <c r="A561" s="501"/>
      <c r="B561" s="14" t="s">
        <v>144</v>
      </c>
      <c r="C561" s="502"/>
      <c r="D561" s="8">
        <v>8.49</v>
      </c>
      <c r="E561" s="8"/>
      <c r="F561" s="8">
        <v>3.2</v>
      </c>
      <c r="G561" s="9">
        <v>2</v>
      </c>
      <c r="H561" s="13">
        <f>D561*F561*G561</f>
        <v>54.336000000000006</v>
      </c>
    </row>
    <row r="562" spans="1:8" s="15" customFormat="1" x14ac:dyDescent="0.4">
      <c r="A562" s="501"/>
      <c r="B562" s="14"/>
      <c r="C562" s="502"/>
      <c r="D562" s="8">
        <v>12.18</v>
      </c>
      <c r="E562" s="8"/>
      <c r="F562" s="8">
        <v>3.2</v>
      </c>
      <c r="G562" s="9">
        <v>2</v>
      </c>
      <c r="H562" s="13">
        <f>D562*F562*G562</f>
        <v>77.951999999999998</v>
      </c>
    </row>
    <row r="563" spans="1:8" s="15" customFormat="1" x14ac:dyDescent="0.4">
      <c r="A563" s="501"/>
      <c r="B563" s="14" t="s">
        <v>145</v>
      </c>
      <c r="C563" s="502"/>
      <c r="D563" s="8">
        <v>0.5</v>
      </c>
      <c r="E563" s="8"/>
      <c r="F563" s="8">
        <v>3.2</v>
      </c>
      <c r="G563" s="9">
        <v>4</v>
      </c>
      <c r="H563" s="13">
        <f t="shared" ref="H563:H568" si="15">D563*F563*G563</f>
        <v>6.4</v>
      </c>
    </row>
    <row r="564" spans="1:8" s="15" customFormat="1" x14ac:dyDescent="0.4">
      <c r="A564" s="501"/>
      <c r="B564" s="14"/>
      <c r="C564" s="502"/>
      <c r="D564" s="8">
        <v>0.25</v>
      </c>
      <c r="E564" s="8"/>
      <c r="F564" s="8">
        <v>3.2</v>
      </c>
      <c r="G564" s="9">
        <v>4</v>
      </c>
      <c r="H564" s="13">
        <f t="shared" si="15"/>
        <v>3.2</v>
      </c>
    </row>
    <row r="565" spans="1:8" s="15" customFormat="1" x14ac:dyDescent="0.4">
      <c r="A565" s="501"/>
      <c r="B565" s="14" t="s">
        <v>16</v>
      </c>
      <c r="C565" s="502"/>
      <c r="D565" s="8">
        <v>3.6</v>
      </c>
      <c r="E565" s="8"/>
      <c r="F565" s="8">
        <v>2.85</v>
      </c>
      <c r="G565" s="9">
        <v>6</v>
      </c>
      <c r="H565" s="13">
        <f>-D565*F565*G565</f>
        <v>-61.56</v>
      </c>
    </row>
    <row r="566" spans="1:8" s="15" customFormat="1" x14ac:dyDescent="0.4">
      <c r="A566" s="501"/>
      <c r="B566" s="14"/>
      <c r="C566" s="502"/>
      <c r="D566" s="8">
        <v>0.9</v>
      </c>
      <c r="E566" s="8"/>
      <c r="F566" s="8">
        <v>2</v>
      </c>
      <c r="G566" s="9">
        <v>1</v>
      </c>
      <c r="H566" s="13">
        <f>-D566*F566*G566</f>
        <v>-1.8</v>
      </c>
    </row>
    <row r="567" spans="1:8" s="15" customFormat="1" x14ac:dyDescent="0.4">
      <c r="A567" s="501"/>
      <c r="B567" s="14" t="s">
        <v>139</v>
      </c>
      <c r="C567" s="502"/>
      <c r="D567" s="8">
        <v>14.99</v>
      </c>
      <c r="E567" s="8"/>
      <c r="F567" s="8">
        <v>3.2</v>
      </c>
      <c r="G567" s="9">
        <v>2</v>
      </c>
      <c r="H567" s="13">
        <f t="shared" si="15"/>
        <v>95.936000000000007</v>
      </c>
    </row>
    <row r="568" spans="1:8" s="15" customFormat="1" x14ac:dyDescent="0.4">
      <c r="A568" s="501"/>
      <c r="B568" s="14"/>
      <c r="C568" s="502"/>
      <c r="D568" s="8">
        <v>7.17</v>
      </c>
      <c r="E568" s="8"/>
      <c r="F568" s="8">
        <v>3.2</v>
      </c>
      <c r="G568" s="9">
        <v>2</v>
      </c>
      <c r="H568" s="13">
        <f t="shared" si="15"/>
        <v>45.888000000000005</v>
      </c>
    </row>
    <row r="569" spans="1:8" s="15" customFormat="1" x14ac:dyDescent="0.4">
      <c r="A569" s="501"/>
      <c r="B569" s="14" t="s">
        <v>145</v>
      </c>
      <c r="C569" s="502"/>
      <c r="D569" s="8">
        <v>0.5</v>
      </c>
      <c r="E569" s="8"/>
      <c r="F569" s="8">
        <v>3.2</v>
      </c>
      <c r="G569" s="9">
        <v>4</v>
      </c>
      <c r="H569" s="13">
        <f>D569*F569*G569</f>
        <v>6.4</v>
      </c>
    </row>
    <row r="570" spans="1:8" s="15" customFormat="1" x14ac:dyDescent="0.4">
      <c r="A570" s="501"/>
      <c r="B570" s="14"/>
      <c r="C570" s="502"/>
      <c r="D570" s="8">
        <v>0.25</v>
      </c>
      <c r="E570" s="8"/>
      <c r="F570" s="8">
        <v>3.2</v>
      </c>
      <c r="G570" s="9">
        <v>3</v>
      </c>
      <c r="H570" s="13">
        <f>D570*F570*G570</f>
        <v>2.4000000000000004</v>
      </c>
    </row>
    <row r="571" spans="1:8" s="15" customFormat="1" x14ac:dyDescent="0.4">
      <c r="A571" s="501"/>
      <c r="B571" s="14" t="s">
        <v>16</v>
      </c>
      <c r="C571" s="502"/>
      <c r="D571" s="8">
        <v>3.6</v>
      </c>
      <c r="E571" s="8"/>
      <c r="F571" s="8">
        <v>2.85</v>
      </c>
      <c r="G571" s="9">
        <v>4</v>
      </c>
      <c r="H571" s="13">
        <f>-D571*F571*G571</f>
        <v>-41.04</v>
      </c>
    </row>
    <row r="572" spans="1:8" s="15" customFormat="1" x14ac:dyDescent="0.4">
      <c r="A572" s="501"/>
      <c r="B572" s="14"/>
      <c r="C572" s="502"/>
      <c r="D572" s="8">
        <v>1.8</v>
      </c>
      <c r="E572" s="8"/>
      <c r="F572" s="8">
        <v>2.1</v>
      </c>
      <c r="G572" s="9">
        <v>1</v>
      </c>
      <c r="H572" s="13">
        <f>-D572*F572*G572</f>
        <v>-3.7800000000000002</v>
      </c>
    </row>
    <row r="573" spans="1:8" s="15" customFormat="1" x14ac:dyDescent="0.4">
      <c r="A573" s="501"/>
      <c r="B573" s="14" t="s">
        <v>38</v>
      </c>
      <c r="C573" s="502"/>
      <c r="D573" s="8">
        <v>16.53</v>
      </c>
      <c r="E573" s="8"/>
      <c r="F573" s="8">
        <v>3.2</v>
      </c>
      <c r="G573" s="9">
        <v>1</v>
      </c>
      <c r="H573" s="13">
        <f t="shared" ref="H573:H593" si="16">D573*F573*G573</f>
        <v>52.896000000000008</v>
      </c>
    </row>
    <row r="574" spans="1:8" s="15" customFormat="1" x14ac:dyDescent="0.4">
      <c r="A574" s="501"/>
      <c r="B574" s="14"/>
      <c r="C574" s="502"/>
      <c r="D574" s="8">
        <v>1.2</v>
      </c>
      <c r="E574" s="8"/>
      <c r="F574" s="8">
        <v>3.2</v>
      </c>
      <c r="G574" s="9">
        <v>1</v>
      </c>
      <c r="H574" s="13">
        <f t="shared" si="16"/>
        <v>3.84</v>
      </c>
    </row>
    <row r="575" spans="1:8" s="15" customFormat="1" x14ac:dyDescent="0.4">
      <c r="A575" s="501"/>
      <c r="B575" s="14"/>
      <c r="C575" s="502"/>
      <c r="D575" s="8">
        <v>15.11</v>
      </c>
      <c r="E575" s="8"/>
      <c r="F575" s="8">
        <v>3.2</v>
      </c>
      <c r="G575" s="9">
        <v>1</v>
      </c>
      <c r="H575" s="13">
        <f t="shared" si="16"/>
        <v>48.352000000000004</v>
      </c>
    </row>
    <row r="576" spans="1:8" s="15" customFormat="1" x14ac:dyDescent="0.4">
      <c r="A576" s="501"/>
      <c r="B576" s="14"/>
      <c r="C576" s="502"/>
      <c r="D576" s="8">
        <v>4.45</v>
      </c>
      <c r="E576" s="8"/>
      <c r="F576" s="8">
        <v>3.2</v>
      </c>
      <c r="G576" s="9">
        <v>1</v>
      </c>
      <c r="H576" s="13">
        <f t="shared" si="16"/>
        <v>14.240000000000002</v>
      </c>
    </row>
    <row r="577" spans="1:8" s="15" customFormat="1" x14ac:dyDescent="0.4">
      <c r="A577" s="501"/>
      <c r="B577" s="14"/>
      <c r="C577" s="502"/>
      <c r="D577" s="8">
        <v>0.25</v>
      </c>
      <c r="E577" s="8"/>
      <c r="F577" s="8">
        <v>3.2</v>
      </c>
      <c r="G577" s="9">
        <v>2</v>
      </c>
      <c r="H577" s="13">
        <f t="shared" si="16"/>
        <v>1.6</v>
      </c>
    </row>
    <row r="578" spans="1:8" s="15" customFormat="1" x14ac:dyDescent="0.4">
      <c r="A578" s="501"/>
      <c r="B578" s="14"/>
      <c r="C578" s="502"/>
      <c r="D578" s="8">
        <v>2.78</v>
      </c>
      <c r="E578" s="8"/>
      <c r="F578" s="8">
        <v>3.2</v>
      </c>
      <c r="G578" s="9">
        <v>1</v>
      </c>
      <c r="H578" s="13">
        <f t="shared" si="16"/>
        <v>8.895999999999999</v>
      </c>
    </row>
    <row r="579" spans="1:8" s="15" customFormat="1" x14ac:dyDescent="0.4">
      <c r="A579" s="501"/>
      <c r="B579" s="14"/>
      <c r="C579" s="502"/>
      <c r="D579" s="8">
        <v>2.84</v>
      </c>
      <c r="E579" s="8"/>
      <c r="F579" s="8">
        <v>3.2</v>
      </c>
      <c r="G579" s="9">
        <v>1</v>
      </c>
      <c r="H579" s="13">
        <f t="shared" si="16"/>
        <v>9.0879999999999992</v>
      </c>
    </row>
    <row r="580" spans="1:8" s="15" customFormat="1" x14ac:dyDescent="0.4">
      <c r="A580" s="501"/>
      <c r="B580" s="14"/>
      <c r="C580" s="502"/>
      <c r="D580" s="8">
        <v>4.45</v>
      </c>
      <c r="E580" s="8"/>
      <c r="F580" s="8">
        <v>3.2</v>
      </c>
      <c r="G580" s="9">
        <v>1</v>
      </c>
      <c r="H580" s="13">
        <f t="shared" si="16"/>
        <v>14.240000000000002</v>
      </c>
    </row>
    <row r="581" spans="1:8" s="15" customFormat="1" x14ac:dyDescent="0.4">
      <c r="A581" s="501"/>
      <c r="B581" s="14"/>
      <c r="C581" s="502"/>
      <c r="D581" s="8">
        <v>0.25</v>
      </c>
      <c r="E581" s="8"/>
      <c r="F581" s="8">
        <v>3.2</v>
      </c>
      <c r="G581" s="9">
        <v>1</v>
      </c>
      <c r="H581" s="13">
        <f t="shared" si="16"/>
        <v>0.8</v>
      </c>
    </row>
    <row r="582" spans="1:8" s="15" customFormat="1" x14ac:dyDescent="0.4">
      <c r="A582" s="501"/>
      <c r="B582" s="14"/>
      <c r="C582" s="502"/>
      <c r="D582" s="8">
        <v>1.68</v>
      </c>
      <c r="E582" s="8"/>
      <c r="F582" s="8">
        <v>3.2</v>
      </c>
      <c r="G582" s="9">
        <v>1</v>
      </c>
      <c r="H582" s="13">
        <f t="shared" si="16"/>
        <v>5.3760000000000003</v>
      </c>
    </row>
    <row r="583" spans="1:8" s="15" customFormat="1" x14ac:dyDescent="0.4">
      <c r="A583" s="501"/>
      <c r="B583" s="130" t="s">
        <v>137</v>
      </c>
      <c r="C583" s="502"/>
      <c r="D583" s="8">
        <v>4.6500000000000004</v>
      </c>
      <c r="E583" s="8"/>
      <c r="F583" s="8">
        <v>4.7</v>
      </c>
      <c r="G583" s="9">
        <v>1</v>
      </c>
      <c r="H583" s="13">
        <f t="shared" si="16"/>
        <v>21.855000000000004</v>
      </c>
    </row>
    <row r="584" spans="1:8" s="15" customFormat="1" x14ac:dyDescent="0.4">
      <c r="A584" s="501"/>
      <c r="B584" s="14"/>
      <c r="C584" s="502"/>
      <c r="D584" s="8">
        <v>3.7</v>
      </c>
      <c r="E584" s="8"/>
      <c r="F584" s="8">
        <v>4.7</v>
      </c>
      <c r="G584" s="9">
        <v>1</v>
      </c>
      <c r="H584" s="13">
        <f t="shared" si="16"/>
        <v>17.39</v>
      </c>
    </row>
    <row r="585" spans="1:8" s="15" customFormat="1" x14ac:dyDescent="0.4">
      <c r="A585" s="501"/>
      <c r="B585" s="14"/>
      <c r="C585" s="502"/>
      <c r="D585" s="8">
        <v>7.95</v>
      </c>
      <c r="E585" s="8"/>
      <c r="F585" s="8">
        <v>4.7</v>
      </c>
      <c r="G585" s="9">
        <v>1</v>
      </c>
      <c r="H585" s="13">
        <f t="shared" si="16"/>
        <v>37.365000000000002</v>
      </c>
    </row>
    <row r="586" spans="1:8" s="15" customFormat="1" x14ac:dyDescent="0.4">
      <c r="A586" s="501"/>
      <c r="B586" s="14"/>
      <c r="C586" s="502"/>
      <c r="D586" s="8">
        <v>2</v>
      </c>
      <c r="E586" s="8"/>
      <c r="F586" s="8">
        <v>3.2</v>
      </c>
      <c r="G586" s="9">
        <v>2</v>
      </c>
      <c r="H586" s="13">
        <f t="shared" si="16"/>
        <v>12.8</v>
      </c>
    </row>
    <row r="587" spans="1:8" s="15" customFormat="1" x14ac:dyDescent="0.4">
      <c r="A587" s="501"/>
      <c r="B587" s="14"/>
      <c r="C587" s="502"/>
      <c r="D587" s="8">
        <v>1.55</v>
      </c>
      <c r="E587" s="8"/>
      <c r="F587" s="8">
        <v>3.2</v>
      </c>
      <c r="G587" s="9">
        <v>1</v>
      </c>
      <c r="H587" s="13">
        <f t="shared" si="16"/>
        <v>4.9600000000000009</v>
      </c>
    </row>
    <row r="588" spans="1:8" s="15" customFormat="1" x14ac:dyDescent="0.4">
      <c r="A588" s="501"/>
      <c r="B588" s="14"/>
      <c r="C588" s="502"/>
      <c r="D588" s="8">
        <v>0.44</v>
      </c>
      <c r="E588" s="8"/>
      <c r="F588" s="8">
        <v>3.2</v>
      </c>
      <c r="G588" s="9">
        <v>1</v>
      </c>
      <c r="H588" s="13">
        <f t="shared" si="16"/>
        <v>1.4080000000000001</v>
      </c>
    </row>
    <row r="589" spans="1:8" s="15" customFormat="1" x14ac:dyDescent="0.4">
      <c r="A589" s="501"/>
      <c r="B589" s="14"/>
      <c r="C589" s="502"/>
      <c r="D589" s="8">
        <v>2.15</v>
      </c>
      <c r="E589" s="8"/>
      <c r="F589" s="8">
        <v>3.2</v>
      </c>
      <c r="G589" s="9">
        <v>1</v>
      </c>
      <c r="H589" s="13">
        <f t="shared" si="16"/>
        <v>6.88</v>
      </c>
    </row>
    <row r="590" spans="1:8" s="15" customFormat="1" x14ac:dyDescent="0.4">
      <c r="A590" s="501"/>
      <c r="B590" s="14"/>
      <c r="C590" s="502"/>
      <c r="D590" s="8">
        <v>2.0499999999999998</v>
      </c>
      <c r="E590" s="8"/>
      <c r="F590" s="8">
        <v>3.2</v>
      </c>
      <c r="G590" s="9">
        <v>1</v>
      </c>
      <c r="H590" s="13">
        <f t="shared" si="16"/>
        <v>6.56</v>
      </c>
    </row>
    <row r="591" spans="1:8" s="15" customFormat="1" x14ac:dyDescent="0.4">
      <c r="A591" s="501"/>
      <c r="B591" s="14" t="s">
        <v>146</v>
      </c>
      <c r="C591" s="502"/>
      <c r="D591" s="8">
        <v>4.51</v>
      </c>
      <c r="E591" s="8"/>
      <c r="F591" s="8">
        <v>3.2</v>
      </c>
      <c r="G591" s="9">
        <v>1</v>
      </c>
      <c r="H591" s="13">
        <f t="shared" si="16"/>
        <v>14.432</v>
      </c>
    </row>
    <row r="592" spans="1:8" s="15" customFormat="1" x14ac:dyDescent="0.4">
      <c r="A592" s="501"/>
      <c r="B592" s="14" t="s">
        <v>147</v>
      </c>
      <c r="C592" s="502"/>
      <c r="D592" s="8">
        <v>15.62</v>
      </c>
      <c r="E592" s="8"/>
      <c r="F592" s="8">
        <v>3.2</v>
      </c>
      <c r="G592" s="9">
        <v>2</v>
      </c>
      <c r="H592" s="13">
        <f t="shared" si="16"/>
        <v>99.968000000000004</v>
      </c>
    </row>
    <row r="593" spans="1:8" s="15" customFormat="1" x14ac:dyDescent="0.4">
      <c r="A593" s="501"/>
      <c r="B593" s="14"/>
      <c r="C593" s="502"/>
      <c r="D593" s="8">
        <v>1.32</v>
      </c>
      <c r="E593" s="8"/>
      <c r="F593" s="8">
        <v>3.2</v>
      </c>
      <c r="G593" s="9">
        <v>1</v>
      </c>
      <c r="H593" s="13">
        <f t="shared" si="16"/>
        <v>4.2240000000000002</v>
      </c>
    </row>
    <row r="594" spans="1:8" s="15" customFormat="1" x14ac:dyDescent="0.4">
      <c r="A594" s="501"/>
      <c r="B594" s="14" t="s">
        <v>16</v>
      </c>
      <c r="C594" s="502"/>
      <c r="D594" s="8">
        <v>3.6</v>
      </c>
      <c r="E594" s="8"/>
      <c r="F594" s="8">
        <v>2.85</v>
      </c>
      <c r="G594" s="9">
        <v>3</v>
      </c>
      <c r="H594" s="13">
        <f>-D594*F594*G594</f>
        <v>-30.78</v>
      </c>
    </row>
    <row r="595" spans="1:8" s="15" customFormat="1" x14ac:dyDescent="0.4">
      <c r="A595" s="501"/>
      <c r="B595" s="14"/>
      <c r="C595" s="502"/>
      <c r="D595" s="8">
        <v>3.6</v>
      </c>
      <c r="E595" s="8"/>
      <c r="F595" s="8">
        <v>1</v>
      </c>
      <c r="G595" s="9">
        <v>4</v>
      </c>
      <c r="H595" s="13">
        <f>-D595*F595*G595</f>
        <v>-14.4</v>
      </c>
    </row>
    <row r="596" spans="1:8" s="15" customFormat="1" x14ac:dyDescent="0.4">
      <c r="A596" s="501"/>
      <c r="B596" s="14"/>
      <c r="C596" s="502"/>
      <c r="D596" s="8">
        <v>1.8</v>
      </c>
      <c r="E596" s="8"/>
      <c r="F596" s="8">
        <v>2.1</v>
      </c>
      <c r="G596" s="9">
        <v>1</v>
      </c>
      <c r="H596" s="13">
        <f>-D596*F596*G596</f>
        <v>-3.7800000000000002</v>
      </c>
    </row>
    <row r="597" spans="1:8" s="15" customFormat="1" x14ac:dyDescent="0.4">
      <c r="A597" s="501"/>
      <c r="B597" s="14"/>
      <c r="C597" s="502"/>
      <c r="D597" s="8">
        <v>0.9</v>
      </c>
      <c r="E597" s="8"/>
      <c r="F597" s="8">
        <v>2</v>
      </c>
      <c r="G597" s="9">
        <v>4</v>
      </c>
      <c r="H597" s="13">
        <f t="shared" ref="H597:H606" si="17">-D597*F597*G597</f>
        <v>-7.2</v>
      </c>
    </row>
    <row r="598" spans="1:8" s="15" customFormat="1" x14ac:dyDescent="0.4">
      <c r="A598" s="501"/>
      <c r="B598" s="14"/>
      <c r="C598" s="502"/>
      <c r="D598" s="8">
        <v>3.8</v>
      </c>
      <c r="E598" s="8"/>
      <c r="F598" s="8">
        <v>3.2</v>
      </c>
      <c r="G598" s="9">
        <v>2</v>
      </c>
      <c r="H598" s="13">
        <f t="shared" si="17"/>
        <v>-24.32</v>
      </c>
    </row>
    <row r="599" spans="1:8" s="15" customFormat="1" x14ac:dyDescent="0.4">
      <c r="A599" s="501"/>
      <c r="B599" s="14"/>
      <c r="C599" s="502"/>
      <c r="D599" s="8">
        <v>3</v>
      </c>
      <c r="E599" s="8"/>
      <c r="F599" s="8">
        <v>3.2</v>
      </c>
      <c r="G599" s="9">
        <v>1</v>
      </c>
      <c r="H599" s="13">
        <f t="shared" si="17"/>
        <v>-9.6000000000000014</v>
      </c>
    </row>
    <row r="600" spans="1:8" s="15" customFormat="1" x14ac:dyDescent="0.4">
      <c r="A600" s="501"/>
      <c r="B600" s="14"/>
      <c r="C600" s="502"/>
      <c r="D600" s="8">
        <v>2.75</v>
      </c>
      <c r="E600" s="8"/>
      <c r="F600" s="8">
        <v>3.2</v>
      </c>
      <c r="G600" s="9">
        <v>1</v>
      </c>
      <c r="H600" s="13">
        <f t="shared" si="17"/>
        <v>-8.8000000000000007</v>
      </c>
    </row>
    <row r="601" spans="1:8" s="15" customFormat="1" x14ac:dyDescent="0.4">
      <c r="A601" s="501"/>
      <c r="B601" s="14"/>
      <c r="C601" s="502"/>
      <c r="D601" s="8">
        <v>1.8</v>
      </c>
      <c r="E601" s="8"/>
      <c r="F601" s="8">
        <v>2.2000000000000002</v>
      </c>
      <c r="G601" s="9">
        <v>2</v>
      </c>
      <c r="H601" s="13">
        <f t="shared" si="17"/>
        <v>-7.9200000000000008</v>
      </c>
    </row>
    <row r="602" spans="1:8" s="15" customFormat="1" x14ac:dyDescent="0.4">
      <c r="A602" s="501"/>
      <c r="B602" s="14"/>
      <c r="C602" s="502"/>
      <c r="D602" s="8">
        <v>0.8</v>
      </c>
      <c r="E602" s="8"/>
      <c r="F602" s="8">
        <v>2</v>
      </c>
      <c r="G602" s="9">
        <v>1</v>
      </c>
      <c r="H602" s="13">
        <f t="shared" si="17"/>
        <v>-1.6</v>
      </c>
    </row>
    <row r="603" spans="1:8" s="15" customFormat="1" x14ac:dyDescent="0.4">
      <c r="A603" s="501"/>
      <c r="B603" s="14"/>
      <c r="C603" s="502"/>
      <c r="D603" s="8">
        <v>1.6</v>
      </c>
      <c r="E603" s="8"/>
      <c r="F603" s="8">
        <v>2.1</v>
      </c>
      <c r="G603" s="9">
        <v>1</v>
      </c>
      <c r="H603" s="13">
        <f t="shared" si="17"/>
        <v>-3.3600000000000003</v>
      </c>
    </row>
    <row r="604" spans="1:8" s="15" customFormat="1" x14ac:dyDescent="0.4">
      <c r="A604" s="501"/>
      <c r="B604" s="14" t="s">
        <v>140</v>
      </c>
      <c r="C604" s="502"/>
      <c r="D604" s="8">
        <v>1.43</v>
      </c>
      <c r="E604" s="8"/>
      <c r="F604" s="8">
        <v>3.2</v>
      </c>
      <c r="G604" s="9">
        <v>2</v>
      </c>
      <c r="H604" s="13">
        <f>D604*F604*G604</f>
        <v>9.1519999999999992</v>
      </c>
    </row>
    <row r="605" spans="1:8" s="15" customFormat="1" x14ac:dyDescent="0.4">
      <c r="A605" s="501"/>
      <c r="B605" s="14"/>
      <c r="C605" s="502"/>
      <c r="D605" s="8">
        <v>2.46</v>
      </c>
      <c r="E605" s="8"/>
      <c r="F605" s="8">
        <v>3.2</v>
      </c>
      <c r="G605" s="9">
        <v>2</v>
      </c>
      <c r="H605" s="13">
        <f>D605*F605*G605</f>
        <v>15.744</v>
      </c>
    </row>
    <row r="606" spans="1:8" s="15" customFormat="1" x14ac:dyDescent="0.4">
      <c r="A606" s="501"/>
      <c r="B606" s="14" t="s">
        <v>16</v>
      </c>
      <c r="C606" s="502"/>
      <c r="D606" s="8">
        <v>0.9</v>
      </c>
      <c r="E606" s="8"/>
      <c r="F606" s="8">
        <v>2</v>
      </c>
      <c r="G606" s="9">
        <v>1</v>
      </c>
      <c r="H606" s="13">
        <f t="shared" si="17"/>
        <v>-1.8</v>
      </c>
    </row>
    <row r="607" spans="1:8" s="15" customFormat="1" x14ac:dyDescent="0.4">
      <c r="A607" s="501"/>
      <c r="B607" s="14" t="s">
        <v>141</v>
      </c>
      <c r="C607" s="502"/>
      <c r="D607" s="8">
        <v>1.53</v>
      </c>
      <c r="E607" s="8"/>
      <c r="F607" s="8">
        <v>3.2</v>
      </c>
      <c r="G607" s="9">
        <v>2</v>
      </c>
      <c r="H607" s="13">
        <f t="shared" ref="H607:H622" si="18">D607*F607*G607</f>
        <v>9.7920000000000016</v>
      </c>
    </row>
    <row r="608" spans="1:8" s="15" customFormat="1" x14ac:dyDescent="0.4">
      <c r="A608" s="501"/>
      <c r="B608" s="14"/>
      <c r="C608" s="502"/>
      <c r="D608" s="8">
        <v>1.55</v>
      </c>
      <c r="E608" s="8"/>
      <c r="F608" s="8">
        <v>3.2</v>
      </c>
      <c r="G608" s="9">
        <v>2</v>
      </c>
      <c r="H608" s="13">
        <f t="shared" si="18"/>
        <v>9.9200000000000017</v>
      </c>
    </row>
    <row r="609" spans="1:8" s="15" customFormat="1" x14ac:dyDescent="0.4">
      <c r="A609" s="501"/>
      <c r="B609" s="14" t="s">
        <v>16</v>
      </c>
      <c r="C609" s="502"/>
      <c r="D609" s="8">
        <v>0.8</v>
      </c>
      <c r="E609" s="8"/>
      <c r="F609" s="8">
        <v>2</v>
      </c>
      <c r="G609" s="9">
        <v>1</v>
      </c>
      <c r="H609" s="13">
        <f>-D609*F609*G609</f>
        <v>-1.6</v>
      </c>
    </row>
    <row r="610" spans="1:8" s="15" customFormat="1" x14ac:dyDescent="0.4">
      <c r="A610" s="501"/>
      <c r="B610" s="14" t="s">
        <v>148</v>
      </c>
      <c r="C610" s="502"/>
      <c r="D610" s="8">
        <v>4.0999999999999996</v>
      </c>
      <c r="E610" s="8"/>
      <c r="F610" s="8">
        <v>3.2</v>
      </c>
      <c r="G610" s="9">
        <v>2</v>
      </c>
      <c r="H610" s="13">
        <f t="shared" si="18"/>
        <v>26.24</v>
      </c>
    </row>
    <row r="611" spans="1:8" s="15" customFormat="1" x14ac:dyDescent="0.4">
      <c r="A611" s="501"/>
      <c r="B611" s="14"/>
      <c r="C611" s="502"/>
      <c r="D611" s="8">
        <v>7.35</v>
      </c>
      <c r="E611" s="8"/>
      <c r="F611" s="8">
        <v>3.2</v>
      </c>
      <c r="G611" s="9">
        <v>2</v>
      </c>
      <c r="H611" s="13">
        <f t="shared" si="18"/>
        <v>47.04</v>
      </c>
    </row>
    <row r="612" spans="1:8" s="15" customFormat="1" x14ac:dyDescent="0.4">
      <c r="A612" s="501"/>
      <c r="B612" s="14"/>
      <c r="C612" s="502"/>
      <c r="D612" s="8">
        <v>1.49</v>
      </c>
      <c r="E612" s="8"/>
      <c r="F612" s="8">
        <v>3.2</v>
      </c>
      <c r="G612" s="9">
        <v>5</v>
      </c>
      <c r="H612" s="13">
        <f t="shared" si="18"/>
        <v>23.84</v>
      </c>
    </row>
    <row r="613" spans="1:8" s="15" customFormat="1" x14ac:dyDescent="0.4">
      <c r="A613" s="501"/>
      <c r="B613" s="14"/>
      <c r="C613" s="502"/>
      <c r="D613" s="8">
        <v>2.56</v>
      </c>
      <c r="E613" s="8"/>
      <c r="F613" s="8">
        <v>3.2</v>
      </c>
      <c r="G613" s="9">
        <v>1</v>
      </c>
      <c r="H613" s="13">
        <f t="shared" si="18"/>
        <v>8.1920000000000002</v>
      </c>
    </row>
    <row r="614" spans="1:8" s="15" customFormat="1" x14ac:dyDescent="0.4">
      <c r="A614" s="501"/>
      <c r="B614" s="14"/>
      <c r="C614" s="502"/>
      <c r="D614" s="8">
        <v>1.58</v>
      </c>
      <c r="E614" s="8"/>
      <c r="F614" s="8">
        <v>3.2</v>
      </c>
      <c r="G614" s="9">
        <v>2</v>
      </c>
      <c r="H614" s="13">
        <f t="shared" si="18"/>
        <v>10.112000000000002</v>
      </c>
    </row>
    <row r="615" spans="1:8" s="15" customFormat="1" x14ac:dyDescent="0.4">
      <c r="A615" s="501"/>
      <c r="B615" s="14"/>
      <c r="C615" s="502"/>
      <c r="D615" s="8">
        <v>0.25</v>
      </c>
      <c r="E615" s="8"/>
      <c r="F615" s="8">
        <v>3.2</v>
      </c>
      <c r="G615" s="9">
        <v>1</v>
      </c>
      <c r="H615" s="13">
        <f t="shared" si="18"/>
        <v>0.8</v>
      </c>
    </row>
    <row r="616" spans="1:8" s="15" customFormat="1" x14ac:dyDescent="0.4">
      <c r="A616" s="501"/>
      <c r="B616" s="14" t="s">
        <v>16</v>
      </c>
      <c r="C616" s="502"/>
      <c r="D616" s="8">
        <v>0.9</v>
      </c>
      <c r="E616" s="8"/>
      <c r="F616" s="8">
        <v>2</v>
      </c>
      <c r="G616" s="9">
        <v>2</v>
      </c>
      <c r="H616" s="13">
        <f>-D616*F616*G616</f>
        <v>-3.6</v>
      </c>
    </row>
    <row r="617" spans="1:8" s="15" customFormat="1" x14ac:dyDescent="0.4">
      <c r="A617" s="501"/>
      <c r="B617" s="14" t="s">
        <v>68</v>
      </c>
      <c r="C617" s="502"/>
      <c r="D617" s="8">
        <v>2.2999999999999998</v>
      </c>
      <c r="E617" s="8"/>
      <c r="F617" s="8">
        <v>3.2</v>
      </c>
      <c r="G617" s="9">
        <v>2</v>
      </c>
      <c r="H617" s="13">
        <f t="shared" si="18"/>
        <v>14.719999999999999</v>
      </c>
    </row>
    <row r="618" spans="1:8" s="15" customFormat="1" x14ac:dyDescent="0.4">
      <c r="A618" s="501"/>
      <c r="B618" s="14"/>
      <c r="C618" s="502"/>
      <c r="D618" s="8">
        <v>2.0499999999999998</v>
      </c>
      <c r="E618" s="8"/>
      <c r="F618" s="8">
        <v>3.2</v>
      </c>
      <c r="G618" s="9">
        <v>2</v>
      </c>
      <c r="H618" s="13">
        <f t="shared" si="18"/>
        <v>13.12</v>
      </c>
    </row>
    <row r="619" spans="1:8" s="15" customFormat="1" x14ac:dyDescent="0.4">
      <c r="A619" s="501"/>
      <c r="B619" s="14" t="s">
        <v>16</v>
      </c>
      <c r="C619" s="502"/>
      <c r="D619" s="8">
        <v>0.9</v>
      </c>
      <c r="E619" s="8"/>
      <c r="F619" s="8">
        <v>2</v>
      </c>
      <c r="G619" s="9">
        <v>1</v>
      </c>
      <c r="H619" s="13">
        <f>-D619*F619*G619</f>
        <v>-1.8</v>
      </c>
    </row>
    <row r="620" spans="1:8" s="15" customFormat="1" x14ac:dyDescent="0.4">
      <c r="A620" s="501"/>
      <c r="B620" s="14" t="s">
        <v>149</v>
      </c>
      <c r="C620" s="502"/>
      <c r="D620" s="8">
        <v>11.15</v>
      </c>
      <c r="E620" s="8"/>
      <c r="F620" s="8">
        <v>3.2</v>
      </c>
      <c r="G620" s="9">
        <v>2</v>
      </c>
      <c r="H620" s="13">
        <f t="shared" si="18"/>
        <v>71.36</v>
      </c>
    </row>
    <row r="621" spans="1:8" s="15" customFormat="1" x14ac:dyDescent="0.4">
      <c r="A621" s="501"/>
      <c r="B621" s="14"/>
      <c r="C621" s="502"/>
      <c r="D621" s="8">
        <v>7.35</v>
      </c>
      <c r="E621" s="8"/>
      <c r="F621" s="8">
        <v>3.2</v>
      </c>
      <c r="G621" s="9">
        <v>2</v>
      </c>
      <c r="H621" s="13">
        <f t="shared" si="18"/>
        <v>47.04</v>
      </c>
    </row>
    <row r="622" spans="1:8" s="15" customFormat="1" x14ac:dyDescent="0.4">
      <c r="A622" s="501"/>
      <c r="B622" s="14" t="s">
        <v>145</v>
      </c>
      <c r="C622" s="502"/>
      <c r="D622" s="8">
        <v>0.5</v>
      </c>
      <c r="E622" s="8"/>
      <c r="F622" s="8">
        <v>3.2</v>
      </c>
      <c r="G622" s="9">
        <v>4</v>
      </c>
      <c r="H622" s="13">
        <f t="shared" si="18"/>
        <v>6.4</v>
      </c>
    </row>
    <row r="623" spans="1:8" s="15" customFormat="1" x14ac:dyDescent="0.4">
      <c r="A623" s="501"/>
      <c r="B623" s="14"/>
      <c r="C623" s="502"/>
      <c r="D623" s="8">
        <v>0.25</v>
      </c>
      <c r="E623" s="8"/>
      <c r="F623" s="8">
        <v>3.2</v>
      </c>
      <c r="G623" s="9">
        <v>4</v>
      </c>
      <c r="H623" s="13">
        <f>D623*F623*G623</f>
        <v>3.2</v>
      </c>
    </row>
    <row r="624" spans="1:8" s="15" customFormat="1" ht="27.6" x14ac:dyDescent="0.4">
      <c r="A624" s="501"/>
      <c r="B624" s="14" t="s">
        <v>176</v>
      </c>
      <c r="C624" s="502"/>
      <c r="D624" s="8">
        <v>11.15</v>
      </c>
      <c r="E624" s="8">
        <v>0.5</v>
      </c>
      <c r="F624" s="8"/>
      <c r="G624" s="9">
        <v>1</v>
      </c>
      <c r="H624" s="13">
        <f>-D624*E624*G624</f>
        <v>-5.5750000000000002</v>
      </c>
    </row>
    <row r="625" spans="1:8" s="15" customFormat="1" x14ac:dyDescent="0.4">
      <c r="A625" s="501"/>
      <c r="B625" s="14" t="s">
        <v>16</v>
      </c>
      <c r="C625" s="502"/>
      <c r="D625" s="8">
        <v>0.9</v>
      </c>
      <c r="E625" s="8"/>
      <c r="F625" s="8">
        <v>2</v>
      </c>
      <c r="G625" s="9">
        <v>2</v>
      </c>
      <c r="H625" s="13">
        <f>-D625*F625*G625</f>
        <v>-3.6</v>
      </c>
    </row>
    <row r="626" spans="1:8" s="15" customFormat="1" x14ac:dyDescent="0.4">
      <c r="A626" s="501"/>
      <c r="B626" s="14"/>
      <c r="C626" s="502"/>
      <c r="D626" s="8">
        <v>2.7</v>
      </c>
      <c r="E626" s="8"/>
      <c r="F626" s="8">
        <v>1</v>
      </c>
      <c r="G626" s="9">
        <v>1</v>
      </c>
      <c r="H626" s="13">
        <f>-D626*F626*G626</f>
        <v>-2.7</v>
      </c>
    </row>
    <row r="627" spans="1:8" s="15" customFormat="1" x14ac:dyDescent="0.4">
      <c r="A627" s="501"/>
      <c r="B627" s="14"/>
      <c r="C627" s="502"/>
      <c r="D627" s="8">
        <v>3.6</v>
      </c>
      <c r="E627" s="8"/>
      <c r="F627" s="8">
        <v>1</v>
      </c>
      <c r="G627" s="9">
        <v>2</v>
      </c>
      <c r="H627" s="13">
        <f>-D627*F627*G627</f>
        <v>-7.2</v>
      </c>
    </row>
    <row r="628" spans="1:8" s="15" customFormat="1" x14ac:dyDescent="0.4">
      <c r="A628" s="501"/>
      <c r="B628" s="14" t="s">
        <v>150</v>
      </c>
      <c r="C628" s="502"/>
      <c r="D628" s="8">
        <v>9.8000000000000007</v>
      </c>
      <c r="E628" s="8"/>
      <c r="F628" s="8">
        <v>3.2</v>
      </c>
      <c r="G628" s="9">
        <v>2</v>
      </c>
      <c r="H628" s="13">
        <f>D628*F628*G628</f>
        <v>62.720000000000006</v>
      </c>
    </row>
    <row r="629" spans="1:8" s="15" customFormat="1" x14ac:dyDescent="0.4">
      <c r="A629" s="501"/>
      <c r="B629" s="14"/>
      <c r="C629" s="502"/>
      <c r="D629" s="8">
        <v>8.7799999999999994</v>
      </c>
      <c r="E629" s="8"/>
      <c r="F629" s="8">
        <v>3.2</v>
      </c>
      <c r="G629" s="9">
        <v>2</v>
      </c>
      <c r="H629" s="13">
        <f>D629*F629*G629</f>
        <v>56.192</v>
      </c>
    </row>
    <row r="630" spans="1:8" s="15" customFormat="1" x14ac:dyDescent="0.4">
      <c r="A630" s="501"/>
      <c r="B630" s="14" t="s">
        <v>145</v>
      </c>
      <c r="C630" s="502"/>
      <c r="D630" s="8">
        <v>0.4</v>
      </c>
      <c r="E630" s="8"/>
      <c r="F630" s="8">
        <v>3.2</v>
      </c>
      <c r="G630" s="9">
        <v>4</v>
      </c>
      <c r="H630" s="13">
        <f>D630*F630*G630</f>
        <v>5.120000000000001</v>
      </c>
    </row>
    <row r="631" spans="1:8" s="15" customFormat="1" x14ac:dyDescent="0.4">
      <c r="A631" s="501"/>
      <c r="B631" s="14"/>
      <c r="C631" s="502"/>
      <c r="D631" s="8">
        <v>0.25</v>
      </c>
      <c r="E631" s="8"/>
      <c r="F631" s="8">
        <v>3.2</v>
      </c>
      <c r="G631" s="9">
        <v>4</v>
      </c>
      <c r="H631" s="13">
        <f>D631*F631*G631</f>
        <v>3.2</v>
      </c>
    </row>
    <row r="632" spans="1:8" s="15" customFormat="1" ht="27.6" x14ac:dyDescent="0.4">
      <c r="A632" s="501"/>
      <c r="B632" s="14" t="s">
        <v>176</v>
      </c>
      <c r="C632" s="502"/>
      <c r="D632" s="8">
        <v>9.8000000000000007</v>
      </c>
      <c r="E632" s="8">
        <v>0.5</v>
      </c>
      <c r="F632" s="8"/>
      <c r="G632" s="9">
        <v>1</v>
      </c>
      <c r="H632" s="13">
        <f>-D632*E632*G632</f>
        <v>-4.9000000000000004</v>
      </c>
    </row>
    <row r="633" spans="1:8" s="15" customFormat="1" x14ac:dyDescent="0.4">
      <c r="A633" s="501"/>
      <c r="B633" s="14" t="s">
        <v>16</v>
      </c>
      <c r="C633" s="502"/>
      <c r="D633" s="8">
        <v>0.9</v>
      </c>
      <c r="E633" s="8"/>
      <c r="F633" s="8">
        <v>2</v>
      </c>
      <c r="G633" s="9">
        <v>2</v>
      </c>
      <c r="H633" s="13">
        <f>-D633*F633*G633</f>
        <v>-3.6</v>
      </c>
    </row>
    <row r="634" spans="1:8" s="15" customFormat="1" x14ac:dyDescent="0.4">
      <c r="A634" s="501"/>
      <c r="B634" s="14"/>
      <c r="C634" s="502"/>
      <c r="D634" s="8">
        <v>3.6</v>
      </c>
      <c r="E634" s="8"/>
      <c r="F634" s="8">
        <v>1</v>
      </c>
      <c r="G634" s="9">
        <v>2</v>
      </c>
      <c r="H634" s="13">
        <f>-D634*F634*G634</f>
        <v>-7.2</v>
      </c>
    </row>
    <row r="635" spans="1:8" s="15" customFormat="1" x14ac:dyDescent="0.4">
      <c r="A635" s="501"/>
      <c r="B635" s="14" t="s">
        <v>151</v>
      </c>
      <c r="C635" s="502"/>
      <c r="D635" s="8">
        <v>8.7799999999999994</v>
      </c>
      <c r="E635" s="8"/>
      <c r="F635" s="8">
        <v>3.2</v>
      </c>
      <c r="G635" s="9">
        <v>2</v>
      </c>
      <c r="H635" s="13">
        <f>D635*F635*G635</f>
        <v>56.192</v>
      </c>
    </row>
    <row r="636" spans="1:8" s="15" customFormat="1" x14ac:dyDescent="0.4">
      <c r="A636" s="501"/>
      <c r="B636" s="14"/>
      <c r="C636" s="502"/>
      <c r="D636" s="8">
        <v>4.32</v>
      </c>
      <c r="E636" s="8"/>
      <c r="F636" s="8">
        <v>3.2</v>
      </c>
      <c r="G636" s="9">
        <v>2</v>
      </c>
      <c r="H636" s="13">
        <f>D636*F636*G636</f>
        <v>27.648000000000003</v>
      </c>
    </row>
    <row r="637" spans="1:8" s="15" customFormat="1" x14ac:dyDescent="0.4">
      <c r="A637" s="501"/>
      <c r="B637" s="25"/>
      <c r="C637" s="502"/>
      <c r="D637" s="8">
        <v>1.57</v>
      </c>
      <c r="E637" s="8"/>
      <c r="F637" s="8">
        <v>3.2</v>
      </c>
      <c r="G637" s="9">
        <v>5</v>
      </c>
      <c r="H637" s="13">
        <f>D637*F637*G637</f>
        <v>25.120000000000005</v>
      </c>
    </row>
    <row r="638" spans="1:8" s="15" customFormat="1" x14ac:dyDescent="0.4">
      <c r="A638" s="501"/>
      <c r="B638" s="14"/>
      <c r="C638" s="502"/>
      <c r="D638" s="8">
        <v>2.16</v>
      </c>
      <c r="E638" s="8"/>
      <c r="F638" s="8">
        <v>3.2</v>
      </c>
      <c r="G638" s="9">
        <v>1</v>
      </c>
      <c r="H638" s="13">
        <f>D638*F638*G638</f>
        <v>6.9120000000000008</v>
      </c>
    </row>
    <row r="639" spans="1:8" s="15" customFormat="1" x14ac:dyDescent="0.4">
      <c r="A639" s="501"/>
      <c r="B639" s="14" t="s">
        <v>16</v>
      </c>
      <c r="C639" s="502"/>
      <c r="D639" s="8">
        <v>0.9</v>
      </c>
      <c r="E639" s="8"/>
      <c r="F639" s="8">
        <v>2</v>
      </c>
      <c r="G639" s="9">
        <v>2</v>
      </c>
      <c r="H639" s="13">
        <f>-D639*F639*G639</f>
        <v>-3.6</v>
      </c>
    </row>
    <row r="640" spans="1:8" s="15" customFormat="1" x14ac:dyDescent="0.4">
      <c r="A640" s="501"/>
      <c r="B640" s="14" t="s">
        <v>68</v>
      </c>
      <c r="C640" s="502"/>
      <c r="D640" s="8">
        <v>2.2999999999999998</v>
      </c>
      <c r="E640" s="8"/>
      <c r="F640" s="8">
        <v>3.2</v>
      </c>
      <c r="G640" s="9">
        <v>2</v>
      </c>
      <c r="H640" s="13">
        <f>D640*F640*G640</f>
        <v>14.719999999999999</v>
      </c>
    </row>
    <row r="641" spans="1:8" s="15" customFormat="1" x14ac:dyDescent="0.4">
      <c r="A641" s="501"/>
      <c r="B641" s="14"/>
      <c r="C641" s="502"/>
      <c r="D641" s="8">
        <v>2.0499999999999998</v>
      </c>
      <c r="E641" s="8"/>
      <c r="F641" s="8">
        <v>3.2</v>
      </c>
      <c r="G641" s="9">
        <v>2</v>
      </c>
      <c r="H641" s="13">
        <f>D641*F641*G641</f>
        <v>13.12</v>
      </c>
    </row>
    <row r="642" spans="1:8" s="15" customFormat="1" x14ac:dyDescent="0.4">
      <c r="A642" s="501"/>
      <c r="B642" s="14" t="s">
        <v>16</v>
      </c>
      <c r="C642" s="502"/>
      <c r="D642" s="8">
        <v>0.9</v>
      </c>
      <c r="E642" s="8"/>
      <c r="F642" s="8">
        <v>2</v>
      </c>
      <c r="G642" s="9">
        <v>1</v>
      </c>
      <c r="H642" s="13">
        <f>-D642*F642*G642</f>
        <v>-1.8</v>
      </c>
    </row>
    <row r="643" spans="1:8" s="15" customFormat="1" x14ac:dyDescent="0.4">
      <c r="A643" s="501"/>
      <c r="B643" s="14"/>
      <c r="C643" s="502"/>
      <c r="D643" s="8"/>
      <c r="E643" s="8"/>
      <c r="F643" s="8"/>
      <c r="G643" s="21" t="s">
        <v>152</v>
      </c>
      <c r="H643" s="10">
        <f>SUM(H560:H642)</f>
        <v>998.38300000000004</v>
      </c>
    </row>
    <row r="644" spans="1:8" s="15" customFormat="1" x14ac:dyDescent="0.4">
      <c r="A644" s="7"/>
      <c r="B644" s="14"/>
      <c r="C644" s="7"/>
      <c r="D644" s="8"/>
      <c r="E644" s="8"/>
      <c r="F644" s="8"/>
      <c r="G644" s="9"/>
      <c r="H644" s="13"/>
    </row>
    <row r="645" spans="1:8" s="15" customFormat="1" x14ac:dyDescent="0.4">
      <c r="A645" s="501">
        <v>7</v>
      </c>
      <c r="B645" s="19" t="s">
        <v>65</v>
      </c>
      <c r="C645" s="502" t="s">
        <v>1</v>
      </c>
      <c r="D645" s="8"/>
      <c r="E645" s="8"/>
      <c r="F645" s="8"/>
      <c r="G645" s="9"/>
      <c r="H645" s="13"/>
    </row>
    <row r="646" spans="1:8" s="15" customFormat="1" x14ac:dyDescent="0.4">
      <c r="A646" s="501"/>
      <c r="B646" s="14" t="s">
        <v>141</v>
      </c>
      <c r="C646" s="502"/>
      <c r="D646" s="8"/>
      <c r="E646" s="8"/>
      <c r="F646" s="8"/>
      <c r="G646" s="9"/>
      <c r="H646" s="13">
        <v>2.37</v>
      </c>
    </row>
    <row r="647" spans="1:8" s="15" customFormat="1" x14ac:dyDescent="0.4">
      <c r="A647" s="501"/>
      <c r="B647" s="14" t="s">
        <v>153</v>
      </c>
      <c r="C647" s="502"/>
      <c r="D647" s="8"/>
      <c r="E647" s="8"/>
      <c r="F647" s="8"/>
      <c r="G647" s="9"/>
      <c r="H647" s="13">
        <v>64.05</v>
      </c>
    </row>
    <row r="648" spans="1:8" s="15" customFormat="1" x14ac:dyDescent="0.4">
      <c r="A648" s="501"/>
      <c r="B648" s="14" t="s">
        <v>140</v>
      </c>
      <c r="C648" s="502"/>
      <c r="D648" s="8"/>
      <c r="E648" s="8"/>
      <c r="F648" s="8"/>
      <c r="G648" s="9"/>
      <c r="H648" s="13">
        <v>3.51</v>
      </c>
    </row>
    <row r="649" spans="1:8" s="15" customFormat="1" x14ac:dyDescent="0.4">
      <c r="A649" s="501"/>
      <c r="B649" s="14" t="s">
        <v>139</v>
      </c>
      <c r="C649" s="502"/>
      <c r="D649" s="8"/>
      <c r="E649" s="8"/>
      <c r="F649" s="8"/>
      <c r="G649" s="9"/>
      <c r="H649" s="13">
        <v>98.91</v>
      </c>
    </row>
    <row r="650" spans="1:8" s="15" customFormat="1" x14ac:dyDescent="0.4">
      <c r="A650" s="501"/>
      <c r="B650" s="14" t="s">
        <v>154</v>
      </c>
      <c r="C650" s="502"/>
      <c r="D650" s="8"/>
      <c r="E650" s="8"/>
      <c r="F650" s="8"/>
      <c r="G650" s="9"/>
      <c r="H650" s="13">
        <v>103.3</v>
      </c>
    </row>
    <row r="651" spans="1:8" s="15" customFormat="1" x14ac:dyDescent="0.4">
      <c r="A651" s="501"/>
      <c r="B651" s="14" t="s">
        <v>38</v>
      </c>
      <c r="C651" s="502"/>
      <c r="D651" s="8"/>
      <c r="E651" s="8"/>
      <c r="F651" s="8"/>
      <c r="G651" s="9"/>
      <c r="H651" s="13">
        <v>38.14</v>
      </c>
    </row>
    <row r="652" spans="1:8" s="15" customFormat="1" x14ac:dyDescent="0.4">
      <c r="A652" s="501"/>
      <c r="B652" s="14" t="s">
        <v>149</v>
      </c>
      <c r="C652" s="502"/>
      <c r="D652" s="8"/>
      <c r="E652" s="8"/>
      <c r="F652" s="8"/>
      <c r="G652" s="9"/>
      <c r="H652" s="13">
        <v>81.84</v>
      </c>
    </row>
    <row r="653" spans="1:8" s="15" customFormat="1" x14ac:dyDescent="0.4">
      <c r="A653" s="501"/>
      <c r="B653" s="14" t="s">
        <v>155</v>
      </c>
      <c r="C653" s="502"/>
      <c r="D653" s="8"/>
      <c r="E653" s="8"/>
      <c r="F653" s="8"/>
      <c r="G653" s="9"/>
      <c r="H653" s="13">
        <v>12.45</v>
      </c>
    </row>
    <row r="654" spans="1:8" s="15" customFormat="1" ht="27.6" x14ac:dyDescent="0.4">
      <c r="A654" s="501"/>
      <c r="B654" s="14" t="s">
        <v>175</v>
      </c>
      <c r="C654" s="502"/>
      <c r="D654" s="8">
        <v>11.15</v>
      </c>
      <c r="E654" s="8">
        <v>1.7</v>
      </c>
      <c r="F654" s="8"/>
      <c r="G654" s="9">
        <v>1</v>
      </c>
      <c r="H654" s="13">
        <f>-D654*E654*G654</f>
        <v>-18.955000000000002</v>
      </c>
    </row>
    <row r="655" spans="1:8" s="15" customFormat="1" x14ac:dyDescent="0.4">
      <c r="A655" s="501"/>
      <c r="B655" s="14" t="s">
        <v>88</v>
      </c>
      <c r="C655" s="502"/>
      <c r="D655" s="8"/>
      <c r="E655" s="8"/>
      <c r="F655" s="8"/>
      <c r="G655" s="9"/>
      <c r="H655" s="13">
        <v>1.64</v>
      </c>
    </row>
    <row r="656" spans="1:8" s="15" customFormat="1" x14ac:dyDescent="0.4">
      <c r="A656" s="501"/>
      <c r="B656" s="14" t="s">
        <v>88</v>
      </c>
      <c r="C656" s="502"/>
      <c r="D656" s="8"/>
      <c r="E656" s="8"/>
      <c r="F656" s="8"/>
      <c r="G656" s="9"/>
      <c r="H656" s="13">
        <v>1.64</v>
      </c>
    </row>
    <row r="657" spans="1:8" s="15" customFormat="1" x14ac:dyDescent="0.4">
      <c r="A657" s="501"/>
      <c r="B657" s="14" t="s">
        <v>38</v>
      </c>
      <c r="C657" s="502"/>
      <c r="D657" s="8"/>
      <c r="E657" s="8"/>
      <c r="F657" s="8"/>
      <c r="G657" s="9"/>
      <c r="H657" s="13">
        <v>20.59</v>
      </c>
    </row>
    <row r="658" spans="1:8" s="15" customFormat="1" x14ac:dyDescent="0.4">
      <c r="A658" s="501"/>
      <c r="B658" s="14" t="s">
        <v>150</v>
      </c>
      <c r="C658" s="502"/>
      <c r="D658" s="8"/>
      <c r="E658" s="8"/>
      <c r="F658" s="8"/>
      <c r="G658" s="9"/>
      <c r="H658" s="13">
        <v>81.77</v>
      </c>
    </row>
    <row r="659" spans="1:8" s="15" customFormat="1" ht="27.6" x14ac:dyDescent="0.4">
      <c r="A659" s="501"/>
      <c r="B659" s="14" t="s">
        <v>175</v>
      </c>
      <c r="C659" s="502"/>
      <c r="D659" s="8">
        <v>9.8000000000000007</v>
      </c>
      <c r="E659" s="8">
        <v>1.45</v>
      </c>
      <c r="F659" s="8"/>
      <c r="G659" s="9">
        <v>1</v>
      </c>
      <c r="H659" s="13">
        <f>-D659*E659*G659</f>
        <v>-14.21</v>
      </c>
    </row>
    <row r="660" spans="1:8" s="15" customFormat="1" x14ac:dyDescent="0.4">
      <c r="A660" s="501"/>
      <c r="B660" s="14" t="s">
        <v>88</v>
      </c>
      <c r="C660" s="502"/>
      <c r="D660" s="8"/>
      <c r="E660" s="8"/>
      <c r="F660" s="8"/>
      <c r="G660" s="9"/>
      <c r="H660" s="13">
        <v>1.22</v>
      </c>
    </row>
    <row r="661" spans="1:8" s="15" customFormat="1" x14ac:dyDescent="0.4">
      <c r="A661" s="501"/>
      <c r="B661" s="14"/>
      <c r="C661" s="502"/>
      <c r="D661" s="8"/>
      <c r="E661" s="8"/>
      <c r="F661" s="8"/>
      <c r="G661" s="21" t="s">
        <v>156</v>
      </c>
      <c r="H661" s="10">
        <f>SUM(H645:H660)</f>
        <v>478.26499999999999</v>
      </c>
    </row>
    <row r="662" spans="1:8" s="15" customFormat="1" x14ac:dyDescent="0.4">
      <c r="A662" s="7"/>
      <c r="B662" s="14"/>
      <c r="C662" s="7"/>
      <c r="D662" s="8"/>
      <c r="E662" s="8"/>
      <c r="F662" s="8"/>
      <c r="G662" s="9"/>
      <c r="H662" s="13"/>
    </row>
    <row r="663" spans="1:8" s="15" customFormat="1" ht="44.25" customHeight="1" x14ac:dyDescent="0.4">
      <c r="A663" s="501">
        <v>8</v>
      </c>
      <c r="B663" s="11" t="s">
        <v>158</v>
      </c>
      <c r="C663" s="502" t="s">
        <v>1</v>
      </c>
      <c r="D663" s="8"/>
      <c r="E663" s="8"/>
      <c r="F663" s="8"/>
      <c r="G663" s="9"/>
      <c r="H663" s="13"/>
    </row>
    <row r="664" spans="1:8" s="15" customFormat="1" x14ac:dyDescent="0.4">
      <c r="A664" s="501"/>
      <c r="B664" s="14" t="s">
        <v>157</v>
      </c>
      <c r="C664" s="502"/>
      <c r="D664" s="8">
        <v>11.15</v>
      </c>
      <c r="E664" s="8">
        <v>1.7</v>
      </c>
      <c r="F664" s="8"/>
      <c r="G664" s="9">
        <v>1</v>
      </c>
      <c r="H664" s="13">
        <f>D664*E664*G664</f>
        <v>18.955000000000002</v>
      </c>
    </row>
    <row r="665" spans="1:8" s="15" customFormat="1" x14ac:dyDescent="0.4">
      <c r="A665" s="501"/>
      <c r="B665" s="14" t="s">
        <v>166</v>
      </c>
      <c r="C665" s="502"/>
      <c r="D665" s="8">
        <v>11.15</v>
      </c>
      <c r="E665" s="8">
        <v>0.5</v>
      </c>
      <c r="F665" s="8"/>
      <c r="G665" s="9">
        <v>1</v>
      </c>
      <c r="H665" s="13">
        <f>D665*E665*G665</f>
        <v>5.5750000000000002</v>
      </c>
    </row>
    <row r="666" spans="1:8" s="15" customFormat="1" x14ac:dyDescent="0.4">
      <c r="A666" s="501"/>
      <c r="B666" s="14" t="s">
        <v>159</v>
      </c>
      <c r="C666" s="502"/>
      <c r="D666" s="8">
        <v>9.8000000000000007</v>
      </c>
      <c r="E666" s="8">
        <v>1.45</v>
      </c>
      <c r="F666" s="8"/>
      <c r="G666" s="9">
        <v>1</v>
      </c>
      <c r="H666" s="13">
        <f>D666*E666*G666</f>
        <v>14.21</v>
      </c>
    </row>
    <row r="667" spans="1:8" s="15" customFormat="1" x14ac:dyDescent="0.4">
      <c r="A667" s="501"/>
      <c r="B667" s="14" t="s">
        <v>166</v>
      </c>
      <c r="C667" s="502"/>
      <c r="D667" s="8">
        <v>9.8000000000000007</v>
      </c>
      <c r="E667" s="8">
        <v>0.5</v>
      </c>
      <c r="F667" s="8"/>
      <c r="G667" s="9">
        <v>1</v>
      </c>
      <c r="H667" s="13">
        <f>D667*E667*G667</f>
        <v>4.9000000000000004</v>
      </c>
    </row>
    <row r="668" spans="1:8" s="15" customFormat="1" x14ac:dyDescent="0.4">
      <c r="A668" s="501"/>
      <c r="B668" s="14"/>
      <c r="C668" s="502"/>
      <c r="D668" s="8"/>
      <c r="E668" s="8"/>
      <c r="F668" s="8"/>
      <c r="G668" s="27" t="s">
        <v>15</v>
      </c>
      <c r="H668" s="10">
        <f>SUM(H664:H667)</f>
        <v>43.64</v>
      </c>
    </row>
    <row r="669" spans="1:8" s="15" customFormat="1" x14ac:dyDescent="0.4">
      <c r="A669" s="7"/>
      <c r="B669" s="14"/>
      <c r="C669" s="7"/>
      <c r="D669" s="8"/>
      <c r="E669" s="8"/>
      <c r="F669" s="8"/>
      <c r="G669" s="9"/>
      <c r="H669" s="13"/>
    </row>
    <row r="670" spans="1:8" s="15" customFormat="1" ht="27.6" x14ac:dyDescent="0.4">
      <c r="A670" s="501">
        <v>9</v>
      </c>
      <c r="B670" s="11" t="s">
        <v>78</v>
      </c>
      <c r="C670" s="502" t="s">
        <v>1</v>
      </c>
      <c r="D670" s="8"/>
      <c r="E670" s="8"/>
      <c r="F670" s="8"/>
      <c r="G670" s="9"/>
      <c r="H670" s="13"/>
    </row>
    <row r="671" spans="1:8" s="15" customFormat="1" ht="27.6" x14ac:dyDescent="0.4">
      <c r="A671" s="501"/>
      <c r="B671" s="14" t="s">
        <v>163</v>
      </c>
      <c r="C671" s="502"/>
      <c r="D671" s="8"/>
      <c r="E671" s="8"/>
      <c r="F671" s="8"/>
      <c r="G671" s="9"/>
      <c r="H671" s="13">
        <v>12.45</v>
      </c>
    </row>
    <row r="672" spans="1:8" s="15" customFormat="1" x14ac:dyDescent="0.4">
      <c r="A672" s="501"/>
      <c r="B672" s="14" t="s">
        <v>160</v>
      </c>
      <c r="C672" s="502"/>
      <c r="D672" s="8"/>
      <c r="E672" s="8"/>
      <c r="F672" s="8"/>
      <c r="G672" s="9"/>
      <c r="H672" s="13">
        <v>4.0599999999999996</v>
      </c>
    </row>
    <row r="673" spans="1:8" s="15" customFormat="1" x14ac:dyDescent="0.4">
      <c r="A673" s="501"/>
      <c r="B673" s="14" t="s">
        <v>160</v>
      </c>
      <c r="C673" s="502"/>
      <c r="D673" s="8"/>
      <c r="E673" s="8"/>
      <c r="F673" s="8"/>
      <c r="G673" s="9"/>
      <c r="H673" s="13">
        <v>4</v>
      </c>
    </row>
    <row r="674" spans="1:8" s="15" customFormat="1" x14ac:dyDescent="0.4">
      <c r="A674" s="501"/>
      <c r="B674" s="14" t="s">
        <v>161</v>
      </c>
      <c r="C674" s="502"/>
      <c r="D674" s="8"/>
      <c r="E674" s="8"/>
      <c r="F674" s="8"/>
      <c r="G674" s="9"/>
      <c r="H674" s="13">
        <v>4.7</v>
      </c>
    </row>
    <row r="675" spans="1:8" s="15" customFormat="1" ht="27.6" x14ac:dyDescent="0.4">
      <c r="A675" s="501"/>
      <c r="B675" s="14" t="s">
        <v>162</v>
      </c>
      <c r="C675" s="502"/>
      <c r="D675" s="8"/>
      <c r="E675" s="8"/>
      <c r="F675" s="8"/>
      <c r="G675" s="9"/>
      <c r="H675" s="13">
        <v>18.190000000000001</v>
      </c>
    </row>
    <row r="676" spans="1:8" s="15" customFormat="1" x14ac:dyDescent="0.4">
      <c r="A676" s="501"/>
      <c r="B676" s="14" t="s">
        <v>164</v>
      </c>
      <c r="C676" s="502"/>
      <c r="D676" s="8"/>
      <c r="E676" s="8"/>
      <c r="F676" s="8"/>
      <c r="G676" s="9"/>
      <c r="H676" s="13">
        <v>1.41</v>
      </c>
    </row>
    <row r="677" spans="1:8" s="15" customFormat="1" x14ac:dyDescent="0.4">
      <c r="A677" s="501"/>
      <c r="B677" s="14" t="s">
        <v>160</v>
      </c>
      <c r="C677" s="502"/>
      <c r="D677" s="8"/>
      <c r="E677" s="8"/>
      <c r="F677" s="8"/>
      <c r="G677" s="9"/>
      <c r="H677" s="13">
        <v>3.28</v>
      </c>
    </row>
    <row r="678" spans="1:8" s="15" customFormat="1" x14ac:dyDescent="0.4">
      <c r="A678" s="501"/>
      <c r="B678" s="14" t="s">
        <v>160</v>
      </c>
      <c r="C678" s="502"/>
      <c r="D678" s="8"/>
      <c r="E678" s="8"/>
      <c r="F678" s="8"/>
      <c r="G678" s="9"/>
      <c r="H678" s="13">
        <v>6.07</v>
      </c>
    </row>
    <row r="679" spans="1:8" s="15" customFormat="1" x14ac:dyDescent="0.4">
      <c r="A679" s="501"/>
      <c r="B679" s="14" t="s">
        <v>161</v>
      </c>
      <c r="C679" s="502"/>
      <c r="D679" s="8"/>
      <c r="E679" s="8"/>
      <c r="F679" s="8"/>
      <c r="G679" s="9"/>
      <c r="H679" s="13">
        <v>4.7</v>
      </c>
    </row>
    <row r="680" spans="1:8" s="15" customFormat="1" x14ac:dyDescent="0.4">
      <c r="A680" s="501"/>
      <c r="B680" s="14"/>
      <c r="C680" s="7"/>
      <c r="D680" s="8"/>
      <c r="E680" s="8"/>
      <c r="F680" s="8"/>
      <c r="G680" s="21" t="s">
        <v>165</v>
      </c>
      <c r="H680" s="10">
        <f>SUM(H670:H679)</f>
        <v>58.86</v>
      </c>
    </row>
    <row r="681" spans="1:8" s="15" customFormat="1" x14ac:dyDescent="0.4">
      <c r="A681" s="7"/>
      <c r="B681" s="14"/>
      <c r="C681" s="7"/>
      <c r="D681" s="8"/>
      <c r="E681" s="8"/>
      <c r="F681" s="8"/>
      <c r="G681" s="9"/>
      <c r="H681" s="13"/>
    </row>
    <row r="682" spans="1:8" s="15" customFormat="1" x14ac:dyDescent="0.4">
      <c r="A682" s="501">
        <v>10</v>
      </c>
      <c r="B682" s="11" t="s">
        <v>85</v>
      </c>
      <c r="C682" s="502" t="s">
        <v>1</v>
      </c>
      <c r="D682" s="25"/>
      <c r="E682" s="25"/>
      <c r="F682" s="25"/>
      <c r="G682" s="25"/>
      <c r="H682" s="25"/>
    </row>
    <row r="683" spans="1:8" s="15" customFormat="1" x14ac:dyDescent="0.4">
      <c r="A683" s="501"/>
      <c r="B683" s="5" t="s">
        <v>168</v>
      </c>
      <c r="C683" s="502"/>
      <c r="D683" s="8">
        <v>1.1299999999999999</v>
      </c>
      <c r="E683" s="8"/>
      <c r="F683" s="8">
        <v>3.2</v>
      </c>
      <c r="G683" s="9">
        <v>2</v>
      </c>
      <c r="H683" s="13">
        <f>D683*F683*G683</f>
        <v>7.2319999999999993</v>
      </c>
    </row>
    <row r="684" spans="1:8" s="15" customFormat="1" x14ac:dyDescent="0.4">
      <c r="A684" s="501"/>
      <c r="B684" s="5"/>
      <c r="C684" s="502"/>
      <c r="D684" s="8">
        <v>3.66</v>
      </c>
      <c r="E684" s="8"/>
      <c r="F684" s="8">
        <v>3.2</v>
      </c>
      <c r="G684" s="9">
        <v>1</v>
      </c>
      <c r="H684" s="13">
        <f>D684*F684*G684</f>
        <v>11.712000000000002</v>
      </c>
    </row>
    <row r="685" spans="1:8" s="15" customFormat="1" x14ac:dyDescent="0.4">
      <c r="A685" s="501"/>
      <c r="B685" s="14" t="s">
        <v>168</v>
      </c>
      <c r="C685" s="502"/>
      <c r="D685" s="8">
        <v>1.45</v>
      </c>
      <c r="E685" s="8"/>
      <c r="F685" s="8">
        <v>3.2</v>
      </c>
      <c r="G685" s="9">
        <v>2</v>
      </c>
      <c r="H685" s="13">
        <f>D685*F685*G685</f>
        <v>9.2799999999999994</v>
      </c>
    </row>
    <row r="686" spans="1:8" s="15" customFormat="1" x14ac:dyDescent="0.4">
      <c r="A686" s="501"/>
      <c r="B686" s="14"/>
      <c r="C686" s="502"/>
      <c r="D686" s="8">
        <v>2.73</v>
      </c>
      <c r="E686" s="8"/>
      <c r="F686" s="8">
        <v>3.2</v>
      </c>
      <c r="G686" s="9">
        <v>1</v>
      </c>
      <c r="H686" s="13">
        <f t="shared" ref="H686:H691" si="19">D686*F686*G686</f>
        <v>8.7360000000000007</v>
      </c>
    </row>
    <row r="687" spans="1:8" s="15" customFormat="1" x14ac:dyDescent="0.4">
      <c r="A687" s="501"/>
      <c r="B687" s="14" t="s">
        <v>169</v>
      </c>
      <c r="C687" s="502"/>
      <c r="D687" s="8">
        <v>1.1000000000000001</v>
      </c>
      <c r="E687" s="8"/>
      <c r="F687" s="8">
        <v>3.2</v>
      </c>
      <c r="G687" s="9">
        <v>4</v>
      </c>
      <c r="H687" s="13">
        <f t="shared" si="19"/>
        <v>14.080000000000002</v>
      </c>
    </row>
    <row r="688" spans="1:8" s="15" customFormat="1" x14ac:dyDescent="0.4">
      <c r="A688" s="501"/>
      <c r="B688" s="14"/>
      <c r="C688" s="502"/>
      <c r="D688" s="8">
        <v>1.49</v>
      </c>
      <c r="E688" s="8"/>
      <c r="F688" s="8">
        <v>3.2</v>
      </c>
      <c r="G688" s="9">
        <v>4</v>
      </c>
      <c r="H688" s="13">
        <f t="shared" si="19"/>
        <v>19.071999999999999</v>
      </c>
    </row>
    <row r="689" spans="1:8" s="15" customFormat="1" x14ac:dyDescent="0.4">
      <c r="A689" s="501"/>
      <c r="B689" s="14" t="s">
        <v>167</v>
      </c>
      <c r="C689" s="502"/>
      <c r="D689" s="8">
        <v>0.8</v>
      </c>
      <c r="E689" s="8"/>
      <c r="F689" s="8">
        <v>2</v>
      </c>
      <c r="G689" s="9">
        <v>2</v>
      </c>
      <c r="H689" s="13">
        <f>-D689*F689*G689</f>
        <v>-3.2</v>
      </c>
    </row>
    <row r="690" spans="1:8" s="15" customFormat="1" x14ac:dyDescent="0.4">
      <c r="A690" s="501"/>
      <c r="B690" s="14" t="s">
        <v>170</v>
      </c>
      <c r="C690" s="502"/>
      <c r="D690" s="8">
        <v>2.2999999999999998</v>
      </c>
      <c r="E690" s="8"/>
      <c r="F690" s="8">
        <v>3.2</v>
      </c>
      <c r="G690" s="9">
        <v>2</v>
      </c>
      <c r="H690" s="13">
        <f t="shared" si="19"/>
        <v>14.719999999999999</v>
      </c>
    </row>
    <row r="691" spans="1:8" s="15" customFormat="1" x14ac:dyDescent="0.4">
      <c r="A691" s="501"/>
      <c r="B691" s="14"/>
      <c r="C691" s="502"/>
      <c r="D691" s="8">
        <v>2.0499999999999998</v>
      </c>
      <c r="E691" s="8"/>
      <c r="F691" s="8">
        <v>3.2</v>
      </c>
      <c r="G691" s="9">
        <v>2</v>
      </c>
      <c r="H691" s="13">
        <f t="shared" si="19"/>
        <v>13.12</v>
      </c>
    </row>
    <row r="692" spans="1:8" s="15" customFormat="1" x14ac:dyDescent="0.4">
      <c r="A692" s="501"/>
      <c r="B692" s="14" t="s">
        <v>86</v>
      </c>
      <c r="C692" s="502"/>
      <c r="D692" s="8">
        <v>0.9</v>
      </c>
      <c r="E692" s="8"/>
      <c r="F692" s="8">
        <v>2</v>
      </c>
      <c r="G692" s="9">
        <v>1</v>
      </c>
      <c r="H692" s="13">
        <f>-D692*F692*G692</f>
        <v>-1.8</v>
      </c>
    </row>
    <row r="693" spans="1:8" s="15" customFormat="1" x14ac:dyDescent="0.4">
      <c r="A693" s="501"/>
      <c r="B693" s="14" t="s">
        <v>171</v>
      </c>
      <c r="C693" s="502"/>
      <c r="D693" s="8">
        <v>1.2</v>
      </c>
      <c r="E693" s="8"/>
      <c r="F693" s="8">
        <v>3.2</v>
      </c>
      <c r="G693" s="9">
        <v>2</v>
      </c>
      <c r="H693" s="13">
        <f t="shared" ref="H693:H698" si="20">D693*F693*G693</f>
        <v>7.68</v>
      </c>
    </row>
    <row r="694" spans="1:8" s="15" customFormat="1" x14ac:dyDescent="0.4">
      <c r="A694" s="501"/>
      <c r="B694" s="14"/>
      <c r="C694" s="502"/>
      <c r="D694" s="8">
        <v>2.74</v>
      </c>
      <c r="E694" s="8"/>
      <c r="F694" s="8">
        <v>3.2</v>
      </c>
      <c r="G694" s="9">
        <v>1</v>
      </c>
      <c r="H694" s="13">
        <f t="shared" si="20"/>
        <v>8.7680000000000007</v>
      </c>
    </row>
    <row r="695" spans="1:8" s="15" customFormat="1" x14ac:dyDescent="0.4">
      <c r="A695" s="501"/>
      <c r="B695" s="5" t="s">
        <v>171</v>
      </c>
      <c r="C695" s="502"/>
      <c r="D695" s="8">
        <v>1.1000000000000001</v>
      </c>
      <c r="E695" s="8"/>
      <c r="F695" s="8">
        <v>3.2</v>
      </c>
      <c r="G695" s="9">
        <v>2</v>
      </c>
      <c r="H695" s="13">
        <f t="shared" si="20"/>
        <v>7.0400000000000009</v>
      </c>
    </row>
    <row r="696" spans="1:8" s="15" customFormat="1" x14ac:dyDescent="0.4">
      <c r="A696" s="501"/>
      <c r="B696" s="5"/>
      <c r="C696" s="502"/>
      <c r="D696" s="8">
        <v>5.5</v>
      </c>
      <c r="E696" s="8"/>
      <c r="F696" s="8">
        <v>3.2</v>
      </c>
      <c r="G696" s="9">
        <v>1</v>
      </c>
      <c r="H696" s="13">
        <f t="shared" si="20"/>
        <v>17.600000000000001</v>
      </c>
    </row>
    <row r="697" spans="1:8" s="15" customFormat="1" x14ac:dyDescent="0.4">
      <c r="A697" s="501"/>
      <c r="B697" s="14" t="s">
        <v>172</v>
      </c>
      <c r="C697" s="502"/>
      <c r="D697" s="8">
        <v>0.9</v>
      </c>
      <c r="E697" s="8"/>
      <c r="F697" s="8">
        <v>3.2</v>
      </c>
      <c r="G697" s="9">
        <v>4</v>
      </c>
      <c r="H697" s="13">
        <f t="shared" si="20"/>
        <v>11.520000000000001</v>
      </c>
    </row>
    <row r="698" spans="1:8" s="15" customFormat="1" x14ac:dyDescent="0.4">
      <c r="A698" s="501"/>
      <c r="B698" s="14"/>
      <c r="C698" s="502"/>
      <c r="D698" s="8">
        <v>1.57</v>
      </c>
      <c r="E698" s="8"/>
      <c r="F698" s="8">
        <v>3.2</v>
      </c>
      <c r="G698" s="9">
        <v>4</v>
      </c>
      <c r="H698" s="13">
        <f t="shared" si="20"/>
        <v>20.096000000000004</v>
      </c>
    </row>
    <row r="699" spans="1:8" s="15" customFormat="1" x14ac:dyDescent="0.4">
      <c r="A699" s="501"/>
      <c r="B699" s="14" t="s">
        <v>167</v>
      </c>
      <c r="C699" s="502"/>
      <c r="D699" s="8">
        <v>0.8</v>
      </c>
      <c r="E699" s="8"/>
      <c r="F699" s="8">
        <v>2</v>
      </c>
      <c r="G699" s="9">
        <v>2</v>
      </c>
      <c r="H699" s="13">
        <f>-D699*F699*G699</f>
        <v>-3.2</v>
      </c>
    </row>
    <row r="700" spans="1:8" s="15" customFormat="1" x14ac:dyDescent="0.4">
      <c r="A700" s="501"/>
      <c r="B700" s="14" t="s">
        <v>173</v>
      </c>
      <c r="C700" s="502"/>
      <c r="D700" s="8">
        <v>2.2999999999999998</v>
      </c>
      <c r="E700" s="8"/>
      <c r="F700" s="8">
        <v>3.2</v>
      </c>
      <c r="G700" s="9">
        <v>2</v>
      </c>
      <c r="H700" s="13">
        <f>D700*F700*G700</f>
        <v>14.719999999999999</v>
      </c>
    </row>
    <row r="701" spans="1:8" s="15" customFormat="1" x14ac:dyDescent="0.4">
      <c r="A701" s="501"/>
      <c r="B701" s="14"/>
      <c r="C701" s="502"/>
      <c r="D701" s="8">
        <v>2.0499999999999998</v>
      </c>
      <c r="E701" s="8"/>
      <c r="F701" s="8">
        <v>3.2</v>
      </c>
      <c r="G701" s="9">
        <v>2</v>
      </c>
      <c r="H701" s="13">
        <f>D701*F701*G701</f>
        <v>13.12</v>
      </c>
    </row>
    <row r="702" spans="1:8" s="15" customFormat="1" x14ac:dyDescent="0.4">
      <c r="A702" s="501"/>
      <c r="B702" s="14" t="s">
        <v>86</v>
      </c>
      <c r="C702" s="502"/>
      <c r="D702" s="8">
        <v>0.9</v>
      </c>
      <c r="E702" s="8"/>
      <c r="F702" s="8">
        <v>2</v>
      </c>
      <c r="G702" s="9">
        <v>1</v>
      </c>
      <c r="H702" s="13">
        <f>-D702*F702*G702</f>
        <v>-1.8</v>
      </c>
    </row>
    <row r="703" spans="1:8" s="15" customFormat="1" x14ac:dyDescent="0.4">
      <c r="A703" s="501"/>
      <c r="B703" s="14"/>
      <c r="C703" s="502"/>
      <c r="D703" s="8"/>
      <c r="E703" s="8"/>
      <c r="F703" s="8"/>
      <c r="G703" s="21" t="s">
        <v>174</v>
      </c>
      <c r="H703" s="10">
        <f>SUM(H682:H702)</f>
        <v>188.49600000000004</v>
      </c>
    </row>
    <row r="704" spans="1:8" s="15" customFormat="1" x14ac:dyDescent="0.4">
      <c r="A704" s="7"/>
      <c r="B704" s="14"/>
      <c r="C704" s="7"/>
      <c r="D704" s="8"/>
      <c r="E704" s="8"/>
      <c r="F704" s="8"/>
      <c r="G704" s="9"/>
      <c r="H704" s="13"/>
    </row>
    <row r="705" spans="1:8" s="15" customFormat="1" ht="27.6" x14ac:dyDescent="0.4">
      <c r="A705" s="18">
        <v>11</v>
      </c>
      <c r="B705" s="19" t="s">
        <v>266</v>
      </c>
      <c r="C705" s="7" t="s">
        <v>1</v>
      </c>
      <c r="D705" s="8"/>
      <c r="E705" s="8"/>
      <c r="F705" s="8"/>
      <c r="G705" s="9"/>
      <c r="H705" s="10">
        <f>H643+H661+H668+H680-H703</f>
        <v>1390.652</v>
      </c>
    </row>
    <row r="706" spans="1:8" s="15" customFormat="1" x14ac:dyDescent="0.4">
      <c r="A706" s="18"/>
      <c r="B706" s="14"/>
      <c r="C706" s="7"/>
      <c r="D706" s="8"/>
      <c r="E706" s="8"/>
      <c r="F706" s="8"/>
      <c r="G706" s="9"/>
      <c r="H706" s="13"/>
    </row>
    <row r="707" spans="1:8" s="15" customFormat="1" ht="27.6" x14ac:dyDescent="0.4">
      <c r="A707" s="501">
        <v>12</v>
      </c>
      <c r="B707" s="19" t="s">
        <v>102</v>
      </c>
      <c r="C707" s="502" t="s">
        <v>1</v>
      </c>
      <c r="D707" s="8"/>
      <c r="E707" s="8"/>
      <c r="F707" s="8"/>
      <c r="G707" s="9"/>
      <c r="H707" s="13"/>
    </row>
    <row r="708" spans="1:8" s="15" customFormat="1" x14ac:dyDescent="0.4">
      <c r="A708" s="501"/>
      <c r="B708" s="14" t="s">
        <v>177</v>
      </c>
      <c r="C708" s="502"/>
      <c r="D708" s="8"/>
      <c r="E708" s="8"/>
      <c r="F708" s="8"/>
      <c r="G708" s="9"/>
      <c r="H708" s="13">
        <v>12.45</v>
      </c>
    </row>
    <row r="709" spans="1:8" s="15" customFormat="1" x14ac:dyDescent="0.4">
      <c r="A709" s="501"/>
      <c r="B709" s="14" t="s">
        <v>168</v>
      </c>
      <c r="C709" s="502"/>
      <c r="D709" s="8"/>
      <c r="E709" s="8"/>
      <c r="F709" s="8"/>
      <c r="G709" s="9"/>
      <c r="H709" s="13">
        <v>4.0599999999999996</v>
      </c>
    </row>
    <row r="710" spans="1:8" s="15" customFormat="1" x14ac:dyDescent="0.4">
      <c r="A710" s="501"/>
      <c r="B710" s="14" t="s">
        <v>168</v>
      </c>
      <c r="C710" s="502"/>
      <c r="D710" s="8"/>
      <c r="E710" s="8"/>
      <c r="F710" s="8"/>
      <c r="G710" s="9"/>
      <c r="H710" s="13">
        <v>4</v>
      </c>
    </row>
    <row r="711" spans="1:8" s="15" customFormat="1" x14ac:dyDescent="0.4">
      <c r="A711" s="501"/>
      <c r="B711" s="14" t="s">
        <v>178</v>
      </c>
      <c r="C711" s="502"/>
      <c r="D711" s="8"/>
      <c r="E711" s="8"/>
      <c r="F711" s="8"/>
      <c r="G711" s="9"/>
      <c r="H711" s="13">
        <v>1.64</v>
      </c>
    </row>
    <row r="712" spans="1:8" s="15" customFormat="1" x14ac:dyDescent="0.4">
      <c r="A712" s="501"/>
      <c r="B712" s="14" t="s">
        <v>178</v>
      </c>
      <c r="C712" s="502"/>
      <c r="D712" s="8"/>
      <c r="E712" s="8"/>
      <c r="F712" s="8"/>
      <c r="G712" s="9"/>
      <c r="H712" s="13">
        <v>1.64</v>
      </c>
    </row>
    <row r="713" spans="1:8" s="15" customFormat="1" x14ac:dyDescent="0.4">
      <c r="A713" s="501"/>
      <c r="B713" s="14" t="s">
        <v>170</v>
      </c>
      <c r="C713" s="502"/>
      <c r="D713" s="8"/>
      <c r="E713" s="8"/>
      <c r="F713" s="8"/>
      <c r="G713" s="9"/>
      <c r="H713" s="13">
        <v>4.7</v>
      </c>
    </row>
    <row r="714" spans="1:8" s="15" customFormat="1" x14ac:dyDescent="0.4">
      <c r="A714" s="501"/>
      <c r="B714" s="14" t="s">
        <v>179</v>
      </c>
      <c r="C714" s="502"/>
      <c r="D714" s="8"/>
      <c r="E714" s="8"/>
      <c r="F714" s="8"/>
      <c r="G714" s="9"/>
      <c r="H714" s="13">
        <v>18.190000000000001</v>
      </c>
    </row>
    <row r="715" spans="1:8" s="15" customFormat="1" x14ac:dyDescent="0.4">
      <c r="A715" s="501"/>
      <c r="B715" s="14" t="s">
        <v>171</v>
      </c>
      <c r="C715" s="502"/>
      <c r="D715" s="8"/>
      <c r="E715" s="8"/>
      <c r="F715" s="8"/>
      <c r="G715" s="9"/>
      <c r="H715" s="13">
        <v>1.2</v>
      </c>
    </row>
    <row r="716" spans="1:8" s="15" customFormat="1" x14ac:dyDescent="0.4">
      <c r="A716" s="501"/>
      <c r="B716" s="14" t="s">
        <v>171</v>
      </c>
      <c r="C716" s="502"/>
      <c r="D716" s="8"/>
      <c r="E716" s="8"/>
      <c r="F716" s="8"/>
      <c r="G716" s="9"/>
      <c r="H716" s="13">
        <v>1.41</v>
      </c>
    </row>
    <row r="717" spans="1:8" s="15" customFormat="1" x14ac:dyDescent="0.4">
      <c r="A717" s="501"/>
      <c r="B717" s="14" t="s">
        <v>180</v>
      </c>
      <c r="C717" s="502"/>
      <c r="D717" s="8"/>
      <c r="E717" s="8"/>
      <c r="F717" s="8"/>
      <c r="G717" s="9"/>
      <c r="H717" s="13">
        <v>3.28</v>
      </c>
    </row>
    <row r="718" spans="1:8" s="15" customFormat="1" x14ac:dyDescent="0.4">
      <c r="A718" s="501"/>
      <c r="B718" s="14" t="s">
        <v>180</v>
      </c>
      <c r="C718" s="502"/>
      <c r="D718" s="8"/>
      <c r="E718" s="8"/>
      <c r="F718" s="8"/>
      <c r="G718" s="9"/>
      <c r="H718" s="13">
        <v>6.07</v>
      </c>
    </row>
    <row r="719" spans="1:8" s="15" customFormat="1" x14ac:dyDescent="0.4">
      <c r="A719" s="501"/>
      <c r="B719" s="14" t="s">
        <v>173</v>
      </c>
      <c r="C719" s="502"/>
      <c r="D719" s="8"/>
      <c r="E719" s="8"/>
      <c r="F719" s="8"/>
      <c r="G719" s="9"/>
      <c r="H719" s="13">
        <v>4.7</v>
      </c>
    </row>
    <row r="720" spans="1:8" s="15" customFormat="1" x14ac:dyDescent="0.4">
      <c r="A720" s="501"/>
      <c r="B720" s="14"/>
      <c r="C720" s="502"/>
      <c r="D720" s="8"/>
      <c r="E720" s="8"/>
      <c r="F720" s="8"/>
      <c r="G720" s="21" t="s">
        <v>96</v>
      </c>
      <c r="H720" s="10">
        <f>SUM(H707:H719)</f>
        <v>63.34</v>
      </c>
    </row>
    <row r="721" spans="1:8" s="15" customFormat="1" x14ac:dyDescent="0.4">
      <c r="A721" s="7"/>
      <c r="B721" s="14"/>
      <c r="C721" s="7"/>
      <c r="D721" s="8"/>
      <c r="E721" s="8"/>
      <c r="F721" s="8"/>
      <c r="G721" s="9"/>
      <c r="H721" s="13"/>
    </row>
    <row r="722" spans="1:8" s="15" customFormat="1" ht="15.75" customHeight="1" x14ac:dyDescent="0.4">
      <c r="A722" s="18">
        <v>13</v>
      </c>
      <c r="B722" s="19" t="s">
        <v>101</v>
      </c>
      <c r="C722" s="7" t="s">
        <v>1</v>
      </c>
      <c r="D722" s="8"/>
      <c r="E722" s="8"/>
      <c r="F722" s="8"/>
      <c r="G722" s="9"/>
      <c r="H722" s="10">
        <f>H705-H720</f>
        <v>1327.3120000000001</v>
      </c>
    </row>
    <row r="723" spans="1:8" s="15" customFormat="1" x14ac:dyDescent="0.4">
      <c r="A723" s="18"/>
      <c r="B723" s="14"/>
      <c r="C723" s="7"/>
      <c r="D723" s="8"/>
      <c r="E723" s="8"/>
      <c r="F723" s="8"/>
      <c r="G723" s="9"/>
      <c r="H723" s="13"/>
    </row>
    <row r="724" spans="1:8" s="15" customFormat="1" x14ac:dyDescent="0.4">
      <c r="A724" s="18">
        <v>14</v>
      </c>
      <c r="B724" s="11" t="s">
        <v>189</v>
      </c>
      <c r="C724" s="6" t="s">
        <v>1</v>
      </c>
      <c r="D724" s="8"/>
      <c r="E724" s="8"/>
      <c r="F724" s="8"/>
      <c r="G724" s="9"/>
      <c r="H724" s="10">
        <f>H661+H664+H666+H680+H748</f>
        <v>603.95999999999992</v>
      </c>
    </row>
    <row r="725" spans="1:8" s="15" customFormat="1" x14ac:dyDescent="0.4">
      <c r="A725" s="7"/>
      <c r="B725" s="14"/>
      <c r="C725" s="7"/>
      <c r="D725" s="8"/>
      <c r="E725" s="8"/>
      <c r="F725" s="8"/>
      <c r="G725" s="9"/>
      <c r="H725" s="13"/>
    </row>
    <row r="726" spans="1:8" s="15" customFormat="1" x14ac:dyDescent="0.4">
      <c r="A726" s="501">
        <v>15</v>
      </c>
      <c r="B726" s="19" t="s">
        <v>81</v>
      </c>
      <c r="C726" s="502" t="s">
        <v>1</v>
      </c>
      <c r="D726" s="8"/>
      <c r="E726" s="8"/>
      <c r="F726" s="8"/>
      <c r="G726" s="9"/>
      <c r="H726" s="13"/>
    </row>
    <row r="727" spans="1:8" s="15" customFormat="1" x14ac:dyDescent="0.4">
      <c r="A727" s="501"/>
      <c r="B727" s="14" t="s">
        <v>141</v>
      </c>
      <c r="C727" s="502"/>
      <c r="D727" s="8"/>
      <c r="E727" s="8"/>
      <c r="F727" s="8"/>
      <c r="G727" s="9"/>
      <c r="H727" s="13">
        <v>2.37</v>
      </c>
    </row>
    <row r="728" spans="1:8" s="15" customFormat="1" x14ac:dyDescent="0.4">
      <c r="A728" s="501"/>
      <c r="B728" s="14" t="s">
        <v>153</v>
      </c>
      <c r="C728" s="502"/>
      <c r="D728" s="8"/>
      <c r="E728" s="8"/>
      <c r="F728" s="8"/>
      <c r="G728" s="9"/>
      <c r="H728" s="13">
        <v>64.05</v>
      </c>
    </row>
    <row r="729" spans="1:8" s="15" customFormat="1" x14ac:dyDescent="0.4">
      <c r="A729" s="501"/>
      <c r="B729" s="14" t="s">
        <v>140</v>
      </c>
      <c r="C729" s="502"/>
      <c r="D729" s="8"/>
      <c r="E729" s="8"/>
      <c r="F729" s="8"/>
      <c r="G729" s="9"/>
      <c r="H729" s="13">
        <v>3.51</v>
      </c>
    </row>
    <row r="730" spans="1:8" s="15" customFormat="1" x14ac:dyDescent="0.4">
      <c r="A730" s="501"/>
      <c r="B730" s="14" t="s">
        <v>108</v>
      </c>
      <c r="C730" s="502"/>
      <c r="D730" s="8"/>
      <c r="E730" s="8"/>
      <c r="F730" s="8"/>
      <c r="G730" s="9"/>
      <c r="H730" s="13">
        <v>38.14</v>
      </c>
    </row>
    <row r="731" spans="1:8" s="15" customFormat="1" x14ac:dyDescent="0.4">
      <c r="A731" s="501"/>
      <c r="B731" s="14" t="s">
        <v>149</v>
      </c>
      <c r="C731" s="502"/>
      <c r="D731" s="8"/>
      <c r="E731" s="8"/>
      <c r="F731" s="8"/>
      <c r="G731" s="9"/>
      <c r="H731" s="13">
        <v>81.84</v>
      </c>
    </row>
    <row r="732" spans="1:8" s="15" customFormat="1" x14ac:dyDescent="0.4">
      <c r="A732" s="501"/>
      <c r="B732" s="14" t="s">
        <v>177</v>
      </c>
      <c r="C732" s="502"/>
      <c r="D732" s="8"/>
      <c r="E732" s="8"/>
      <c r="F732" s="8"/>
      <c r="G732" s="9"/>
      <c r="H732" s="13">
        <v>12.45</v>
      </c>
    </row>
    <row r="733" spans="1:8" s="15" customFormat="1" x14ac:dyDescent="0.4">
      <c r="A733" s="501"/>
      <c r="B733" s="14" t="s">
        <v>168</v>
      </c>
      <c r="C733" s="502"/>
      <c r="D733" s="8"/>
      <c r="E733" s="8"/>
      <c r="F733" s="8"/>
      <c r="G733" s="9"/>
      <c r="H733" s="13">
        <v>4.0599999999999996</v>
      </c>
    </row>
    <row r="734" spans="1:8" s="15" customFormat="1" x14ac:dyDescent="0.4">
      <c r="A734" s="501"/>
      <c r="B734" s="14" t="s">
        <v>168</v>
      </c>
      <c r="C734" s="502"/>
      <c r="D734" s="8"/>
      <c r="E734" s="8"/>
      <c r="F734" s="8"/>
      <c r="G734" s="9"/>
      <c r="H734" s="13">
        <v>4</v>
      </c>
    </row>
    <row r="735" spans="1:8" s="15" customFormat="1" x14ac:dyDescent="0.4">
      <c r="A735" s="501"/>
      <c r="B735" s="14" t="s">
        <v>178</v>
      </c>
      <c r="C735" s="502"/>
      <c r="D735" s="8"/>
      <c r="E735" s="8"/>
      <c r="F735" s="8"/>
      <c r="G735" s="9"/>
      <c r="H735" s="13">
        <v>1.64</v>
      </c>
    </row>
    <row r="736" spans="1:8" s="15" customFormat="1" x14ac:dyDescent="0.4">
      <c r="A736" s="501"/>
      <c r="B736" s="14" t="s">
        <v>178</v>
      </c>
      <c r="C736" s="502"/>
      <c r="D736" s="8"/>
      <c r="E736" s="8"/>
      <c r="F736" s="8"/>
      <c r="G736" s="9"/>
      <c r="H736" s="13">
        <v>1.64</v>
      </c>
    </row>
    <row r="737" spans="1:8" s="15" customFormat="1" x14ac:dyDescent="0.4">
      <c r="A737" s="501"/>
      <c r="B737" s="14" t="s">
        <v>170</v>
      </c>
      <c r="C737" s="502"/>
      <c r="D737" s="8"/>
      <c r="E737" s="8"/>
      <c r="F737" s="8"/>
      <c r="G737" s="9"/>
      <c r="H737" s="13">
        <v>4.7</v>
      </c>
    </row>
    <row r="738" spans="1:8" s="15" customFormat="1" x14ac:dyDescent="0.4">
      <c r="A738" s="501"/>
      <c r="B738" s="14" t="s">
        <v>38</v>
      </c>
      <c r="C738" s="502"/>
      <c r="D738" s="8"/>
      <c r="E738" s="8"/>
      <c r="F738" s="8"/>
      <c r="G738" s="9"/>
      <c r="H738" s="13">
        <v>20.59</v>
      </c>
    </row>
    <row r="739" spans="1:8" s="29" customFormat="1" x14ac:dyDescent="0.4">
      <c r="A739" s="501"/>
      <c r="B739" s="5" t="s">
        <v>150</v>
      </c>
      <c r="C739" s="502"/>
      <c r="D739" s="33"/>
      <c r="E739" s="33"/>
      <c r="F739" s="33"/>
      <c r="G739" s="32"/>
      <c r="H739" s="24">
        <v>81.77</v>
      </c>
    </row>
    <row r="740" spans="1:8" s="15" customFormat="1" x14ac:dyDescent="0.4">
      <c r="A740" s="501"/>
      <c r="B740" s="14" t="s">
        <v>179</v>
      </c>
      <c r="C740" s="502"/>
      <c r="D740" s="8"/>
      <c r="E740" s="8"/>
      <c r="F740" s="8"/>
      <c r="G740" s="9"/>
      <c r="H740" s="13">
        <v>18.190000000000001</v>
      </c>
    </row>
    <row r="741" spans="1:8" s="15" customFormat="1" x14ac:dyDescent="0.4">
      <c r="A741" s="501"/>
      <c r="B741" s="14" t="s">
        <v>171</v>
      </c>
      <c r="C741" s="502"/>
      <c r="D741" s="8"/>
      <c r="E741" s="8"/>
      <c r="F741" s="8"/>
      <c r="G741" s="9"/>
      <c r="H741" s="13">
        <v>1.22</v>
      </c>
    </row>
    <row r="742" spans="1:8" s="15" customFormat="1" x14ac:dyDescent="0.4">
      <c r="A742" s="501"/>
      <c r="B742" s="14" t="s">
        <v>171</v>
      </c>
      <c r="C742" s="502"/>
      <c r="D742" s="8"/>
      <c r="E742" s="8"/>
      <c r="F742" s="8"/>
      <c r="G742" s="9"/>
      <c r="H742" s="13">
        <v>1.41</v>
      </c>
    </row>
    <row r="743" spans="1:8" s="15" customFormat="1" x14ac:dyDescent="0.4">
      <c r="A743" s="501"/>
      <c r="B743" s="14" t="s">
        <v>180</v>
      </c>
      <c r="C743" s="502"/>
      <c r="D743" s="8"/>
      <c r="E743" s="8"/>
      <c r="F743" s="8"/>
      <c r="G743" s="9"/>
      <c r="H743" s="13">
        <v>3.28</v>
      </c>
    </row>
    <row r="744" spans="1:8" s="15" customFormat="1" x14ac:dyDescent="0.4">
      <c r="A744" s="501"/>
      <c r="B744" s="14" t="s">
        <v>180</v>
      </c>
      <c r="C744" s="502"/>
      <c r="D744" s="8"/>
      <c r="E744" s="8"/>
      <c r="F744" s="8"/>
      <c r="G744" s="9"/>
      <c r="H744" s="13">
        <v>6.07</v>
      </c>
    </row>
    <row r="745" spans="1:8" s="15" customFormat="1" x14ac:dyDescent="0.4">
      <c r="A745" s="501"/>
      <c r="B745" s="14" t="s">
        <v>173</v>
      </c>
      <c r="C745" s="502"/>
      <c r="D745" s="8"/>
      <c r="E745" s="8"/>
      <c r="F745" s="8"/>
      <c r="G745" s="9"/>
      <c r="H745" s="13">
        <v>4.7</v>
      </c>
    </row>
    <row r="746" spans="1:8" s="15" customFormat="1" x14ac:dyDescent="0.4">
      <c r="A746" s="501"/>
      <c r="B746" s="5"/>
      <c r="C746" s="502"/>
      <c r="D746" s="8"/>
      <c r="E746" s="8"/>
      <c r="F746" s="8"/>
      <c r="G746" s="21" t="s">
        <v>184</v>
      </c>
      <c r="H746" s="10">
        <f>SUM(H726:H745)</f>
        <v>355.63</v>
      </c>
    </row>
    <row r="747" spans="1:8" s="15" customFormat="1" x14ac:dyDescent="0.4">
      <c r="A747" s="7"/>
      <c r="B747" s="5"/>
      <c r="C747" s="7"/>
      <c r="D747" s="8"/>
      <c r="E747" s="8"/>
      <c r="F747" s="8"/>
      <c r="G747" s="9"/>
      <c r="H747" s="13"/>
    </row>
    <row r="748" spans="1:8" s="15" customFormat="1" ht="27.6" x14ac:dyDescent="0.4">
      <c r="A748" s="18">
        <v>16</v>
      </c>
      <c r="B748" s="19" t="s">
        <v>188</v>
      </c>
      <c r="C748" s="7" t="s">
        <v>1</v>
      </c>
      <c r="D748" s="8"/>
      <c r="E748" s="8"/>
      <c r="F748" s="8"/>
      <c r="G748" s="9"/>
      <c r="H748" s="10">
        <v>33.67</v>
      </c>
    </row>
    <row r="749" spans="1:8" s="15" customFormat="1" x14ac:dyDescent="0.4">
      <c r="A749" s="18"/>
      <c r="B749" s="5"/>
      <c r="C749" s="7"/>
      <c r="D749" s="8"/>
      <c r="E749" s="8"/>
      <c r="F749" s="8"/>
      <c r="G749" s="9"/>
      <c r="H749" s="13"/>
    </row>
    <row r="750" spans="1:8" s="15" customFormat="1" ht="41.4" x14ac:dyDescent="0.4">
      <c r="A750" s="18">
        <v>17</v>
      </c>
      <c r="B750" s="19" t="s">
        <v>319</v>
      </c>
      <c r="C750" s="7" t="s">
        <v>1</v>
      </c>
      <c r="D750" s="8"/>
      <c r="E750" s="8"/>
      <c r="F750" s="8"/>
      <c r="G750" s="9"/>
      <c r="H750" s="116">
        <v>103.3</v>
      </c>
    </row>
    <row r="751" spans="1:8" s="15" customFormat="1" x14ac:dyDescent="0.4">
      <c r="A751" s="18"/>
      <c r="B751" s="5"/>
      <c r="C751" s="7"/>
      <c r="D751" s="8"/>
      <c r="E751" s="8"/>
      <c r="F751" s="8"/>
      <c r="G751" s="9"/>
      <c r="H751" s="13"/>
    </row>
    <row r="752" spans="1:8" s="15" customFormat="1" ht="54" customHeight="1" x14ac:dyDescent="0.4">
      <c r="A752" s="18">
        <v>18</v>
      </c>
      <c r="B752" s="19" t="s">
        <v>320</v>
      </c>
      <c r="C752" s="7" t="s">
        <v>1</v>
      </c>
      <c r="D752" s="8"/>
      <c r="E752" s="8"/>
      <c r="F752" s="8"/>
      <c r="G752" s="9"/>
      <c r="H752" s="10">
        <v>98.91</v>
      </c>
    </row>
    <row r="753" spans="1:8" s="15" customFormat="1" x14ac:dyDescent="0.4">
      <c r="A753" s="7"/>
      <c r="B753" s="19"/>
      <c r="C753" s="7"/>
      <c r="D753" s="8"/>
      <c r="E753" s="8"/>
      <c r="F753" s="8"/>
      <c r="G753" s="9"/>
      <c r="H753" s="13"/>
    </row>
    <row r="754" spans="1:8" s="15" customFormat="1" ht="27.6" x14ac:dyDescent="0.4">
      <c r="A754" s="498">
        <v>19</v>
      </c>
      <c r="B754" s="19" t="s">
        <v>185</v>
      </c>
      <c r="C754" s="484" t="s">
        <v>5</v>
      </c>
      <c r="D754" s="8">
        <v>14.99</v>
      </c>
      <c r="E754" s="8"/>
      <c r="F754" s="8"/>
      <c r="G754" s="9">
        <v>2</v>
      </c>
      <c r="H754" s="13">
        <f>D754*G754</f>
        <v>29.98</v>
      </c>
    </row>
    <row r="755" spans="1:8" s="15" customFormat="1" x14ac:dyDescent="0.4">
      <c r="A755" s="499"/>
      <c r="B755" s="161"/>
      <c r="C755" s="485"/>
      <c r="D755" s="8">
        <v>7.17</v>
      </c>
      <c r="E755" s="8"/>
      <c r="F755" s="8"/>
      <c r="G755" s="9">
        <v>2</v>
      </c>
      <c r="H755" s="13">
        <f>D755*G755</f>
        <v>14.34</v>
      </c>
    </row>
    <row r="756" spans="1:8" s="15" customFormat="1" x14ac:dyDescent="0.4">
      <c r="A756" s="499"/>
      <c r="B756" s="161"/>
      <c r="C756" s="485"/>
      <c r="D756" s="8">
        <v>0.4</v>
      </c>
      <c r="E756" s="8"/>
      <c r="F756" s="8"/>
      <c r="G756" s="9">
        <v>2</v>
      </c>
      <c r="H756" s="13">
        <f>D756*G756</f>
        <v>0.8</v>
      </c>
    </row>
    <row r="757" spans="1:8" s="15" customFormat="1" x14ac:dyDescent="0.4">
      <c r="A757" s="499"/>
      <c r="B757" s="14" t="s">
        <v>186</v>
      </c>
      <c r="C757" s="485"/>
      <c r="D757" s="8">
        <v>1.8</v>
      </c>
      <c r="E757" s="8"/>
      <c r="F757" s="8"/>
      <c r="G757" s="9">
        <v>1</v>
      </c>
      <c r="H757" s="13">
        <f>-D757*G757</f>
        <v>-1.8</v>
      </c>
    </row>
    <row r="758" spans="1:8" s="15" customFormat="1" x14ac:dyDescent="0.4">
      <c r="A758" s="500"/>
      <c r="B758" s="14"/>
      <c r="C758" s="486"/>
      <c r="D758" s="8"/>
      <c r="E758" s="8"/>
      <c r="F758" s="8"/>
      <c r="G758" s="21" t="s">
        <v>187</v>
      </c>
      <c r="H758" s="10">
        <f>SUM(H754:H757)</f>
        <v>43.32</v>
      </c>
    </row>
    <row r="759" spans="1:8" s="15" customFormat="1" x14ac:dyDescent="0.4">
      <c r="A759" s="7"/>
      <c r="B759" s="14"/>
      <c r="C759" s="7"/>
      <c r="D759" s="8"/>
      <c r="E759" s="8"/>
      <c r="F759" s="8"/>
      <c r="G759" s="9"/>
      <c r="H759" s="13"/>
    </row>
    <row r="760" spans="1:8" s="15" customFormat="1" ht="25" customHeight="1" x14ac:dyDescent="0.4">
      <c r="A760" s="18"/>
      <c r="B760" s="42" t="s">
        <v>295</v>
      </c>
      <c r="C760" s="110"/>
      <c r="D760" s="112"/>
      <c r="E760" s="112"/>
      <c r="F760" s="112"/>
      <c r="G760" s="54"/>
      <c r="H760" s="58"/>
    </row>
    <row r="761" spans="1:8" s="20" customFormat="1" ht="27.6" x14ac:dyDescent="0.4">
      <c r="A761" s="18">
        <v>1</v>
      </c>
      <c r="B761" s="19" t="s">
        <v>273</v>
      </c>
      <c r="C761" s="7" t="s">
        <v>5</v>
      </c>
      <c r="D761" s="8"/>
      <c r="E761" s="8"/>
      <c r="F761" s="8"/>
      <c r="G761" s="9"/>
      <c r="H761" s="10">
        <v>8.99</v>
      </c>
    </row>
    <row r="762" spans="1:8" s="20" customFormat="1" x14ac:dyDescent="0.4">
      <c r="A762" s="18"/>
      <c r="B762" s="19"/>
      <c r="C762" s="7"/>
      <c r="D762" s="8"/>
      <c r="E762" s="8"/>
      <c r="F762" s="8"/>
      <c r="G762" s="9"/>
      <c r="H762" s="10"/>
    </row>
    <row r="763" spans="1:8" s="15" customFormat="1" x14ac:dyDescent="0.4">
      <c r="A763" s="18">
        <v>2</v>
      </c>
      <c r="B763" s="19" t="s">
        <v>269</v>
      </c>
      <c r="C763" s="7" t="s">
        <v>5</v>
      </c>
      <c r="D763" s="8"/>
      <c r="E763" s="8"/>
      <c r="F763" s="8"/>
      <c r="G763" s="9"/>
      <c r="H763" s="10">
        <v>8.99</v>
      </c>
    </row>
    <row r="764" spans="1:8" s="15" customFormat="1" x14ac:dyDescent="0.4">
      <c r="A764" s="18"/>
      <c r="B764" s="14"/>
      <c r="C764" s="7"/>
      <c r="D764" s="8"/>
      <c r="E764" s="8"/>
      <c r="F764" s="8"/>
      <c r="G764" s="9"/>
      <c r="H764" s="10"/>
    </row>
    <row r="765" spans="1:8" s="15" customFormat="1" ht="41.4" x14ac:dyDescent="0.4">
      <c r="A765" s="18">
        <v>3</v>
      </c>
      <c r="B765" s="19" t="s">
        <v>270</v>
      </c>
      <c r="C765" s="7" t="s">
        <v>5</v>
      </c>
      <c r="D765" s="8"/>
      <c r="E765" s="8"/>
      <c r="F765" s="8"/>
      <c r="G765" s="9"/>
      <c r="H765" s="10">
        <v>8.99</v>
      </c>
    </row>
    <row r="766" spans="1:8" s="15" customFormat="1" x14ac:dyDescent="0.4">
      <c r="A766" s="18"/>
      <c r="B766" s="14"/>
      <c r="C766" s="7"/>
      <c r="D766" s="8"/>
      <c r="E766" s="8"/>
      <c r="F766" s="8"/>
      <c r="G766" s="9"/>
      <c r="H766" s="10"/>
    </row>
    <row r="767" spans="1:8" s="15" customFormat="1" ht="41.4" x14ac:dyDescent="0.4">
      <c r="A767" s="18">
        <v>4</v>
      </c>
      <c r="B767" s="19" t="s">
        <v>271</v>
      </c>
      <c r="C767" s="7" t="s">
        <v>5</v>
      </c>
      <c r="D767" s="8"/>
      <c r="E767" s="8"/>
      <c r="F767" s="8"/>
      <c r="G767" s="9"/>
      <c r="H767" s="10">
        <v>8.99</v>
      </c>
    </row>
    <row r="768" spans="1:8" s="15" customFormat="1" x14ac:dyDescent="0.4">
      <c r="A768" s="18"/>
      <c r="B768" s="25"/>
      <c r="C768" s="25"/>
      <c r="D768" s="8"/>
      <c r="E768" s="8"/>
      <c r="F768" s="8"/>
      <c r="G768" s="9"/>
      <c r="H768" s="10"/>
    </row>
    <row r="769" spans="1:8" s="15" customFormat="1" ht="27.6" x14ac:dyDescent="0.4">
      <c r="A769" s="18">
        <v>5</v>
      </c>
      <c r="B769" s="19" t="s">
        <v>272</v>
      </c>
      <c r="C769" s="7" t="s">
        <v>5</v>
      </c>
      <c r="D769" s="8"/>
      <c r="E769" s="8"/>
      <c r="F769" s="8"/>
      <c r="G769" s="9"/>
      <c r="H769" s="10">
        <v>8.99</v>
      </c>
    </row>
    <row r="770" spans="1:8" s="15" customFormat="1" x14ac:dyDescent="0.4">
      <c r="A770" s="7"/>
      <c r="B770" s="14"/>
      <c r="C770" s="7"/>
      <c r="D770" s="8"/>
      <c r="E770" s="8"/>
      <c r="F770" s="8"/>
      <c r="G770" s="9"/>
      <c r="H770" s="13"/>
    </row>
    <row r="771" spans="1:8" s="15" customFormat="1" ht="25" customHeight="1" x14ac:dyDescent="0.4">
      <c r="A771" s="7"/>
      <c r="B771" s="42" t="s">
        <v>202</v>
      </c>
      <c r="C771" s="7"/>
      <c r="D771" s="8"/>
      <c r="E771" s="8"/>
      <c r="F771" s="8"/>
      <c r="G771" s="9"/>
      <c r="H771" s="13"/>
    </row>
    <row r="772" spans="1:8" s="15" customFormat="1" ht="27.6" x14ac:dyDescent="0.4">
      <c r="A772" s="502">
        <v>1</v>
      </c>
      <c r="B772" s="19" t="s">
        <v>110</v>
      </c>
      <c r="C772" s="502" t="s">
        <v>1</v>
      </c>
      <c r="D772" s="8"/>
      <c r="E772" s="8"/>
      <c r="F772" s="8"/>
      <c r="G772" s="9"/>
      <c r="H772" s="13"/>
    </row>
    <row r="773" spans="1:8" s="15" customFormat="1" x14ac:dyDescent="0.4">
      <c r="A773" s="502"/>
      <c r="B773" s="14" t="s">
        <v>113</v>
      </c>
      <c r="C773" s="502"/>
      <c r="D773" s="8">
        <v>2.2000000000000002</v>
      </c>
      <c r="E773" s="8"/>
      <c r="F773" s="8">
        <v>1.2</v>
      </c>
      <c r="G773" s="9">
        <v>1</v>
      </c>
      <c r="H773" s="13">
        <f>D773*F773*G773</f>
        <v>2.64</v>
      </c>
    </row>
    <row r="774" spans="1:8" s="15" customFormat="1" x14ac:dyDescent="0.4">
      <c r="A774" s="502"/>
      <c r="B774" s="130" t="s">
        <v>114</v>
      </c>
      <c r="C774" s="502"/>
      <c r="D774" s="8">
        <v>2.7</v>
      </c>
      <c r="E774" s="8"/>
      <c r="F774" s="8">
        <v>1</v>
      </c>
      <c r="G774" s="9">
        <v>1</v>
      </c>
      <c r="H774" s="13">
        <f>D774*F774*G774</f>
        <v>2.7</v>
      </c>
    </row>
    <row r="775" spans="1:8" s="15" customFormat="1" x14ac:dyDescent="0.4">
      <c r="A775" s="502"/>
      <c r="B775" s="130" t="s">
        <v>111</v>
      </c>
      <c r="C775" s="502"/>
      <c r="D775" s="8">
        <v>2.75</v>
      </c>
      <c r="E775" s="8"/>
      <c r="F775" s="8">
        <v>3.2</v>
      </c>
      <c r="G775" s="9">
        <v>1</v>
      </c>
      <c r="H775" s="13">
        <f t="shared" ref="H775:H786" si="21">D775*F775*G775</f>
        <v>8.8000000000000007</v>
      </c>
    </row>
    <row r="776" spans="1:8" s="15" customFormat="1" x14ac:dyDescent="0.4">
      <c r="A776" s="502"/>
      <c r="B776" s="130" t="s">
        <v>111</v>
      </c>
      <c r="C776" s="502"/>
      <c r="D776" s="8">
        <v>3</v>
      </c>
      <c r="E776" s="8"/>
      <c r="F776" s="8">
        <v>3.2</v>
      </c>
      <c r="G776" s="9">
        <v>1</v>
      </c>
      <c r="H776" s="13">
        <f t="shared" si="21"/>
        <v>9.6000000000000014</v>
      </c>
    </row>
    <row r="777" spans="1:8" s="15" customFormat="1" ht="27.6" x14ac:dyDescent="0.4">
      <c r="A777" s="502"/>
      <c r="B777" s="36" t="s">
        <v>115</v>
      </c>
      <c r="C777" s="502"/>
      <c r="D777" s="8">
        <v>3.6</v>
      </c>
      <c r="E777" s="8"/>
      <c r="F777" s="8">
        <v>1</v>
      </c>
      <c r="G777" s="9">
        <v>14</v>
      </c>
      <c r="H777" s="13">
        <f t="shared" si="21"/>
        <v>50.4</v>
      </c>
    </row>
    <row r="778" spans="1:8" s="15" customFormat="1" x14ac:dyDescent="0.4">
      <c r="A778" s="502"/>
      <c r="B778" s="130" t="s">
        <v>116</v>
      </c>
      <c r="C778" s="502"/>
      <c r="D778" s="8">
        <v>3.6</v>
      </c>
      <c r="E778" s="8"/>
      <c r="F778" s="8">
        <v>2.85</v>
      </c>
      <c r="G778" s="9">
        <v>4</v>
      </c>
      <c r="H778" s="13">
        <f t="shared" si="21"/>
        <v>41.04</v>
      </c>
    </row>
    <row r="779" spans="1:8" s="15" customFormat="1" x14ac:dyDescent="0.4">
      <c r="A779" s="502"/>
      <c r="B779" s="14" t="s">
        <v>117</v>
      </c>
      <c r="C779" s="502"/>
      <c r="D779" s="8">
        <v>3.6</v>
      </c>
      <c r="E779" s="8"/>
      <c r="F779" s="8">
        <v>2.85</v>
      </c>
      <c r="G779" s="9">
        <v>12</v>
      </c>
      <c r="H779" s="13">
        <f t="shared" si="21"/>
        <v>123.12</v>
      </c>
    </row>
    <row r="780" spans="1:8" s="15" customFormat="1" ht="27.6" x14ac:dyDescent="0.4">
      <c r="A780" s="502"/>
      <c r="B780" s="36" t="s">
        <v>112</v>
      </c>
      <c r="C780" s="502"/>
      <c r="D780" s="8">
        <v>3.6</v>
      </c>
      <c r="E780" s="8"/>
      <c r="F780" s="8">
        <v>0.65</v>
      </c>
      <c r="G780" s="9">
        <v>3</v>
      </c>
      <c r="H780" s="13">
        <f t="shared" si="21"/>
        <v>7.0200000000000014</v>
      </c>
    </row>
    <row r="781" spans="1:8" s="15" customFormat="1" x14ac:dyDescent="0.4">
      <c r="A781" s="502"/>
      <c r="B781" s="130" t="s">
        <v>111</v>
      </c>
      <c r="C781" s="502"/>
      <c r="D781" s="8">
        <v>3.8</v>
      </c>
      <c r="E781" s="8"/>
      <c r="F781" s="8">
        <v>3.2</v>
      </c>
      <c r="G781" s="9">
        <v>2</v>
      </c>
      <c r="H781" s="13">
        <f t="shared" si="21"/>
        <v>24.32</v>
      </c>
    </row>
    <row r="782" spans="1:8" s="15" customFormat="1" x14ac:dyDescent="0.4">
      <c r="A782" s="502"/>
      <c r="B782" s="14" t="s">
        <v>118</v>
      </c>
      <c r="C782" s="502"/>
      <c r="D782" s="8">
        <v>0.9</v>
      </c>
      <c r="E782" s="8"/>
      <c r="F782" s="8">
        <v>2.85</v>
      </c>
      <c r="G782" s="9">
        <v>1</v>
      </c>
      <c r="H782" s="13">
        <f t="shared" si="21"/>
        <v>2.5649999999999999</v>
      </c>
    </row>
    <row r="783" spans="1:8" s="15" customFormat="1" x14ac:dyDescent="0.4">
      <c r="A783" s="502"/>
      <c r="B783" s="14" t="s">
        <v>119</v>
      </c>
      <c r="C783" s="502"/>
      <c r="D783" s="8">
        <v>0.75</v>
      </c>
      <c r="E783" s="8"/>
      <c r="F783" s="8">
        <v>1.5</v>
      </c>
      <c r="G783" s="9">
        <v>3</v>
      </c>
      <c r="H783" s="13">
        <f t="shared" si="21"/>
        <v>3.375</v>
      </c>
    </row>
    <row r="784" spans="1:8" s="15" customFormat="1" ht="27.6" x14ac:dyDescent="0.4">
      <c r="A784" s="502"/>
      <c r="B784" s="14" t="s">
        <v>121</v>
      </c>
      <c r="C784" s="502"/>
      <c r="D784" s="8">
        <v>3.6</v>
      </c>
      <c r="E784" s="8"/>
      <c r="F784" s="8">
        <v>2.85</v>
      </c>
      <c r="G784" s="9">
        <v>2</v>
      </c>
      <c r="H784" s="13">
        <f t="shared" si="21"/>
        <v>20.52</v>
      </c>
    </row>
    <row r="785" spans="1:8" s="15" customFormat="1" ht="27.6" x14ac:dyDescent="0.4">
      <c r="A785" s="502"/>
      <c r="B785" s="14" t="s">
        <v>120</v>
      </c>
      <c r="C785" s="502"/>
      <c r="D785" s="8">
        <v>4</v>
      </c>
      <c r="E785" s="8"/>
      <c r="F785" s="8">
        <v>2.85</v>
      </c>
      <c r="G785" s="9">
        <v>1</v>
      </c>
      <c r="H785" s="13">
        <f t="shared" si="21"/>
        <v>11.4</v>
      </c>
    </row>
    <row r="786" spans="1:8" s="15" customFormat="1" ht="27.6" x14ac:dyDescent="0.4">
      <c r="A786" s="502"/>
      <c r="B786" s="14" t="s">
        <v>122</v>
      </c>
      <c r="C786" s="502"/>
      <c r="D786" s="8">
        <v>0.9</v>
      </c>
      <c r="E786" s="8"/>
      <c r="F786" s="8">
        <v>3</v>
      </c>
      <c r="G786" s="9">
        <v>3</v>
      </c>
      <c r="H786" s="13">
        <f t="shared" si="21"/>
        <v>8.1000000000000014</v>
      </c>
    </row>
    <row r="787" spans="1:8" s="15" customFormat="1" x14ac:dyDescent="0.4">
      <c r="A787" s="502"/>
      <c r="B787" s="14"/>
      <c r="C787" s="502"/>
      <c r="D787" s="8"/>
      <c r="E787" s="8"/>
      <c r="F787" s="8"/>
      <c r="G787" s="26" t="s">
        <v>15</v>
      </c>
      <c r="H787" s="10">
        <f>SUM(H772:H786)</f>
        <v>315.60000000000002</v>
      </c>
    </row>
    <row r="788" spans="1:8" s="15" customFormat="1" x14ac:dyDescent="0.4">
      <c r="A788" s="7"/>
      <c r="B788" s="14"/>
      <c r="C788" s="7"/>
      <c r="D788" s="8"/>
      <c r="E788" s="8"/>
      <c r="F788" s="8"/>
      <c r="G788" s="9"/>
      <c r="H788" s="13"/>
    </row>
    <row r="789" spans="1:8" s="15" customFormat="1" ht="15" customHeight="1" x14ac:dyDescent="0.4">
      <c r="A789" s="7"/>
      <c r="B789" s="19" t="s">
        <v>123</v>
      </c>
      <c r="C789" s="7"/>
      <c r="D789" s="8"/>
      <c r="E789" s="8"/>
      <c r="F789" s="8"/>
      <c r="G789" s="9"/>
      <c r="H789" s="13"/>
    </row>
    <row r="790" spans="1:8" s="15" customFormat="1" ht="27.6" x14ac:dyDescent="0.4">
      <c r="A790" s="18">
        <v>2</v>
      </c>
      <c r="B790" s="14" t="s">
        <v>126</v>
      </c>
      <c r="C790" s="7" t="s">
        <v>4</v>
      </c>
      <c r="D790" s="8"/>
      <c r="E790" s="8"/>
      <c r="F790" s="8"/>
      <c r="G790" s="9"/>
      <c r="H790" s="45">
        <v>4</v>
      </c>
    </row>
    <row r="791" spans="1:8" s="15" customFormat="1" x14ac:dyDescent="0.4">
      <c r="A791" s="18">
        <v>3</v>
      </c>
      <c r="B791" s="14" t="s">
        <v>124</v>
      </c>
      <c r="C791" s="7" t="s">
        <v>4</v>
      </c>
      <c r="D791" s="8"/>
      <c r="E791" s="8"/>
      <c r="F791" s="8"/>
      <c r="G791" s="9"/>
      <c r="H791" s="45">
        <v>16</v>
      </c>
    </row>
    <row r="792" spans="1:8" s="15" customFormat="1" ht="27.6" x14ac:dyDescent="0.4">
      <c r="A792" s="18">
        <v>4</v>
      </c>
      <c r="B792" s="14" t="s">
        <v>125</v>
      </c>
      <c r="C792" s="7" t="s">
        <v>4</v>
      </c>
      <c r="D792" s="8"/>
      <c r="E792" s="8"/>
      <c r="F792" s="8"/>
      <c r="G792" s="9"/>
      <c r="H792" s="45">
        <v>10</v>
      </c>
    </row>
    <row r="793" spans="1:8" s="15" customFormat="1" x14ac:dyDescent="0.4">
      <c r="A793" s="18">
        <v>5</v>
      </c>
      <c r="B793" s="14" t="s">
        <v>127</v>
      </c>
      <c r="C793" s="7" t="s">
        <v>4</v>
      </c>
      <c r="D793" s="8"/>
      <c r="E793" s="8"/>
      <c r="F793" s="8"/>
      <c r="G793" s="9"/>
      <c r="H793" s="45">
        <v>6</v>
      </c>
    </row>
    <row r="794" spans="1:8" s="15" customFormat="1" ht="27.6" x14ac:dyDescent="0.4">
      <c r="A794" s="18">
        <v>6</v>
      </c>
      <c r="B794" s="14" t="s">
        <v>128</v>
      </c>
      <c r="C794" s="7" t="s">
        <v>4</v>
      </c>
      <c r="D794" s="8"/>
      <c r="E794" s="8"/>
      <c r="F794" s="8"/>
      <c r="G794" s="9"/>
      <c r="H794" s="45">
        <v>12</v>
      </c>
    </row>
    <row r="795" spans="1:8" s="15" customFormat="1" ht="27.6" x14ac:dyDescent="0.4">
      <c r="A795" s="18">
        <v>7</v>
      </c>
      <c r="B795" s="14" t="s">
        <v>129</v>
      </c>
      <c r="C795" s="7" t="s">
        <v>4</v>
      </c>
      <c r="D795" s="8"/>
      <c r="E795" s="8"/>
      <c r="F795" s="8"/>
      <c r="G795" s="9"/>
      <c r="H795" s="45">
        <v>3</v>
      </c>
    </row>
    <row r="796" spans="1:8" s="15" customFormat="1" ht="27.6" x14ac:dyDescent="0.4">
      <c r="A796" s="18">
        <v>8</v>
      </c>
      <c r="B796" s="14" t="s">
        <v>130</v>
      </c>
      <c r="C796" s="7" t="s">
        <v>4</v>
      </c>
      <c r="D796" s="8"/>
      <c r="E796" s="8"/>
      <c r="F796" s="8"/>
      <c r="G796" s="9"/>
      <c r="H796" s="45">
        <v>1</v>
      </c>
    </row>
    <row r="797" spans="1:8" s="15" customFormat="1" x14ac:dyDescent="0.4">
      <c r="A797" s="7"/>
      <c r="B797" s="14"/>
      <c r="C797" s="7"/>
      <c r="D797" s="8"/>
      <c r="E797" s="8"/>
      <c r="F797" s="8"/>
      <c r="G797" s="9"/>
      <c r="H797" s="45"/>
    </row>
    <row r="798" spans="1:8" s="15" customFormat="1" ht="82.8" x14ac:dyDescent="0.4">
      <c r="A798" s="501">
        <v>9</v>
      </c>
      <c r="B798" s="131" t="s">
        <v>265</v>
      </c>
      <c r="C798" s="507" t="s">
        <v>5</v>
      </c>
      <c r="D798" s="8">
        <v>2.7</v>
      </c>
      <c r="E798" s="8"/>
      <c r="F798" s="8"/>
      <c r="G798" s="9">
        <v>1</v>
      </c>
      <c r="H798" s="13">
        <f>D798*G798</f>
        <v>2.7</v>
      </c>
    </row>
    <row r="799" spans="1:8" s="15" customFormat="1" x14ac:dyDescent="0.4">
      <c r="A799" s="501"/>
      <c r="B799" s="103"/>
      <c r="C799" s="507"/>
      <c r="D799" s="8">
        <v>2.75</v>
      </c>
      <c r="E799" s="8"/>
      <c r="F799" s="8"/>
      <c r="G799" s="9">
        <v>1</v>
      </c>
      <c r="H799" s="13">
        <f t="shared" ref="H799:H806" si="22">D799*G799</f>
        <v>2.75</v>
      </c>
    </row>
    <row r="800" spans="1:8" s="15" customFormat="1" x14ac:dyDescent="0.4">
      <c r="A800" s="501"/>
      <c r="B800" s="103"/>
      <c r="C800" s="507"/>
      <c r="D800" s="8">
        <v>3</v>
      </c>
      <c r="E800" s="8"/>
      <c r="F800" s="8"/>
      <c r="G800" s="9">
        <v>1</v>
      </c>
      <c r="H800" s="13">
        <f t="shared" si="22"/>
        <v>3</v>
      </c>
    </row>
    <row r="801" spans="1:8" s="15" customFormat="1" x14ac:dyDescent="0.4">
      <c r="A801" s="501"/>
      <c r="B801" s="103"/>
      <c r="C801" s="507"/>
      <c r="D801" s="8">
        <v>3.6</v>
      </c>
      <c r="E801" s="8"/>
      <c r="F801" s="8"/>
      <c r="G801" s="9">
        <v>14</v>
      </c>
      <c r="H801" s="13">
        <f t="shared" si="22"/>
        <v>50.4</v>
      </c>
    </row>
    <row r="802" spans="1:8" s="15" customFormat="1" x14ac:dyDescent="0.4">
      <c r="A802" s="501"/>
      <c r="B802" s="103"/>
      <c r="C802" s="507"/>
      <c r="D802" s="8">
        <v>3.6</v>
      </c>
      <c r="E802" s="8"/>
      <c r="F802" s="8"/>
      <c r="G802" s="9">
        <v>4</v>
      </c>
      <c r="H802" s="13">
        <f t="shared" si="22"/>
        <v>14.4</v>
      </c>
    </row>
    <row r="803" spans="1:8" s="15" customFormat="1" x14ac:dyDescent="0.4">
      <c r="A803" s="501"/>
      <c r="B803" s="103"/>
      <c r="C803" s="507"/>
      <c r="D803" s="8">
        <v>3.6</v>
      </c>
      <c r="E803" s="8"/>
      <c r="F803" s="8"/>
      <c r="G803" s="9">
        <v>12</v>
      </c>
      <c r="H803" s="13">
        <f t="shared" si="22"/>
        <v>43.2</v>
      </c>
    </row>
    <row r="804" spans="1:8" s="15" customFormat="1" x14ac:dyDescent="0.4">
      <c r="A804" s="501"/>
      <c r="B804" s="103"/>
      <c r="C804" s="507"/>
      <c r="D804" s="8">
        <v>3.6</v>
      </c>
      <c r="E804" s="8"/>
      <c r="F804" s="8"/>
      <c r="G804" s="9">
        <v>3</v>
      </c>
      <c r="H804" s="13">
        <f t="shared" si="22"/>
        <v>10.8</v>
      </c>
    </row>
    <row r="805" spans="1:8" s="15" customFormat="1" x14ac:dyDescent="0.4">
      <c r="A805" s="501"/>
      <c r="B805" s="103"/>
      <c r="C805" s="507"/>
      <c r="D805" s="8">
        <v>3.8</v>
      </c>
      <c r="E805" s="8"/>
      <c r="F805" s="8"/>
      <c r="G805" s="9">
        <v>2</v>
      </c>
      <c r="H805" s="13">
        <f t="shared" si="22"/>
        <v>7.6</v>
      </c>
    </row>
    <row r="806" spans="1:8" s="15" customFormat="1" x14ac:dyDescent="0.4">
      <c r="A806" s="501"/>
      <c r="B806" s="103"/>
      <c r="C806" s="507"/>
      <c r="D806" s="8">
        <v>0.9</v>
      </c>
      <c r="E806" s="8"/>
      <c r="F806" s="8"/>
      <c r="G806" s="9">
        <v>1</v>
      </c>
      <c r="H806" s="13">
        <f t="shared" si="22"/>
        <v>0.9</v>
      </c>
    </row>
    <row r="807" spans="1:8" s="15" customFormat="1" x14ac:dyDescent="0.4">
      <c r="A807" s="501"/>
      <c r="B807" s="103"/>
      <c r="C807" s="507"/>
      <c r="D807" s="8"/>
      <c r="E807" s="8"/>
      <c r="F807" s="8"/>
      <c r="G807" s="26" t="s">
        <v>15</v>
      </c>
      <c r="H807" s="10">
        <f>SUM(H798:H806)</f>
        <v>135.75</v>
      </c>
    </row>
    <row r="808" spans="1:8" s="15" customFormat="1" x14ac:dyDescent="0.4">
      <c r="A808" s="18"/>
      <c r="B808" s="103"/>
      <c r="C808" s="112"/>
      <c r="D808" s="112"/>
      <c r="E808" s="112"/>
      <c r="F808" s="112"/>
      <c r="G808" s="110"/>
      <c r="H808" s="59"/>
    </row>
    <row r="809" spans="1:8" s="15" customFormat="1" ht="25" customHeight="1" x14ac:dyDescent="0.4">
      <c r="A809" s="7"/>
      <c r="B809" s="42" t="s">
        <v>203</v>
      </c>
      <c r="C809" s="7"/>
      <c r="D809" s="8"/>
      <c r="E809" s="8"/>
      <c r="F809" s="8"/>
      <c r="G809" s="9"/>
      <c r="H809" s="45"/>
    </row>
    <row r="810" spans="1:8" s="15" customFormat="1" x14ac:dyDescent="0.4">
      <c r="A810" s="7"/>
      <c r="B810" s="14"/>
      <c r="C810" s="7"/>
      <c r="D810" s="8"/>
      <c r="E810" s="8"/>
      <c r="F810" s="8"/>
      <c r="G810" s="9"/>
      <c r="H810" s="45"/>
    </row>
    <row r="811" spans="1:8" s="15" customFormat="1" ht="96.6" x14ac:dyDescent="0.4">
      <c r="A811" s="501">
        <v>1</v>
      </c>
      <c r="B811" s="133" t="s">
        <v>268</v>
      </c>
      <c r="C811" s="503" t="s">
        <v>1</v>
      </c>
      <c r="D811" s="14"/>
      <c r="E811" s="14"/>
      <c r="F811" s="14"/>
      <c r="G811" s="14"/>
      <c r="H811" s="114"/>
    </row>
    <row r="812" spans="1:8" s="15" customFormat="1" x14ac:dyDescent="0.4">
      <c r="A812" s="501"/>
      <c r="B812" s="14" t="s">
        <v>209</v>
      </c>
      <c r="C812" s="503"/>
      <c r="D812" s="8">
        <v>9.19</v>
      </c>
      <c r="E812" s="8"/>
      <c r="F812" s="8">
        <v>7.45</v>
      </c>
      <c r="G812" s="7">
        <v>1</v>
      </c>
      <c r="H812" s="114">
        <f>D812*F812*G812</f>
        <v>68.465499999999992</v>
      </c>
    </row>
    <row r="813" spans="1:8" s="15" customFormat="1" x14ac:dyDescent="0.4">
      <c r="A813" s="501"/>
      <c r="B813" s="14" t="s">
        <v>16</v>
      </c>
      <c r="C813" s="503"/>
      <c r="D813" s="8">
        <v>0.9</v>
      </c>
      <c r="E813" s="8"/>
      <c r="F813" s="8">
        <v>3</v>
      </c>
      <c r="G813" s="7">
        <v>3</v>
      </c>
      <c r="H813" s="114">
        <f>-D813*F813*G813</f>
        <v>-8.1000000000000014</v>
      </c>
    </row>
    <row r="814" spans="1:8" s="15" customFormat="1" x14ac:dyDescent="0.4">
      <c r="A814" s="501"/>
      <c r="B814" s="14" t="s">
        <v>214</v>
      </c>
      <c r="C814" s="503"/>
      <c r="D814" s="8">
        <v>29.3</v>
      </c>
      <c r="E814" s="8"/>
      <c r="F814" s="8">
        <v>7.45</v>
      </c>
      <c r="G814" s="7">
        <v>1</v>
      </c>
      <c r="H814" s="114">
        <f>D814*F814*G814</f>
        <v>218.285</v>
      </c>
    </row>
    <row r="815" spans="1:8" s="15" customFormat="1" x14ac:dyDescent="0.4">
      <c r="A815" s="501"/>
      <c r="B815" s="14"/>
      <c r="C815" s="503"/>
      <c r="D815" s="8">
        <v>1.8</v>
      </c>
      <c r="E815" s="8"/>
      <c r="F815" s="8">
        <v>3.5</v>
      </c>
      <c r="G815" s="7">
        <v>1</v>
      </c>
      <c r="H815" s="114">
        <f>D815*F815*G815</f>
        <v>6.3</v>
      </c>
    </row>
    <row r="816" spans="1:8" s="15" customFormat="1" x14ac:dyDescent="0.4">
      <c r="A816" s="501"/>
      <c r="B816" s="14"/>
      <c r="C816" s="503"/>
      <c r="D816" s="8">
        <v>2.13</v>
      </c>
      <c r="E816" s="8"/>
      <c r="F816" s="8">
        <v>3.5</v>
      </c>
      <c r="G816" s="7">
        <v>1</v>
      </c>
      <c r="H816" s="114">
        <f>D816*F816*G816</f>
        <v>7.4550000000000001</v>
      </c>
    </row>
    <row r="817" spans="1:8" s="15" customFormat="1" x14ac:dyDescent="0.4">
      <c r="A817" s="501"/>
      <c r="B817" s="14"/>
      <c r="C817" s="503"/>
      <c r="D817" s="8">
        <v>4.3499999999999996</v>
      </c>
      <c r="E817" s="8"/>
      <c r="F817" s="8">
        <v>3.5</v>
      </c>
      <c r="G817" s="7">
        <v>1</v>
      </c>
      <c r="H817" s="114">
        <f>D817*F817*G817</f>
        <v>15.224999999999998</v>
      </c>
    </row>
    <row r="818" spans="1:8" s="15" customFormat="1" x14ac:dyDescent="0.4">
      <c r="A818" s="501"/>
      <c r="B818" s="14"/>
      <c r="C818" s="503"/>
      <c r="D818" s="8">
        <v>11.2</v>
      </c>
      <c r="E818" s="8"/>
      <c r="F818" s="8">
        <v>7.45</v>
      </c>
      <c r="G818" s="7">
        <v>1</v>
      </c>
      <c r="H818" s="114">
        <f>D818*F818*G818</f>
        <v>83.44</v>
      </c>
    </row>
    <row r="819" spans="1:8" s="15" customFormat="1" x14ac:dyDescent="0.4">
      <c r="A819" s="501"/>
      <c r="B819" s="14" t="s">
        <v>16</v>
      </c>
      <c r="C819" s="503"/>
      <c r="D819" s="8">
        <v>3.6</v>
      </c>
      <c r="E819" s="8"/>
      <c r="F819" s="8">
        <v>0.65</v>
      </c>
      <c r="G819" s="7">
        <v>3</v>
      </c>
      <c r="H819" s="114">
        <f>-D819*F819*G819</f>
        <v>-7.0200000000000014</v>
      </c>
    </row>
    <row r="820" spans="1:8" s="15" customFormat="1" x14ac:dyDescent="0.4">
      <c r="A820" s="501"/>
      <c r="B820" s="14"/>
      <c r="C820" s="503"/>
      <c r="D820" s="8">
        <v>3.6</v>
      </c>
      <c r="E820" s="8"/>
      <c r="F820" s="8">
        <v>2.85</v>
      </c>
      <c r="G820" s="7">
        <v>15</v>
      </c>
      <c r="H820" s="114">
        <f>-D820*F820*G820</f>
        <v>-153.9</v>
      </c>
    </row>
    <row r="821" spans="1:8" s="15" customFormat="1" x14ac:dyDescent="0.4">
      <c r="A821" s="501"/>
      <c r="B821" s="14"/>
      <c r="C821" s="503"/>
      <c r="D821" s="8">
        <v>0.9</v>
      </c>
      <c r="E821" s="8"/>
      <c r="F821" s="8">
        <v>2.85</v>
      </c>
      <c r="G821" s="7">
        <v>1</v>
      </c>
      <c r="H821" s="114">
        <f>-D821*F821*G821</f>
        <v>-2.5649999999999999</v>
      </c>
    </row>
    <row r="822" spans="1:8" s="15" customFormat="1" x14ac:dyDescent="0.4">
      <c r="A822" s="501"/>
      <c r="B822" s="14"/>
      <c r="C822" s="503"/>
      <c r="D822" s="8">
        <v>4</v>
      </c>
      <c r="E822" s="8"/>
      <c r="F822" s="8">
        <v>2.85</v>
      </c>
      <c r="G822" s="7">
        <v>1</v>
      </c>
      <c r="H822" s="114">
        <f>-D822*F822*G822</f>
        <v>-11.4</v>
      </c>
    </row>
    <row r="823" spans="1:8" s="15" customFormat="1" x14ac:dyDescent="0.4">
      <c r="A823" s="501"/>
      <c r="B823" s="36" t="s">
        <v>216</v>
      </c>
      <c r="C823" s="503"/>
      <c r="D823" s="8">
        <v>33.880000000000003</v>
      </c>
      <c r="E823" s="8"/>
      <c r="F823" s="8">
        <v>7.45</v>
      </c>
      <c r="G823" s="7">
        <v>1</v>
      </c>
      <c r="H823" s="114">
        <f>D823*F823*G823</f>
        <v>252.40600000000003</v>
      </c>
    </row>
    <row r="824" spans="1:8" s="15" customFormat="1" x14ac:dyDescent="0.4">
      <c r="A824" s="501"/>
      <c r="B824" s="36"/>
      <c r="C824" s="503"/>
      <c r="D824" s="7">
        <v>1.67</v>
      </c>
      <c r="E824" s="16"/>
      <c r="F824" s="8">
        <v>7.45</v>
      </c>
      <c r="G824" s="7">
        <v>1</v>
      </c>
      <c r="H824" s="114">
        <f>D824*F824*G824</f>
        <v>12.4415</v>
      </c>
    </row>
    <row r="825" spans="1:8" s="15" customFormat="1" x14ac:dyDescent="0.4">
      <c r="A825" s="501"/>
      <c r="B825" s="36"/>
      <c r="C825" s="503"/>
      <c r="D825" s="7">
        <v>9.0299999999999994</v>
      </c>
      <c r="E825" s="16"/>
      <c r="F825" s="8">
        <v>7.55</v>
      </c>
      <c r="G825" s="7">
        <v>1</v>
      </c>
      <c r="H825" s="114">
        <f>D825*F825*G825</f>
        <v>68.17649999999999</v>
      </c>
    </row>
    <row r="826" spans="1:8" s="15" customFormat="1" x14ac:dyDescent="0.4">
      <c r="A826" s="501"/>
      <c r="B826" s="14" t="s">
        <v>16</v>
      </c>
      <c r="C826" s="503"/>
      <c r="D826" s="8">
        <v>3.6</v>
      </c>
      <c r="E826" s="8"/>
      <c r="F826" s="8">
        <v>1</v>
      </c>
      <c r="G826" s="7">
        <v>6</v>
      </c>
      <c r="H826" s="114">
        <f>-D826*F826*G826</f>
        <v>-21.6</v>
      </c>
    </row>
    <row r="827" spans="1:8" s="15" customFormat="1" x14ac:dyDescent="0.4">
      <c r="A827" s="501"/>
      <c r="B827" s="36"/>
      <c r="C827" s="503"/>
      <c r="D827" s="8">
        <v>2.2000000000000002</v>
      </c>
      <c r="E827" s="8"/>
      <c r="F827" s="8">
        <v>2.2000000000000002</v>
      </c>
      <c r="G827" s="7">
        <v>1</v>
      </c>
      <c r="H827" s="114">
        <f>-D827*F827*G827</f>
        <v>-4.8400000000000007</v>
      </c>
    </row>
    <row r="828" spans="1:8" s="15" customFormat="1" x14ac:dyDescent="0.4">
      <c r="A828" s="501"/>
      <c r="B828" s="36" t="s">
        <v>20</v>
      </c>
      <c r="C828" s="503"/>
      <c r="D828" s="8">
        <v>29.72</v>
      </c>
      <c r="E828" s="8"/>
      <c r="F828" s="8">
        <f>3.45/2</f>
        <v>1.7250000000000001</v>
      </c>
      <c r="G828" s="7">
        <v>1</v>
      </c>
      <c r="H828" s="114">
        <f>D828*F828*G828</f>
        <v>51.267000000000003</v>
      </c>
    </row>
    <row r="829" spans="1:8" s="15" customFormat="1" x14ac:dyDescent="0.4">
      <c r="A829" s="501"/>
      <c r="B829" s="36"/>
      <c r="C829" s="503"/>
      <c r="D829" s="8">
        <v>29.72</v>
      </c>
      <c r="E829" s="8"/>
      <c r="F829" s="8">
        <v>4</v>
      </c>
      <c r="G829" s="7">
        <v>1</v>
      </c>
      <c r="H829" s="114">
        <f>D829*F829*G829</f>
        <v>118.88</v>
      </c>
    </row>
    <row r="830" spans="1:8" s="15" customFormat="1" x14ac:dyDescent="0.4">
      <c r="A830" s="501"/>
      <c r="B830" s="36"/>
      <c r="C830" s="503"/>
      <c r="D830" s="8">
        <v>0.81</v>
      </c>
      <c r="E830" s="8"/>
      <c r="F830" s="8">
        <v>4.7</v>
      </c>
      <c r="G830" s="7">
        <v>1</v>
      </c>
      <c r="H830" s="114">
        <f>D830*F830*G830</f>
        <v>3.8070000000000004</v>
      </c>
    </row>
    <row r="831" spans="1:8" s="15" customFormat="1" x14ac:dyDescent="0.4">
      <c r="A831" s="501"/>
      <c r="B831" s="14" t="s">
        <v>16</v>
      </c>
      <c r="C831" s="503"/>
      <c r="D831" s="8">
        <v>3.6</v>
      </c>
      <c r="E831" s="8"/>
      <c r="F831" s="8">
        <v>1</v>
      </c>
      <c r="G831" s="7">
        <v>4</v>
      </c>
      <c r="H831" s="114">
        <f>-D831*F831*G831</f>
        <v>-14.4</v>
      </c>
    </row>
    <row r="832" spans="1:8" s="15" customFormat="1" x14ac:dyDescent="0.4">
      <c r="A832" s="501"/>
      <c r="B832" s="14"/>
      <c r="C832" s="503"/>
      <c r="D832" s="8">
        <v>2.7</v>
      </c>
      <c r="E832" s="8"/>
      <c r="F832" s="8">
        <v>1</v>
      </c>
      <c r="G832" s="7">
        <v>1</v>
      </c>
      <c r="H832" s="114">
        <f>-D832*F832*G832</f>
        <v>-2.7</v>
      </c>
    </row>
    <row r="833" spans="1:8" s="15" customFormat="1" x14ac:dyDescent="0.4">
      <c r="A833" s="501"/>
      <c r="B833" s="14"/>
      <c r="C833" s="503"/>
      <c r="D833" s="8"/>
      <c r="E833" s="8"/>
      <c r="F833" s="8"/>
      <c r="G833" s="7"/>
      <c r="H833" s="114"/>
    </row>
    <row r="834" spans="1:8" s="15" customFormat="1" x14ac:dyDescent="0.4">
      <c r="A834" s="501"/>
      <c r="B834" s="14" t="s">
        <v>215</v>
      </c>
      <c r="C834" s="503"/>
      <c r="D834" s="8">
        <v>3.35</v>
      </c>
      <c r="E834" s="8"/>
      <c r="F834" s="8">
        <v>8.15</v>
      </c>
      <c r="G834" s="7">
        <v>1</v>
      </c>
      <c r="H834" s="114">
        <f>D834*F834*G834</f>
        <v>27.302500000000002</v>
      </c>
    </row>
    <row r="835" spans="1:8" s="15" customFormat="1" x14ac:dyDescent="0.4">
      <c r="A835" s="501"/>
      <c r="B835" s="14"/>
      <c r="C835" s="503"/>
      <c r="D835" s="8">
        <v>1.78</v>
      </c>
      <c r="E835" s="8"/>
      <c r="F835" s="8">
        <v>8.15</v>
      </c>
      <c r="G835" s="7">
        <v>1</v>
      </c>
      <c r="H835" s="114">
        <f>D835*F835*G835</f>
        <v>14.507000000000001</v>
      </c>
    </row>
    <row r="836" spans="1:8" s="15" customFormat="1" x14ac:dyDescent="0.4">
      <c r="A836" s="501"/>
      <c r="B836" s="14"/>
      <c r="C836" s="503"/>
      <c r="D836" s="8">
        <v>7.4</v>
      </c>
      <c r="E836" s="8"/>
      <c r="F836" s="8">
        <v>8.15</v>
      </c>
      <c r="G836" s="7">
        <v>2</v>
      </c>
      <c r="H836" s="114">
        <f>D836*F836*G836</f>
        <v>120.62</v>
      </c>
    </row>
    <row r="837" spans="1:8" s="15" customFormat="1" x14ac:dyDescent="0.4">
      <c r="A837" s="501"/>
      <c r="B837" s="14"/>
      <c r="C837" s="503"/>
      <c r="D837" s="8">
        <v>3</v>
      </c>
      <c r="E837" s="8"/>
      <c r="F837" s="8">
        <v>1.7</v>
      </c>
      <c r="G837" s="7">
        <v>1</v>
      </c>
      <c r="H837" s="114">
        <f>D837*F837*G837</f>
        <v>5.0999999999999996</v>
      </c>
    </row>
    <row r="838" spans="1:8" s="15" customFormat="1" x14ac:dyDescent="0.4">
      <c r="A838" s="501"/>
      <c r="B838" s="14"/>
      <c r="C838" s="503"/>
      <c r="D838" s="8">
        <v>3</v>
      </c>
      <c r="E838" s="8"/>
      <c r="F838" s="8">
        <v>5</v>
      </c>
      <c r="G838" s="7">
        <v>1</v>
      </c>
      <c r="H838" s="114">
        <f>D838*F838*G838</f>
        <v>15</v>
      </c>
    </row>
    <row r="839" spans="1:8" s="15" customFormat="1" x14ac:dyDescent="0.4">
      <c r="A839" s="501"/>
      <c r="B839" s="14" t="s">
        <v>16</v>
      </c>
      <c r="C839" s="503"/>
      <c r="D839" s="8">
        <v>1</v>
      </c>
      <c r="E839" s="8"/>
      <c r="F839" s="8">
        <v>2</v>
      </c>
      <c r="G839" s="7">
        <v>1</v>
      </c>
      <c r="H839" s="114">
        <f>-D839*F839*G839</f>
        <v>-2</v>
      </c>
    </row>
    <row r="840" spans="1:8" s="15" customFormat="1" x14ac:dyDescent="0.4">
      <c r="A840" s="501"/>
      <c r="B840" s="14"/>
      <c r="C840" s="503"/>
      <c r="D840" s="8">
        <v>1.8</v>
      </c>
      <c r="E840" s="8"/>
      <c r="F840" s="8">
        <v>2.1</v>
      </c>
      <c r="G840" s="7">
        <v>1</v>
      </c>
      <c r="H840" s="114">
        <f>-D840*F840*G840</f>
        <v>-3.7800000000000002</v>
      </c>
    </row>
    <row r="841" spans="1:8" s="15" customFormat="1" x14ac:dyDescent="0.4">
      <c r="A841" s="501"/>
      <c r="B841" s="55"/>
      <c r="C841" s="503"/>
      <c r="D841" s="8">
        <v>3.8</v>
      </c>
      <c r="E841" s="8"/>
      <c r="F841" s="8">
        <v>3.2</v>
      </c>
      <c r="G841" s="7">
        <v>2</v>
      </c>
      <c r="H841" s="114">
        <f>-D841*F841*G841</f>
        <v>-24.32</v>
      </c>
    </row>
    <row r="842" spans="1:8" s="15" customFormat="1" x14ac:dyDescent="0.4">
      <c r="A842" s="501"/>
      <c r="B842" s="55"/>
      <c r="C842" s="503"/>
      <c r="D842" s="8">
        <v>3</v>
      </c>
      <c r="E842" s="8"/>
      <c r="F842" s="8">
        <v>3.2</v>
      </c>
      <c r="G842" s="7">
        <v>1</v>
      </c>
      <c r="H842" s="114">
        <f>-D842*F842*G842</f>
        <v>-9.6000000000000014</v>
      </c>
    </row>
    <row r="843" spans="1:8" s="15" customFormat="1" x14ac:dyDescent="0.4">
      <c r="A843" s="501"/>
      <c r="B843" s="36" t="s">
        <v>467</v>
      </c>
      <c r="C843" s="503"/>
      <c r="D843" s="8">
        <v>29.65</v>
      </c>
      <c r="E843" s="8"/>
      <c r="F843" s="8">
        <v>4.7</v>
      </c>
      <c r="G843" s="7">
        <v>1</v>
      </c>
      <c r="H843" s="114">
        <f>D843*F843*G843</f>
        <v>139.35499999999999</v>
      </c>
    </row>
    <row r="844" spans="1:8" s="15" customFormat="1" x14ac:dyDescent="0.4">
      <c r="A844" s="501"/>
      <c r="B844" s="14" t="s">
        <v>16</v>
      </c>
      <c r="C844" s="503"/>
      <c r="D844" s="8">
        <v>3.6</v>
      </c>
      <c r="E844" s="8"/>
      <c r="F844" s="8">
        <v>1</v>
      </c>
      <c r="G844" s="7">
        <v>4</v>
      </c>
      <c r="H844" s="114">
        <f>-D844*F844*G844</f>
        <v>-14.4</v>
      </c>
    </row>
    <row r="845" spans="1:8" s="15" customFormat="1" x14ac:dyDescent="0.4">
      <c r="A845" s="501"/>
      <c r="B845" s="36"/>
      <c r="C845" s="503"/>
      <c r="D845" s="8">
        <v>3.6</v>
      </c>
      <c r="E845" s="8"/>
      <c r="F845" s="8">
        <v>2.85</v>
      </c>
      <c r="G845" s="7">
        <v>3</v>
      </c>
      <c r="H845" s="114">
        <f>-D845*F845*G845</f>
        <v>-30.78</v>
      </c>
    </row>
    <row r="846" spans="1:8" s="15" customFormat="1" x14ac:dyDescent="0.4">
      <c r="A846" s="501"/>
      <c r="B846" s="36"/>
      <c r="C846" s="503"/>
      <c r="D846" s="8"/>
      <c r="E846" s="8"/>
      <c r="F846" s="8"/>
      <c r="G846" s="95" t="s">
        <v>219</v>
      </c>
      <c r="H846" s="116">
        <f>SUM(H811:H845)</f>
        <v>916.62800000000004</v>
      </c>
    </row>
    <row r="847" spans="1:8" s="15" customFormat="1" x14ac:dyDescent="0.4">
      <c r="A847" s="52"/>
      <c r="B847" s="36"/>
      <c r="C847" s="98"/>
      <c r="D847" s="8"/>
      <c r="E847" s="8"/>
      <c r="F847" s="8"/>
      <c r="G847" s="7"/>
      <c r="H847" s="114"/>
    </row>
    <row r="848" spans="1:8" s="15" customFormat="1" ht="41.4" x14ac:dyDescent="0.4">
      <c r="A848" s="498">
        <v>2</v>
      </c>
      <c r="B848" s="19" t="s">
        <v>465</v>
      </c>
      <c r="C848" s="484" t="s">
        <v>5</v>
      </c>
      <c r="D848" s="8"/>
      <c r="E848" s="8"/>
      <c r="F848" s="8"/>
      <c r="G848" s="9"/>
      <c r="H848" s="45"/>
    </row>
    <row r="849" spans="1:8" s="15" customFormat="1" ht="14.1" x14ac:dyDescent="0.4">
      <c r="A849" s="499"/>
      <c r="B849" s="199"/>
      <c r="C849" s="485"/>
      <c r="D849" s="8">
        <v>2.7</v>
      </c>
      <c r="E849" s="8"/>
      <c r="F849" s="8">
        <v>1</v>
      </c>
      <c r="G849" s="9">
        <v>1</v>
      </c>
      <c r="H849" s="13">
        <f>(D849+F849)*2*G849</f>
        <v>7.4</v>
      </c>
    </row>
    <row r="850" spans="1:8" s="15" customFormat="1" x14ac:dyDescent="0.4">
      <c r="A850" s="499"/>
      <c r="B850" s="19"/>
      <c r="C850" s="485"/>
      <c r="D850" s="8">
        <v>2.75</v>
      </c>
      <c r="E850" s="8"/>
      <c r="F850" s="8">
        <v>3.2</v>
      </c>
      <c r="G850" s="9">
        <v>1</v>
      </c>
      <c r="H850" s="13">
        <f t="shared" ref="H850:H857" si="23">(D850+F850)*2*G850</f>
        <v>11.9</v>
      </c>
    </row>
    <row r="851" spans="1:8" s="15" customFormat="1" x14ac:dyDescent="0.4">
      <c r="A851" s="499"/>
      <c r="B851" s="19"/>
      <c r="C851" s="485"/>
      <c r="D851" s="8">
        <v>3</v>
      </c>
      <c r="E851" s="8"/>
      <c r="F851" s="8">
        <v>3.2</v>
      </c>
      <c r="G851" s="9">
        <v>1</v>
      </c>
      <c r="H851" s="13">
        <f t="shared" si="23"/>
        <v>12.4</v>
      </c>
    </row>
    <row r="852" spans="1:8" s="15" customFormat="1" x14ac:dyDescent="0.4">
      <c r="A852" s="499"/>
      <c r="B852" s="19"/>
      <c r="C852" s="485"/>
      <c r="D852" s="8">
        <v>3.6</v>
      </c>
      <c r="E852" s="8"/>
      <c r="F852" s="8">
        <v>1</v>
      </c>
      <c r="G852" s="9">
        <v>14</v>
      </c>
      <c r="H852" s="13">
        <f t="shared" si="23"/>
        <v>128.79999999999998</v>
      </c>
    </row>
    <row r="853" spans="1:8" s="15" customFormat="1" x14ac:dyDescent="0.4">
      <c r="A853" s="499"/>
      <c r="B853" s="19"/>
      <c r="C853" s="485"/>
      <c r="D853" s="8">
        <v>3.6</v>
      </c>
      <c r="E853" s="8"/>
      <c r="F853" s="8">
        <v>2.85</v>
      </c>
      <c r="G853" s="9">
        <v>4</v>
      </c>
      <c r="H853" s="13">
        <f t="shared" si="23"/>
        <v>51.6</v>
      </c>
    </row>
    <row r="854" spans="1:8" s="15" customFormat="1" x14ac:dyDescent="0.4">
      <c r="A854" s="499"/>
      <c r="B854" s="19"/>
      <c r="C854" s="485"/>
      <c r="D854" s="8">
        <v>3.6</v>
      </c>
      <c r="E854" s="8"/>
      <c r="F854" s="8">
        <v>2.85</v>
      </c>
      <c r="G854" s="9">
        <v>12</v>
      </c>
      <c r="H854" s="13">
        <f>(D854+F854)*2*G854</f>
        <v>154.80000000000001</v>
      </c>
    </row>
    <row r="855" spans="1:8" s="15" customFormat="1" x14ac:dyDescent="0.4">
      <c r="A855" s="499"/>
      <c r="B855" s="19"/>
      <c r="C855" s="485"/>
      <c r="D855" s="8">
        <v>3.6</v>
      </c>
      <c r="E855" s="8"/>
      <c r="F855" s="8">
        <v>0.65</v>
      </c>
      <c r="G855" s="9">
        <v>3</v>
      </c>
      <c r="H855" s="13">
        <f t="shared" si="23"/>
        <v>25.5</v>
      </c>
    </row>
    <row r="856" spans="1:8" s="15" customFormat="1" x14ac:dyDescent="0.4">
      <c r="A856" s="499"/>
      <c r="B856" s="19"/>
      <c r="C856" s="485"/>
      <c r="D856" s="8">
        <v>3.8</v>
      </c>
      <c r="E856" s="8"/>
      <c r="F856" s="8">
        <v>3.2</v>
      </c>
      <c r="G856" s="9">
        <v>2</v>
      </c>
      <c r="H856" s="13">
        <f t="shared" si="23"/>
        <v>28</v>
      </c>
    </row>
    <row r="857" spans="1:8" s="15" customFormat="1" x14ac:dyDescent="0.4">
      <c r="A857" s="499"/>
      <c r="B857" s="19"/>
      <c r="C857" s="485"/>
      <c r="D857" s="8">
        <v>0.9</v>
      </c>
      <c r="E857" s="8"/>
      <c r="F857" s="8">
        <v>2.85</v>
      </c>
      <c r="G857" s="9">
        <v>1</v>
      </c>
      <c r="H857" s="13">
        <f t="shared" si="23"/>
        <v>7.5</v>
      </c>
    </row>
    <row r="858" spans="1:8" s="15" customFormat="1" x14ac:dyDescent="0.4">
      <c r="A858" s="499"/>
      <c r="B858" s="19"/>
      <c r="C858" s="485"/>
      <c r="D858" s="8">
        <v>3.6</v>
      </c>
      <c r="E858" s="8"/>
      <c r="F858" s="8">
        <v>2.85</v>
      </c>
      <c r="G858" s="9">
        <v>2</v>
      </c>
      <c r="H858" s="13">
        <f>(D858+F858*2)*G858</f>
        <v>18.600000000000001</v>
      </c>
    </row>
    <row r="859" spans="1:8" s="15" customFormat="1" x14ac:dyDescent="0.4">
      <c r="A859" s="499"/>
      <c r="B859" s="19"/>
      <c r="C859" s="485"/>
      <c r="D859" s="8">
        <v>4</v>
      </c>
      <c r="E859" s="8"/>
      <c r="F859" s="8">
        <v>2.85</v>
      </c>
      <c r="G859" s="9">
        <v>1</v>
      </c>
      <c r="H859" s="13">
        <f>(D859+F859*2)*G859</f>
        <v>9.6999999999999993</v>
      </c>
    </row>
    <row r="860" spans="1:8" s="15" customFormat="1" x14ac:dyDescent="0.4">
      <c r="A860" s="499"/>
      <c r="B860" s="19"/>
      <c r="C860" s="485"/>
      <c r="D860" s="8">
        <v>0.9</v>
      </c>
      <c r="E860" s="8"/>
      <c r="F860" s="8">
        <v>3</v>
      </c>
      <c r="G860" s="9">
        <v>3</v>
      </c>
      <c r="H860" s="13">
        <f>(D860+F860*2)*G860</f>
        <v>20.700000000000003</v>
      </c>
    </row>
    <row r="861" spans="1:8" s="15" customFormat="1" x14ac:dyDescent="0.4">
      <c r="A861" s="500"/>
      <c r="B861" s="19"/>
      <c r="C861" s="486"/>
      <c r="D861" s="8"/>
      <c r="E861" s="8"/>
      <c r="F861" s="8"/>
      <c r="G861" s="26" t="s">
        <v>15</v>
      </c>
      <c r="H861" s="10">
        <f>SUM(H848:H860)</f>
        <v>476.9</v>
      </c>
    </row>
    <row r="862" spans="1:8" s="15" customFormat="1" x14ac:dyDescent="0.4">
      <c r="A862" s="52"/>
      <c r="B862" s="36"/>
      <c r="C862" s="193"/>
      <c r="D862" s="8"/>
      <c r="E862" s="8"/>
      <c r="F862" s="8"/>
      <c r="G862" s="7"/>
      <c r="H862" s="114"/>
    </row>
    <row r="863" spans="1:8" s="20" customFormat="1" ht="27.6" x14ac:dyDescent="0.4">
      <c r="A863" s="18">
        <v>3</v>
      </c>
      <c r="B863" s="19" t="s">
        <v>463</v>
      </c>
      <c r="C863" s="6" t="s">
        <v>5</v>
      </c>
      <c r="D863" s="8"/>
      <c r="E863" s="8"/>
      <c r="F863" s="8"/>
      <c r="G863" s="7"/>
      <c r="H863" s="116">
        <f>H861</f>
        <v>476.9</v>
      </c>
    </row>
    <row r="864" spans="1:8" s="20" customFormat="1" x14ac:dyDescent="0.4">
      <c r="A864" s="52"/>
      <c r="B864" s="5"/>
      <c r="C864" s="7"/>
      <c r="D864" s="8"/>
      <c r="E864" s="8"/>
      <c r="F864" s="8"/>
      <c r="G864" s="7"/>
      <c r="H864" s="114"/>
    </row>
    <row r="865" spans="1:8" s="15" customFormat="1" ht="27.6" x14ac:dyDescent="0.4">
      <c r="A865" s="498">
        <v>4</v>
      </c>
      <c r="B865" s="11" t="s">
        <v>464</v>
      </c>
      <c r="C865" s="487" t="s">
        <v>5</v>
      </c>
      <c r="D865" s="8">
        <v>2.7</v>
      </c>
      <c r="E865" s="8"/>
      <c r="F865" s="8"/>
      <c r="G865" s="9">
        <v>1</v>
      </c>
      <c r="H865" s="13">
        <f>D865*G865</f>
        <v>2.7</v>
      </c>
    </row>
    <row r="866" spans="1:8" s="15" customFormat="1" x14ac:dyDescent="0.4">
      <c r="A866" s="499"/>
      <c r="B866" s="36"/>
      <c r="C866" s="488"/>
      <c r="D866" s="8">
        <v>2.75</v>
      </c>
      <c r="E866" s="8"/>
      <c r="F866" s="8"/>
      <c r="G866" s="9">
        <v>1</v>
      </c>
      <c r="H866" s="13">
        <f t="shared" ref="H866:H876" si="24">D866*G866</f>
        <v>2.75</v>
      </c>
    </row>
    <row r="867" spans="1:8" s="15" customFormat="1" x14ac:dyDescent="0.4">
      <c r="A867" s="499"/>
      <c r="B867" s="36"/>
      <c r="C867" s="488"/>
      <c r="D867" s="8">
        <v>3</v>
      </c>
      <c r="E867" s="8"/>
      <c r="F867" s="8"/>
      <c r="G867" s="9">
        <v>1</v>
      </c>
      <c r="H867" s="13">
        <f t="shared" si="24"/>
        <v>3</v>
      </c>
    </row>
    <row r="868" spans="1:8" s="15" customFormat="1" x14ac:dyDescent="0.4">
      <c r="A868" s="499"/>
      <c r="B868" s="36"/>
      <c r="C868" s="488"/>
      <c r="D868" s="8">
        <v>3.6</v>
      </c>
      <c r="E868" s="8"/>
      <c r="F868" s="8"/>
      <c r="G868" s="9">
        <v>14</v>
      </c>
      <c r="H868" s="13">
        <f t="shared" si="24"/>
        <v>50.4</v>
      </c>
    </row>
    <row r="869" spans="1:8" s="15" customFormat="1" x14ac:dyDescent="0.4">
      <c r="A869" s="499"/>
      <c r="B869" s="36"/>
      <c r="C869" s="488"/>
      <c r="D869" s="8">
        <v>3.6</v>
      </c>
      <c r="E869" s="8"/>
      <c r="F869" s="8"/>
      <c r="G869" s="9">
        <v>4</v>
      </c>
      <c r="H869" s="13">
        <f t="shared" si="24"/>
        <v>14.4</v>
      </c>
    </row>
    <row r="870" spans="1:8" s="15" customFormat="1" x14ac:dyDescent="0.4">
      <c r="A870" s="499"/>
      <c r="B870" s="36"/>
      <c r="C870" s="488"/>
      <c r="D870" s="8">
        <v>3.6</v>
      </c>
      <c r="E870" s="8"/>
      <c r="F870" s="8"/>
      <c r="G870" s="9">
        <v>12</v>
      </c>
      <c r="H870" s="13">
        <f t="shared" si="24"/>
        <v>43.2</v>
      </c>
    </row>
    <row r="871" spans="1:8" s="15" customFormat="1" x14ac:dyDescent="0.4">
      <c r="A871" s="499"/>
      <c r="B871" s="36"/>
      <c r="C871" s="488"/>
      <c r="D871" s="8">
        <v>3.6</v>
      </c>
      <c r="E871" s="8"/>
      <c r="F871" s="8"/>
      <c r="G871" s="9">
        <v>3</v>
      </c>
      <c r="H871" s="13">
        <f t="shared" si="24"/>
        <v>10.8</v>
      </c>
    </row>
    <row r="872" spans="1:8" s="15" customFormat="1" x14ac:dyDescent="0.4">
      <c r="A872" s="499"/>
      <c r="B872" s="36"/>
      <c r="C872" s="488"/>
      <c r="D872" s="8">
        <v>3.8</v>
      </c>
      <c r="E872" s="8"/>
      <c r="F872" s="8"/>
      <c r="G872" s="9">
        <v>2</v>
      </c>
      <c r="H872" s="13">
        <f t="shared" si="24"/>
        <v>7.6</v>
      </c>
    </row>
    <row r="873" spans="1:8" s="15" customFormat="1" x14ac:dyDescent="0.4">
      <c r="A873" s="499"/>
      <c r="B873" s="36"/>
      <c r="C873" s="488"/>
      <c r="D873" s="8">
        <v>0.9</v>
      </c>
      <c r="E873" s="8"/>
      <c r="F873" s="8"/>
      <c r="G873" s="9">
        <v>1</v>
      </c>
      <c r="H873" s="13">
        <f t="shared" si="24"/>
        <v>0.9</v>
      </c>
    </row>
    <row r="874" spans="1:8" s="15" customFormat="1" x14ac:dyDescent="0.4">
      <c r="A874" s="499"/>
      <c r="B874" s="36"/>
      <c r="C874" s="488"/>
      <c r="D874" s="8">
        <v>3.6</v>
      </c>
      <c r="E874" s="8"/>
      <c r="F874" s="8"/>
      <c r="G874" s="9">
        <v>2</v>
      </c>
      <c r="H874" s="13">
        <f t="shared" si="24"/>
        <v>7.2</v>
      </c>
    </row>
    <row r="875" spans="1:8" s="15" customFormat="1" x14ac:dyDescent="0.4">
      <c r="A875" s="499"/>
      <c r="B875" s="36"/>
      <c r="C875" s="488"/>
      <c r="D875" s="8">
        <v>4</v>
      </c>
      <c r="E875" s="8"/>
      <c r="F875" s="8"/>
      <c r="G875" s="9">
        <v>1</v>
      </c>
      <c r="H875" s="13">
        <f t="shared" si="24"/>
        <v>4</v>
      </c>
    </row>
    <row r="876" spans="1:8" s="15" customFormat="1" x14ac:dyDescent="0.4">
      <c r="A876" s="499"/>
      <c r="B876" s="36"/>
      <c r="C876" s="488"/>
      <c r="D876" s="8">
        <v>0.9</v>
      </c>
      <c r="E876" s="8"/>
      <c r="F876" s="8"/>
      <c r="G876" s="9">
        <v>3</v>
      </c>
      <c r="H876" s="13">
        <f t="shared" si="24"/>
        <v>2.7</v>
      </c>
    </row>
    <row r="877" spans="1:8" s="15" customFormat="1" x14ac:dyDescent="0.4">
      <c r="A877" s="500"/>
      <c r="B877" s="36"/>
      <c r="C877" s="489"/>
      <c r="D877" s="8"/>
      <c r="E877" s="8"/>
      <c r="F877" s="8"/>
      <c r="G877" s="26" t="s">
        <v>15</v>
      </c>
      <c r="H877" s="10">
        <f>SUM(H864:H876)</f>
        <v>149.64999999999998</v>
      </c>
    </row>
    <row r="878" spans="1:8" s="15" customFormat="1" x14ac:dyDescent="0.4">
      <c r="A878" s="52"/>
      <c r="B878" s="36"/>
      <c r="C878" s="193"/>
      <c r="D878" s="38"/>
      <c r="E878" s="38"/>
      <c r="F878" s="8"/>
      <c r="G878" s="39"/>
      <c r="H878" s="109"/>
    </row>
    <row r="879" spans="1:8" s="15" customFormat="1" ht="108" customHeight="1" x14ac:dyDescent="0.4">
      <c r="A879" s="18">
        <v>5</v>
      </c>
      <c r="B879" s="19" t="s">
        <v>490</v>
      </c>
      <c r="C879" s="6" t="s">
        <v>1</v>
      </c>
      <c r="D879" s="8">
        <v>10.73</v>
      </c>
      <c r="E879" s="8">
        <v>1.7</v>
      </c>
      <c r="F879" s="8"/>
      <c r="G879" s="7">
        <v>1</v>
      </c>
      <c r="H879" s="116">
        <f>D879*E879*G879</f>
        <v>18.241</v>
      </c>
    </row>
    <row r="880" spans="1:8" s="15" customFormat="1" x14ac:dyDescent="0.4">
      <c r="A880" s="16"/>
      <c r="B880" s="14"/>
      <c r="C880" s="6"/>
      <c r="D880" s="38"/>
      <c r="E880" s="38"/>
      <c r="F880" s="38"/>
      <c r="G880" s="39"/>
      <c r="H880" s="109"/>
    </row>
    <row r="881" spans="1:8" s="15" customFormat="1" ht="27.6" x14ac:dyDescent="0.4">
      <c r="A881" s="18">
        <v>6</v>
      </c>
      <c r="B881" s="11" t="s">
        <v>221</v>
      </c>
      <c r="C881" s="6" t="s">
        <v>1</v>
      </c>
      <c r="D881" s="38"/>
      <c r="E881" s="38"/>
      <c r="F881" s="38"/>
      <c r="G881" s="39"/>
      <c r="H881" s="116">
        <f>H1121+H846-H893+H879</f>
        <v>1104.1769999999999</v>
      </c>
    </row>
    <row r="882" spans="1:8" s="15" customFormat="1" x14ac:dyDescent="0.4">
      <c r="A882" s="7"/>
      <c r="B882" s="14"/>
      <c r="C882" s="7"/>
      <c r="D882" s="8"/>
      <c r="E882" s="8"/>
      <c r="F882" s="8"/>
      <c r="G882" s="9"/>
      <c r="H882" s="45"/>
    </row>
    <row r="883" spans="1:8" s="20" customFormat="1" ht="27.6" x14ac:dyDescent="0.4">
      <c r="A883" s="18">
        <v>7</v>
      </c>
      <c r="B883" s="11" t="s">
        <v>466</v>
      </c>
      <c r="C883" s="7" t="s">
        <v>5</v>
      </c>
      <c r="D883" s="8"/>
      <c r="E883" s="8"/>
      <c r="F883" s="8"/>
      <c r="G883" s="7"/>
      <c r="H883" s="116">
        <f>H863</f>
        <v>476.9</v>
      </c>
    </row>
    <row r="884" spans="1:8" s="15" customFormat="1" x14ac:dyDescent="0.4">
      <c r="A884" s="7"/>
      <c r="B884" s="14"/>
      <c r="C884" s="7"/>
      <c r="D884" s="8"/>
      <c r="E884" s="8"/>
      <c r="F884" s="8"/>
      <c r="G884" s="9"/>
      <c r="H884" s="45"/>
    </row>
    <row r="885" spans="1:8" s="15" customFormat="1" x14ac:dyDescent="0.4">
      <c r="A885" s="501">
        <v>8</v>
      </c>
      <c r="B885" s="19" t="s">
        <v>213</v>
      </c>
      <c r="C885" s="502" t="s">
        <v>1</v>
      </c>
      <c r="D885" s="25"/>
      <c r="E885" s="25"/>
      <c r="F885" s="25"/>
      <c r="G885" s="25"/>
      <c r="H885" s="25"/>
    </row>
    <row r="886" spans="1:8" s="15" customFormat="1" x14ac:dyDescent="0.4">
      <c r="A886" s="501"/>
      <c r="B886" s="14" t="s">
        <v>21</v>
      </c>
      <c r="C886" s="502"/>
      <c r="D886" s="8">
        <v>10.199999999999999</v>
      </c>
      <c r="E886" s="8"/>
      <c r="F886" s="8">
        <v>1.35</v>
      </c>
      <c r="G886" s="9">
        <v>1</v>
      </c>
      <c r="H886" s="13">
        <f>D886*F886*G886</f>
        <v>13.77</v>
      </c>
    </row>
    <row r="887" spans="1:8" s="15" customFormat="1" x14ac:dyDescent="0.4">
      <c r="A887" s="501"/>
      <c r="B887" s="14" t="s">
        <v>260</v>
      </c>
      <c r="C887" s="502"/>
      <c r="D887" s="8">
        <v>10.199999999999999</v>
      </c>
      <c r="E887" s="8"/>
      <c r="F887" s="8">
        <v>1.35</v>
      </c>
      <c r="G887" s="9">
        <v>1</v>
      </c>
      <c r="H887" s="13">
        <f>D887*F887*G887</f>
        <v>13.77</v>
      </c>
    </row>
    <row r="888" spans="1:8" s="15" customFormat="1" x14ac:dyDescent="0.4">
      <c r="A888" s="501"/>
      <c r="B888" s="14"/>
      <c r="C888" s="502"/>
      <c r="D888" s="8"/>
      <c r="E888" s="8">
        <v>1.35</v>
      </c>
      <c r="F888" s="8">
        <v>3.9</v>
      </c>
      <c r="G888" s="9">
        <v>2</v>
      </c>
      <c r="H888" s="13">
        <f>E888*F888*G888</f>
        <v>10.530000000000001</v>
      </c>
    </row>
    <row r="889" spans="1:8" s="15" customFormat="1" x14ac:dyDescent="0.4">
      <c r="A889" s="501"/>
      <c r="B889" s="14"/>
      <c r="C889" s="502"/>
      <c r="D889" s="8">
        <f>(1.65+0.85)/2</f>
        <v>1.25</v>
      </c>
      <c r="E889" s="8"/>
      <c r="F889" s="8">
        <v>3.9</v>
      </c>
      <c r="G889" s="9">
        <v>1</v>
      </c>
      <c r="H889" s="13">
        <f>D889*F889*G889</f>
        <v>4.875</v>
      </c>
    </row>
    <row r="890" spans="1:8" s="15" customFormat="1" x14ac:dyDescent="0.4">
      <c r="A890" s="501"/>
      <c r="B890" s="14"/>
      <c r="C890" s="502"/>
      <c r="D890" s="8">
        <v>10.3</v>
      </c>
      <c r="E890" s="8"/>
      <c r="F890" s="8">
        <v>1.35</v>
      </c>
      <c r="G890" s="9">
        <v>1</v>
      </c>
      <c r="H890" s="13">
        <f>D890*F890*G890</f>
        <v>13.905000000000001</v>
      </c>
    </row>
    <row r="891" spans="1:8" s="15" customFormat="1" x14ac:dyDescent="0.4">
      <c r="A891" s="501"/>
      <c r="B891" s="25"/>
      <c r="C891" s="502"/>
      <c r="D891" s="8">
        <v>0.5</v>
      </c>
      <c r="E891" s="8"/>
      <c r="F891" s="8">
        <v>1.35</v>
      </c>
      <c r="G891" s="9">
        <v>2</v>
      </c>
      <c r="H891" s="13">
        <f>D891*F891*G891</f>
        <v>1.35</v>
      </c>
    </row>
    <row r="892" spans="1:8" s="15" customFormat="1" x14ac:dyDescent="0.4">
      <c r="A892" s="501"/>
      <c r="B892" s="14" t="s">
        <v>19</v>
      </c>
      <c r="C892" s="502"/>
      <c r="D892" s="8">
        <v>3.6</v>
      </c>
      <c r="E892" s="8"/>
      <c r="F892" s="8">
        <v>0.6</v>
      </c>
      <c r="G892" s="9">
        <v>9</v>
      </c>
      <c r="H892" s="13">
        <f>D892*F892*G892</f>
        <v>19.440000000000001</v>
      </c>
    </row>
    <row r="893" spans="1:8" s="20" customFormat="1" x14ac:dyDescent="0.4">
      <c r="A893" s="501"/>
      <c r="B893" s="14"/>
      <c r="C893" s="502"/>
      <c r="D893" s="8"/>
      <c r="E893" s="8"/>
      <c r="F893" s="8"/>
      <c r="G893" s="26" t="s">
        <v>15</v>
      </c>
      <c r="H893" s="10">
        <f>SUM(H885:H892)</f>
        <v>77.64</v>
      </c>
    </row>
    <row r="894" spans="1:8" s="15" customFormat="1" x14ac:dyDescent="0.4">
      <c r="A894" s="7"/>
      <c r="B894" s="14"/>
      <c r="C894" s="7"/>
      <c r="D894" s="8"/>
      <c r="E894" s="8"/>
      <c r="F894" s="8"/>
      <c r="G894" s="9"/>
      <c r="H894" s="45"/>
    </row>
    <row r="895" spans="1:8" s="15" customFormat="1" ht="42.75" customHeight="1" x14ac:dyDescent="0.4">
      <c r="A895" s="501">
        <v>9</v>
      </c>
      <c r="B895" s="19" t="s">
        <v>468</v>
      </c>
      <c r="C895" s="502" t="s">
        <v>1</v>
      </c>
      <c r="D895" s="8"/>
      <c r="E895" s="8"/>
      <c r="F895" s="8"/>
      <c r="G895" s="9"/>
      <c r="H895" s="10"/>
    </row>
    <row r="896" spans="1:8" s="15" customFormat="1" ht="27.6" x14ac:dyDescent="0.4">
      <c r="A896" s="501"/>
      <c r="B896" s="14" t="s">
        <v>131</v>
      </c>
      <c r="C896" s="502"/>
      <c r="D896" s="8">
        <v>5</v>
      </c>
      <c r="E896" s="8"/>
      <c r="F896" s="8">
        <v>4.05</v>
      </c>
      <c r="G896" s="9">
        <v>1</v>
      </c>
      <c r="H896" s="13">
        <f>D896*F896*G896</f>
        <v>20.25</v>
      </c>
    </row>
    <row r="897" spans="1:8" s="15" customFormat="1" x14ac:dyDescent="0.4">
      <c r="A897" s="501"/>
      <c r="B897" s="14"/>
      <c r="C897" s="502"/>
      <c r="D897" s="8">
        <v>2.5099999999999998</v>
      </c>
      <c r="E897" s="8"/>
      <c r="F897" s="8">
        <v>4.05</v>
      </c>
      <c r="G897" s="9">
        <v>1</v>
      </c>
      <c r="H897" s="13">
        <f t="shared" ref="H897:H902" si="25">D897*F897*G897</f>
        <v>10.165499999999998</v>
      </c>
    </row>
    <row r="898" spans="1:8" s="15" customFormat="1" x14ac:dyDescent="0.4">
      <c r="A898" s="501"/>
      <c r="B898" s="14" t="s">
        <v>132</v>
      </c>
      <c r="C898" s="502"/>
      <c r="D898" s="8">
        <v>3.66</v>
      </c>
      <c r="E898" s="8"/>
      <c r="F898" s="8">
        <v>5.15</v>
      </c>
      <c r="G898" s="9">
        <v>1</v>
      </c>
      <c r="H898" s="13">
        <f t="shared" si="25"/>
        <v>18.849000000000004</v>
      </c>
    </row>
    <row r="899" spans="1:8" s="15" customFormat="1" x14ac:dyDescent="0.4">
      <c r="A899" s="501"/>
      <c r="B899" s="14" t="s">
        <v>469</v>
      </c>
      <c r="C899" s="502"/>
      <c r="D899" s="8">
        <v>10.75</v>
      </c>
      <c r="E899" s="8"/>
      <c r="F899" s="8">
        <v>5.15</v>
      </c>
      <c r="G899" s="9">
        <v>1</v>
      </c>
      <c r="H899" s="13">
        <f t="shared" si="25"/>
        <v>55.362500000000004</v>
      </c>
    </row>
    <row r="900" spans="1:8" s="15" customFormat="1" x14ac:dyDescent="0.4">
      <c r="A900" s="501"/>
      <c r="B900" s="14" t="s">
        <v>133</v>
      </c>
      <c r="C900" s="502"/>
      <c r="D900" s="8">
        <v>1.86</v>
      </c>
      <c r="E900" s="8"/>
      <c r="F900" s="8">
        <v>5.15</v>
      </c>
      <c r="G900" s="9">
        <v>1</v>
      </c>
      <c r="H900" s="13">
        <f t="shared" si="25"/>
        <v>9.5790000000000006</v>
      </c>
    </row>
    <row r="901" spans="1:8" s="15" customFormat="1" x14ac:dyDescent="0.4">
      <c r="A901" s="501"/>
      <c r="B901" s="14" t="s">
        <v>134</v>
      </c>
      <c r="C901" s="502"/>
      <c r="D901" s="8">
        <v>31.82</v>
      </c>
      <c r="E901" s="8"/>
      <c r="F901" s="8">
        <v>5.0999999999999996</v>
      </c>
      <c r="G901" s="9">
        <v>1</v>
      </c>
      <c r="H901" s="13">
        <f t="shared" si="25"/>
        <v>162.28199999999998</v>
      </c>
    </row>
    <row r="902" spans="1:8" s="15" customFormat="1" x14ac:dyDescent="0.4">
      <c r="A902" s="501"/>
      <c r="B902" s="14" t="s">
        <v>136</v>
      </c>
      <c r="C902" s="502"/>
      <c r="D902" s="8">
        <v>16.920000000000002</v>
      </c>
      <c r="E902" s="8"/>
      <c r="F902" s="8">
        <v>5.0999999999999996</v>
      </c>
      <c r="G902" s="9">
        <v>1</v>
      </c>
      <c r="H902" s="13">
        <f t="shared" si="25"/>
        <v>86.292000000000002</v>
      </c>
    </row>
    <row r="903" spans="1:8" s="15" customFormat="1" x14ac:dyDescent="0.4">
      <c r="A903" s="501"/>
      <c r="B903" s="14"/>
      <c r="C903" s="502"/>
      <c r="D903" s="8"/>
      <c r="E903" s="8"/>
      <c r="F903" s="8"/>
      <c r="G903" s="26" t="s">
        <v>15</v>
      </c>
      <c r="H903" s="10">
        <f>SUM(H895:H902)</f>
        <v>362.78</v>
      </c>
    </row>
    <row r="904" spans="1:8" s="15" customFormat="1" x14ac:dyDescent="0.4">
      <c r="A904" s="7"/>
      <c r="B904" s="14"/>
      <c r="C904" s="7"/>
      <c r="D904" s="8"/>
      <c r="E904" s="8"/>
      <c r="F904" s="8"/>
      <c r="G904" s="9"/>
      <c r="H904" s="10"/>
    </row>
    <row r="905" spans="1:8" s="15" customFormat="1" x14ac:dyDescent="0.4">
      <c r="A905" s="501">
        <v>10</v>
      </c>
      <c r="B905" s="19" t="s">
        <v>135</v>
      </c>
      <c r="C905" s="502" t="s">
        <v>1</v>
      </c>
      <c r="D905" s="8"/>
      <c r="E905" s="8"/>
      <c r="F905" s="8"/>
      <c r="G905" s="9"/>
      <c r="H905" s="10"/>
    </row>
    <row r="906" spans="1:8" s="15" customFormat="1" ht="27.6" x14ac:dyDescent="0.4">
      <c r="A906" s="501"/>
      <c r="B906" s="14" t="s">
        <v>470</v>
      </c>
      <c r="C906" s="502"/>
      <c r="D906" s="8">
        <v>3.65</v>
      </c>
      <c r="E906" s="8"/>
      <c r="F906" s="8">
        <v>0.7</v>
      </c>
      <c r="G906" s="9">
        <v>7</v>
      </c>
      <c r="H906" s="13">
        <f>D906*F906*G906</f>
        <v>17.884999999999998</v>
      </c>
    </row>
    <row r="907" spans="1:8" s="15" customFormat="1" x14ac:dyDescent="0.4">
      <c r="A907" s="501"/>
      <c r="B907" s="14" t="s">
        <v>136</v>
      </c>
      <c r="C907" s="502"/>
      <c r="D907" s="8">
        <v>16.920000000000002</v>
      </c>
      <c r="E907" s="8"/>
      <c r="F907" s="8">
        <v>1.96</v>
      </c>
      <c r="G907" s="9">
        <v>1</v>
      </c>
      <c r="H907" s="13">
        <f>D907*F907*G907</f>
        <v>33.163200000000003</v>
      </c>
    </row>
    <row r="908" spans="1:8" s="15" customFormat="1" x14ac:dyDescent="0.4">
      <c r="A908" s="501"/>
      <c r="B908" s="14" t="s">
        <v>134</v>
      </c>
      <c r="C908" s="502"/>
      <c r="D908" s="8">
        <v>31.82</v>
      </c>
      <c r="E908" s="8"/>
      <c r="F908" s="8">
        <v>1.96</v>
      </c>
      <c r="G908" s="9">
        <v>1</v>
      </c>
      <c r="H908" s="13">
        <f>D908*F908*G908</f>
        <v>62.367199999999997</v>
      </c>
    </row>
    <row r="909" spans="1:8" s="15" customFormat="1" x14ac:dyDescent="0.4">
      <c r="A909" s="501"/>
      <c r="B909" s="55"/>
      <c r="C909" s="502"/>
      <c r="D909" s="112"/>
      <c r="E909" s="112"/>
      <c r="F909" s="112"/>
      <c r="G909" s="26" t="s">
        <v>15</v>
      </c>
      <c r="H909" s="10">
        <f>SUM(H906:H908)</f>
        <v>113.41540000000001</v>
      </c>
    </row>
    <row r="910" spans="1:8" s="15" customFormat="1" x14ac:dyDescent="0.4">
      <c r="A910" s="110"/>
      <c r="B910" s="55"/>
      <c r="C910" s="110"/>
      <c r="D910" s="112"/>
      <c r="E910" s="112"/>
      <c r="F910" s="112"/>
      <c r="G910" s="57"/>
      <c r="H910" s="58"/>
    </row>
    <row r="911" spans="1:8" s="15" customFormat="1" ht="41.4" x14ac:dyDescent="0.4">
      <c r="A911" s="501">
        <v>11</v>
      </c>
      <c r="B911" s="19" t="s">
        <v>210</v>
      </c>
      <c r="C911" s="502" t="s">
        <v>1</v>
      </c>
      <c r="D911" s="8"/>
      <c r="E911" s="8"/>
      <c r="F911" s="8"/>
      <c r="G911" s="9"/>
      <c r="H911" s="13"/>
    </row>
    <row r="912" spans="1:8" s="15" customFormat="1" x14ac:dyDescent="0.4">
      <c r="A912" s="501"/>
      <c r="B912" s="14" t="s">
        <v>305</v>
      </c>
      <c r="C912" s="502"/>
      <c r="D912" s="8"/>
      <c r="E912" s="8"/>
      <c r="F912" s="8"/>
      <c r="G912" s="9"/>
      <c r="H912" s="13">
        <v>1.7</v>
      </c>
    </row>
    <row r="913" spans="1:8" s="15" customFormat="1" x14ac:dyDescent="0.4">
      <c r="A913" s="501"/>
      <c r="B913" s="14"/>
      <c r="C913" s="502"/>
      <c r="D913" s="8"/>
      <c r="E913" s="8"/>
      <c r="F913" s="8"/>
      <c r="G913" s="9"/>
      <c r="H913" s="13">
        <v>2.48</v>
      </c>
    </row>
    <row r="914" spans="1:8" s="15" customFormat="1" x14ac:dyDescent="0.4">
      <c r="A914" s="501"/>
      <c r="B914" s="14"/>
      <c r="C914" s="502"/>
      <c r="D914" s="8"/>
      <c r="E914" s="8"/>
      <c r="F914" s="8"/>
      <c r="G914" s="9"/>
      <c r="H914" s="13">
        <v>0.5</v>
      </c>
    </row>
    <row r="915" spans="1:8" s="15" customFormat="1" x14ac:dyDescent="0.4">
      <c r="A915" s="501"/>
      <c r="B915" s="14"/>
      <c r="C915" s="502"/>
      <c r="D915" s="8"/>
      <c r="E915" s="8"/>
      <c r="F915" s="8"/>
      <c r="G915" s="9"/>
      <c r="H915" s="13">
        <v>2.86</v>
      </c>
    </row>
    <row r="916" spans="1:8" s="15" customFormat="1" x14ac:dyDescent="0.4">
      <c r="A916" s="501"/>
      <c r="B916" s="14"/>
      <c r="C916" s="502"/>
      <c r="D916" s="8"/>
      <c r="E916" s="8"/>
      <c r="F916" s="8"/>
      <c r="G916" s="9"/>
      <c r="H916" s="13">
        <v>1.46</v>
      </c>
    </row>
    <row r="917" spans="1:8" s="15" customFormat="1" x14ac:dyDescent="0.4">
      <c r="A917" s="501"/>
      <c r="B917" s="14"/>
      <c r="C917" s="502"/>
      <c r="D917" s="8"/>
      <c r="E917" s="8"/>
      <c r="F917" s="8"/>
      <c r="G917" s="9"/>
      <c r="H917" s="13">
        <v>7.12</v>
      </c>
    </row>
    <row r="918" spans="1:8" s="15" customFormat="1" x14ac:dyDescent="0.4">
      <c r="A918" s="501"/>
      <c r="B918" s="14"/>
      <c r="C918" s="502"/>
      <c r="D918" s="8"/>
      <c r="E918" s="8"/>
      <c r="F918" s="8"/>
      <c r="G918" s="9"/>
      <c r="H918" s="13">
        <v>7.37</v>
      </c>
    </row>
    <row r="919" spans="1:8" s="15" customFormat="1" x14ac:dyDescent="0.4">
      <c r="A919" s="501"/>
      <c r="B919" s="14"/>
      <c r="C919" s="502"/>
      <c r="D919" s="8"/>
      <c r="E919" s="8"/>
      <c r="F919" s="8"/>
      <c r="G919" s="9"/>
      <c r="H919" s="13">
        <v>5.65</v>
      </c>
    </row>
    <row r="920" spans="1:8" s="15" customFormat="1" x14ac:dyDescent="0.4">
      <c r="A920" s="501"/>
      <c r="B920" s="14"/>
      <c r="C920" s="502"/>
      <c r="D920" s="8"/>
      <c r="E920" s="8"/>
      <c r="F920" s="8"/>
      <c r="G920" s="9"/>
      <c r="H920" s="13">
        <v>0.99</v>
      </c>
    </row>
    <row r="921" spans="1:8" s="15" customFormat="1" x14ac:dyDescent="0.4">
      <c r="A921" s="501"/>
      <c r="B921" s="14" t="s">
        <v>306</v>
      </c>
      <c r="C921" s="502"/>
      <c r="D921" s="8"/>
      <c r="E921" s="8"/>
      <c r="F921" s="8"/>
      <c r="G921" s="9"/>
      <c r="H921" s="13">
        <v>14.6</v>
      </c>
    </row>
    <row r="922" spans="1:8" s="15" customFormat="1" x14ac:dyDescent="0.4">
      <c r="A922" s="501"/>
      <c r="B922" s="55"/>
      <c r="C922" s="502"/>
      <c r="D922" s="8">
        <v>28.66</v>
      </c>
      <c r="E922" s="8"/>
      <c r="F922" s="8">
        <v>0.35</v>
      </c>
      <c r="G922" s="9">
        <v>2</v>
      </c>
      <c r="H922" s="13">
        <f>D922*F922*G922</f>
        <v>20.061999999999998</v>
      </c>
    </row>
    <row r="923" spans="1:8" s="15" customFormat="1" x14ac:dyDescent="0.4">
      <c r="A923" s="501"/>
      <c r="B923" s="55"/>
      <c r="C923" s="502"/>
      <c r="D923" s="8"/>
      <c r="E923" s="8"/>
      <c r="F923" s="8"/>
      <c r="G923" s="9"/>
      <c r="H923" s="13">
        <v>9.1300000000000008</v>
      </c>
    </row>
    <row r="924" spans="1:8" s="15" customFormat="1" x14ac:dyDescent="0.4">
      <c r="A924" s="501"/>
      <c r="B924" s="55"/>
      <c r="C924" s="502"/>
      <c r="D924" s="8">
        <v>8.49</v>
      </c>
      <c r="E924" s="8"/>
      <c r="F924" s="8">
        <v>0.35</v>
      </c>
      <c r="G924" s="9">
        <v>1</v>
      </c>
      <c r="H924" s="13">
        <f>D924*F924*G924</f>
        <v>2.9714999999999998</v>
      </c>
    </row>
    <row r="925" spans="1:8" s="15" customFormat="1" x14ac:dyDescent="0.4">
      <c r="A925" s="501"/>
      <c r="B925" s="55"/>
      <c r="C925" s="502"/>
      <c r="D925" s="8"/>
      <c r="E925" s="8"/>
      <c r="F925" s="8"/>
      <c r="G925" s="9"/>
      <c r="H925" s="13">
        <v>13.96</v>
      </c>
    </row>
    <row r="926" spans="1:8" s="15" customFormat="1" x14ac:dyDescent="0.4">
      <c r="A926" s="501"/>
      <c r="B926" s="14" t="s">
        <v>211</v>
      </c>
      <c r="C926" s="502"/>
      <c r="D926" s="8"/>
      <c r="E926" s="8"/>
      <c r="F926" s="8"/>
      <c r="G926" s="9"/>
      <c r="H926" s="13">
        <v>31.5</v>
      </c>
    </row>
    <row r="927" spans="1:8" s="15" customFormat="1" x14ac:dyDescent="0.4">
      <c r="A927" s="501"/>
      <c r="B927" s="14"/>
      <c r="C927" s="502"/>
      <c r="D927" s="8"/>
      <c r="E927" s="8"/>
      <c r="F927" s="8"/>
      <c r="G927" s="9"/>
      <c r="H927" s="13">
        <v>29.6</v>
      </c>
    </row>
    <row r="928" spans="1:8" s="15" customFormat="1" x14ac:dyDescent="0.4">
      <c r="A928" s="501"/>
      <c r="B928" s="14"/>
      <c r="C928" s="502"/>
      <c r="D928" s="8"/>
      <c r="E928" s="8"/>
      <c r="F928" s="8"/>
      <c r="G928" s="9"/>
      <c r="H928" s="13">
        <v>5.58</v>
      </c>
    </row>
    <row r="929" spans="1:8" s="15" customFormat="1" x14ac:dyDescent="0.4">
      <c r="A929" s="501"/>
      <c r="B929" s="14"/>
      <c r="C929" s="502"/>
      <c r="D929" s="8"/>
      <c r="E929" s="8"/>
      <c r="F929" s="8"/>
      <c r="G929" s="9"/>
      <c r="H929" s="13">
        <v>5.07</v>
      </c>
    </row>
    <row r="930" spans="1:8" s="15" customFormat="1" x14ac:dyDescent="0.4">
      <c r="A930" s="501"/>
      <c r="B930" s="14" t="s">
        <v>307</v>
      </c>
      <c r="C930" s="502"/>
      <c r="D930" s="8">
        <v>33.86</v>
      </c>
      <c r="E930" s="8"/>
      <c r="F930" s="8">
        <v>0.35</v>
      </c>
      <c r="G930" s="9">
        <v>1</v>
      </c>
      <c r="H930" s="13">
        <f>D930*F930*G930</f>
        <v>11.850999999999999</v>
      </c>
    </row>
    <row r="931" spans="1:8" s="15" customFormat="1" x14ac:dyDescent="0.4">
      <c r="A931" s="501"/>
      <c r="B931" s="14" t="s">
        <v>20</v>
      </c>
      <c r="C931" s="502"/>
      <c r="D931" s="8"/>
      <c r="E931" s="8"/>
      <c r="F931" s="8"/>
      <c r="G931" s="9"/>
      <c r="H931" s="13">
        <v>2</v>
      </c>
    </row>
    <row r="932" spans="1:8" s="15" customFormat="1" x14ac:dyDescent="0.4">
      <c r="A932" s="501"/>
      <c r="B932" s="14"/>
      <c r="C932" s="502"/>
      <c r="D932" s="8"/>
      <c r="E932" s="8"/>
      <c r="F932" s="8"/>
      <c r="G932" s="9"/>
      <c r="H932" s="13">
        <v>4.59</v>
      </c>
    </row>
    <row r="933" spans="1:8" s="15" customFormat="1" x14ac:dyDescent="0.4">
      <c r="A933" s="501"/>
      <c r="B933" s="14"/>
      <c r="C933" s="502"/>
      <c r="D933" s="8"/>
      <c r="E933" s="8"/>
      <c r="F933" s="8"/>
      <c r="G933" s="9"/>
      <c r="H933" s="13">
        <v>15.8</v>
      </c>
    </row>
    <row r="934" spans="1:8" s="15" customFormat="1" x14ac:dyDescent="0.4">
      <c r="A934" s="501"/>
      <c r="B934" s="14"/>
      <c r="C934" s="502"/>
      <c r="D934" s="8"/>
      <c r="E934" s="8"/>
      <c r="F934" s="8"/>
      <c r="G934" s="9"/>
      <c r="H934" s="13">
        <v>16.600000000000001</v>
      </c>
    </row>
    <row r="935" spans="1:8" s="15" customFormat="1" x14ac:dyDescent="0.4">
      <c r="A935" s="501"/>
      <c r="B935" s="14"/>
      <c r="C935" s="502"/>
      <c r="D935" s="8"/>
      <c r="E935" s="8"/>
      <c r="F935" s="8"/>
      <c r="G935" s="9"/>
      <c r="H935" s="13">
        <v>16.489999999999998</v>
      </c>
    </row>
    <row r="936" spans="1:8" s="15" customFormat="1" x14ac:dyDescent="0.4">
      <c r="A936" s="501"/>
      <c r="B936" s="14"/>
      <c r="C936" s="502"/>
      <c r="D936" s="8"/>
      <c r="E936" s="8"/>
      <c r="F936" s="8"/>
      <c r="G936" s="9"/>
      <c r="H936" s="13">
        <v>15.7</v>
      </c>
    </row>
    <row r="937" spans="1:8" s="15" customFormat="1" x14ac:dyDescent="0.4">
      <c r="A937" s="501"/>
      <c r="B937" s="14"/>
      <c r="C937" s="502"/>
      <c r="D937" s="8"/>
      <c r="E937" s="8"/>
      <c r="F937" s="8"/>
      <c r="G937" s="9"/>
      <c r="H937" s="13">
        <v>2.5499999999999998</v>
      </c>
    </row>
    <row r="938" spans="1:8" s="15" customFormat="1" x14ac:dyDescent="0.4">
      <c r="A938" s="501"/>
      <c r="B938" s="14"/>
      <c r="C938" s="502"/>
      <c r="D938" s="8"/>
      <c r="E938" s="8"/>
      <c r="F938" s="8"/>
      <c r="G938" s="9"/>
      <c r="H938" s="13">
        <v>1.44</v>
      </c>
    </row>
    <row r="939" spans="1:8" s="15" customFormat="1" x14ac:dyDescent="0.4">
      <c r="A939" s="501"/>
      <c r="B939" s="14"/>
      <c r="C939" s="502"/>
      <c r="D939" s="8"/>
      <c r="E939" s="8"/>
      <c r="F939" s="8"/>
      <c r="G939" s="9"/>
      <c r="H939" s="13">
        <v>0.99</v>
      </c>
    </row>
    <row r="940" spans="1:8" s="15" customFormat="1" x14ac:dyDescent="0.4">
      <c r="A940" s="501"/>
      <c r="B940" s="14" t="s">
        <v>231</v>
      </c>
      <c r="C940" s="502"/>
      <c r="D940" s="8"/>
      <c r="E940" s="8"/>
      <c r="F940" s="8"/>
      <c r="G940" s="9"/>
      <c r="H940" s="13">
        <v>21.98</v>
      </c>
    </row>
    <row r="941" spans="1:8" s="15" customFormat="1" x14ac:dyDescent="0.4">
      <c r="A941" s="501"/>
      <c r="B941" s="14"/>
      <c r="C941" s="502"/>
      <c r="D941" s="8">
        <v>29.26</v>
      </c>
      <c r="E941" s="8"/>
      <c r="F941" s="8">
        <v>0.35</v>
      </c>
      <c r="G941" s="9">
        <v>1</v>
      </c>
      <c r="H941" s="13">
        <f>D941*F941*G941</f>
        <v>10.241</v>
      </c>
    </row>
    <row r="942" spans="1:8" s="15" customFormat="1" x14ac:dyDescent="0.4">
      <c r="A942" s="501"/>
      <c r="B942" s="14" t="s">
        <v>18</v>
      </c>
      <c r="C942" s="502"/>
      <c r="D942" s="8"/>
      <c r="E942" s="8"/>
      <c r="F942" s="8"/>
      <c r="G942" s="9"/>
      <c r="H942" s="13">
        <v>1.43</v>
      </c>
    </row>
    <row r="943" spans="1:8" s="15" customFormat="1" x14ac:dyDescent="0.4">
      <c r="A943" s="501"/>
      <c r="B943" s="14"/>
      <c r="C943" s="502"/>
      <c r="D943" s="8"/>
      <c r="E943" s="8"/>
      <c r="F943" s="8"/>
      <c r="G943" s="9"/>
      <c r="H943" s="13">
        <v>0.63</v>
      </c>
    </row>
    <row r="944" spans="1:8" s="15" customFormat="1" x14ac:dyDescent="0.4">
      <c r="A944" s="501"/>
      <c r="B944" s="14"/>
      <c r="C944" s="502"/>
      <c r="D944" s="8"/>
      <c r="E944" s="8"/>
      <c r="F944" s="8"/>
      <c r="G944" s="9"/>
      <c r="H944" s="13">
        <v>6.6</v>
      </c>
    </row>
    <row r="945" spans="1:8" s="15" customFormat="1" x14ac:dyDescent="0.4">
      <c r="A945" s="501"/>
      <c r="B945" s="14"/>
      <c r="C945" s="502"/>
      <c r="D945" s="8"/>
      <c r="E945" s="8"/>
      <c r="F945" s="8"/>
      <c r="G945" s="9"/>
      <c r="H945" s="13">
        <v>5</v>
      </c>
    </row>
    <row r="946" spans="1:8" s="15" customFormat="1" x14ac:dyDescent="0.4">
      <c r="A946" s="501"/>
      <c r="B946" s="16"/>
      <c r="C946" s="502"/>
      <c r="D946" s="8"/>
      <c r="E946" s="8"/>
      <c r="F946" s="8"/>
      <c r="G946" s="9"/>
      <c r="H946" s="13">
        <v>5.39</v>
      </c>
    </row>
    <row r="947" spans="1:8" s="15" customFormat="1" x14ac:dyDescent="0.4">
      <c r="A947" s="501"/>
      <c r="B947" s="14"/>
      <c r="C947" s="502"/>
      <c r="D947" s="8"/>
      <c r="E947" s="8"/>
      <c r="F947" s="8"/>
      <c r="G947" s="9"/>
      <c r="H947" s="13">
        <v>1.6</v>
      </c>
    </row>
    <row r="948" spans="1:8" s="15" customFormat="1" x14ac:dyDescent="0.4">
      <c r="A948" s="501"/>
      <c r="B948" s="14"/>
      <c r="C948" s="502"/>
      <c r="D948" s="8"/>
      <c r="E948" s="8"/>
      <c r="F948" s="8"/>
      <c r="G948" s="9"/>
      <c r="H948" s="13">
        <v>0.84</v>
      </c>
    </row>
    <row r="949" spans="1:8" s="15" customFormat="1" x14ac:dyDescent="0.4">
      <c r="A949" s="501"/>
      <c r="B949" s="14" t="s">
        <v>308</v>
      </c>
      <c r="C949" s="502"/>
      <c r="D949" s="8">
        <v>9.1300000000000008</v>
      </c>
      <c r="E949" s="8"/>
      <c r="F949" s="8">
        <v>0.35</v>
      </c>
      <c r="G949" s="9">
        <v>1</v>
      </c>
      <c r="H949" s="13">
        <f>D949*F949*G949</f>
        <v>3.1955</v>
      </c>
    </row>
    <row r="950" spans="1:8" s="15" customFormat="1" x14ac:dyDescent="0.4">
      <c r="A950" s="501"/>
      <c r="B950" s="14"/>
      <c r="C950" s="502"/>
      <c r="D950" s="8">
        <v>33.86</v>
      </c>
      <c r="E950" s="8"/>
      <c r="F950" s="8">
        <v>0.35</v>
      </c>
      <c r="G950" s="9">
        <v>1</v>
      </c>
      <c r="H950" s="13">
        <f>D950*F950*G950</f>
        <v>11.850999999999999</v>
      </c>
    </row>
    <row r="951" spans="1:8" s="15" customFormat="1" x14ac:dyDescent="0.4">
      <c r="A951" s="501"/>
      <c r="B951" s="14" t="s">
        <v>19</v>
      </c>
      <c r="C951" s="502"/>
      <c r="D951" s="8"/>
      <c r="E951" s="8"/>
      <c r="F951" s="8"/>
      <c r="G951" s="9"/>
      <c r="H951" s="13">
        <v>2.38</v>
      </c>
    </row>
    <row r="952" spans="1:8" s="15" customFormat="1" x14ac:dyDescent="0.4">
      <c r="A952" s="501"/>
      <c r="B952" s="14"/>
      <c r="C952" s="502"/>
      <c r="D952" s="8"/>
      <c r="E952" s="8"/>
      <c r="F952" s="8"/>
      <c r="G952" s="9"/>
      <c r="H952" s="13">
        <v>4.45</v>
      </c>
    </row>
    <row r="953" spans="1:8" s="15" customFormat="1" x14ac:dyDescent="0.4">
      <c r="A953" s="501"/>
      <c r="B953" s="14"/>
      <c r="C953" s="502"/>
      <c r="D953" s="8"/>
      <c r="E953" s="8"/>
      <c r="F953" s="8"/>
      <c r="G953" s="9"/>
      <c r="H953" s="13">
        <v>15.9</v>
      </c>
    </row>
    <row r="954" spans="1:8" s="15" customFormat="1" x14ac:dyDescent="0.4">
      <c r="A954" s="501"/>
      <c r="B954" s="14"/>
      <c r="C954" s="502"/>
      <c r="D954" s="8"/>
      <c r="E954" s="8"/>
      <c r="F954" s="8"/>
      <c r="G954" s="9"/>
      <c r="H954" s="13">
        <v>16.690000000000001</v>
      </c>
    </row>
    <row r="955" spans="1:8" s="15" customFormat="1" x14ac:dyDescent="0.4">
      <c r="A955" s="501"/>
      <c r="B955" s="14"/>
      <c r="C955" s="502"/>
      <c r="D955" s="8"/>
      <c r="E955" s="8"/>
      <c r="F955" s="8"/>
      <c r="G955" s="9"/>
      <c r="H955" s="13">
        <v>4.68</v>
      </c>
    </row>
    <row r="956" spans="1:8" s="15" customFormat="1" x14ac:dyDescent="0.4">
      <c r="A956" s="501"/>
      <c r="B956" s="14"/>
      <c r="C956" s="502"/>
      <c r="D956" s="8"/>
      <c r="E956" s="8"/>
      <c r="F956" s="8"/>
      <c r="G956" s="9"/>
      <c r="H956" s="13">
        <v>5.95</v>
      </c>
    </row>
    <row r="957" spans="1:8" s="15" customFormat="1" x14ac:dyDescent="0.4">
      <c r="A957" s="501"/>
      <c r="B957" s="14"/>
      <c r="C957" s="502"/>
      <c r="D957" s="8"/>
      <c r="E957" s="8"/>
      <c r="F957" s="8"/>
      <c r="G957" s="9"/>
      <c r="H957" s="13">
        <v>17.77</v>
      </c>
    </row>
    <row r="958" spans="1:8" s="15" customFormat="1" x14ac:dyDescent="0.4">
      <c r="A958" s="501"/>
      <c r="B958" s="14"/>
      <c r="C958" s="502"/>
      <c r="D958" s="8"/>
      <c r="E958" s="8"/>
      <c r="F958" s="8"/>
      <c r="G958" s="9"/>
      <c r="H958" s="13">
        <v>15.62</v>
      </c>
    </row>
    <row r="959" spans="1:8" s="15" customFormat="1" x14ac:dyDescent="0.4">
      <c r="A959" s="501"/>
      <c r="B959" s="14" t="s">
        <v>230</v>
      </c>
      <c r="C959" s="502"/>
      <c r="D959" s="8"/>
      <c r="E959" s="8"/>
      <c r="F959" s="8"/>
      <c r="G959" s="9"/>
      <c r="H959" s="13">
        <v>34.1</v>
      </c>
    </row>
    <row r="960" spans="1:8" s="15" customFormat="1" x14ac:dyDescent="0.4">
      <c r="A960" s="501"/>
      <c r="B960" s="55"/>
      <c r="C960" s="502"/>
      <c r="D960" s="8">
        <v>20.21</v>
      </c>
      <c r="E960" s="8"/>
      <c r="F960" s="8">
        <v>0.35</v>
      </c>
      <c r="G960" s="9">
        <v>1</v>
      </c>
      <c r="H960" s="13">
        <f>D960*F960*G960</f>
        <v>7.0735000000000001</v>
      </c>
    </row>
    <row r="961" spans="1:8" s="15" customFormat="1" x14ac:dyDescent="0.4">
      <c r="A961" s="501"/>
      <c r="B961" s="14"/>
      <c r="C961" s="502"/>
      <c r="D961" s="8"/>
      <c r="E961" s="8"/>
      <c r="F961" s="8"/>
      <c r="G961" s="26" t="s">
        <v>15</v>
      </c>
      <c r="H961" s="10">
        <f>SUM(H911:H960)</f>
        <v>443.9855</v>
      </c>
    </row>
    <row r="962" spans="1:8" s="15" customFormat="1" x14ac:dyDescent="0.4">
      <c r="A962" s="7"/>
      <c r="B962" s="14"/>
      <c r="C962" s="7"/>
      <c r="D962" s="8"/>
      <c r="E962" s="8"/>
      <c r="F962" s="8"/>
      <c r="G962" s="9"/>
      <c r="H962" s="10"/>
    </row>
    <row r="963" spans="1:8" s="15" customFormat="1" ht="41.4" x14ac:dyDescent="0.4">
      <c r="A963" s="18">
        <v>12</v>
      </c>
      <c r="B963" s="19" t="s">
        <v>220</v>
      </c>
      <c r="C963" s="6" t="s">
        <v>5</v>
      </c>
      <c r="D963" s="38">
        <v>0.9</v>
      </c>
      <c r="E963" s="38"/>
      <c r="F963" s="38"/>
      <c r="G963" s="39">
        <v>3</v>
      </c>
      <c r="H963" s="46">
        <f>D963*G963</f>
        <v>2.7</v>
      </c>
    </row>
    <row r="964" spans="1:8" s="15" customFormat="1" x14ac:dyDescent="0.4">
      <c r="A964" s="18"/>
      <c r="B964" s="14"/>
      <c r="C964" s="6"/>
      <c r="D964" s="38"/>
      <c r="E964" s="38"/>
      <c r="F964" s="38"/>
      <c r="G964" s="39"/>
      <c r="H964" s="109"/>
    </row>
    <row r="965" spans="1:8" s="15" customFormat="1" ht="27.6" x14ac:dyDescent="0.4">
      <c r="A965" s="18">
        <v>13</v>
      </c>
      <c r="B965" s="19" t="s">
        <v>218</v>
      </c>
      <c r="C965" s="6" t="s">
        <v>5</v>
      </c>
      <c r="D965" s="38">
        <f>3.4+1.2+3.8</f>
        <v>8.3999999999999986</v>
      </c>
      <c r="E965" s="38"/>
      <c r="F965" s="38"/>
      <c r="G965" s="39">
        <v>2</v>
      </c>
      <c r="H965" s="46">
        <f>D965*G965</f>
        <v>16.799999999999997</v>
      </c>
    </row>
    <row r="966" spans="1:8" s="15" customFormat="1" x14ac:dyDescent="0.4">
      <c r="A966" s="18"/>
      <c r="B966" s="14"/>
      <c r="C966" s="6"/>
      <c r="D966" s="38"/>
      <c r="E966" s="38"/>
      <c r="F966" s="38"/>
      <c r="G966" s="39"/>
      <c r="H966" s="109"/>
    </row>
    <row r="967" spans="1:8" s="15" customFormat="1" ht="27.6" x14ac:dyDescent="0.4">
      <c r="A967" s="18">
        <v>14</v>
      </c>
      <c r="B967" s="19" t="s">
        <v>472</v>
      </c>
      <c r="C967" s="6" t="s">
        <v>5</v>
      </c>
      <c r="D967" s="8"/>
      <c r="E967" s="8"/>
      <c r="F967" s="8"/>
      <c r="G967" s="7"/>
      <c r="H967" s="116">
        <v>12.2</v>
      </c>
    </row>
    <row r="968" spans="1:8" s="15" customFormat="1" x14ac:dyDescent="0.4">
      <c r="A968" s="18"/>
      <c r="B968" s="14"/>
      <c r="C968" s="6"/>
      <c r="D968" s="38"/>
      <c r="E968" s="38"/>
      <c r="F968" s="38"/>
      <c r="G968" s="39"/>
      <c r="H968" s="109"/>
    </row>
    <row r="969" spans="1:8" s="15" customFormat="1" ht="27.6" x14ac:dyDescent="0.4">
      <c r="A969" s="18">
        <v>15</v>
      </c>
      <c r="B969" s="11" t="s">
        <v>471</v>
      </c>
      <c r="C969" s="6" t="s">
        <v>5</v>
      </c>
      <c r="D969" s="38"/>
      <c r="E969" s="38"/>
      <c r="F969" s="38"/>
      <c r="G969" s="39"/>
      <c r="H969" s="46">
        <v>2.7</v>
      </c>
    </row>
    <row r="970" spans="1:8" s="15" customFormat="1" x14ac:dyDescent="0.4">
      <c r="A970" s="18"/>
      <c r="B970" s="14"/>
      <c r="C970" s="6"/>
      <c r="D970" s="38"/>
      <c r="E970" s="38"/>
      <c r="F970" s="38"/>
      <c r="G970" s="39"/>
      <c r="H970" s="109"/>
    </row>
    <row r="971" spans="1:8" s="15" customFormat="1" ht="27.6" x14ac:dyDescent="0.4">
      <c r="A971" s="18">
        <v>16</v>
      </c>
      <c r="B971" s="19" t="s">
        <v>212</v>
      </c>
      <c r="C971" s="6" t="s">
        <v>4</v>
      </c>
      <c r="D971" s="38"/>
      <c r="E971" s="38"/>
      <c r="F971" s="38"/>
      <c r="G971" s="39"/>
      <c r="H971" s="113">
        <v>2</v>
      </c>
    </row>
    <row r="972" spans="1:8" s="15" customFormat="1" x14ac:dyDescent="0.4">
      <c r="A972" s="18"/>
      <c r="B972" s="14"/>
      <c r="C972" s="6"/>
      <c r="D972" s="38"/>
      <c r="E972" s="38"/>
      <c r="F972" s="38"/>
      <c r="G972" s="39"/>
      <c r="H972" s="109"/>
    </row>
    <row r="973" spans="1:8" s="15" customFormat="1" ht="41.4" x14ac:dyDescent="0.4">
      <c r="A973" s="18">
        <v>17</v>
      </c>
      <c r="B973" s="19" t="s">
        <v>217</v>
      </c>
      <c r="C973" s="6" t="s">
        <v>4</v>
      </c>
      <c r="D973" s="38"/>
      <c r="E973" s="38"/>
      <c r="F973" s="38"/>
      <c r="G973" s="39"/>
      <c r="H973" s="113">
        <v>1</v>
      </c>
    </row>
    <row r="974" spans="1:8" s="15" customFormat="1" x14ac:dyDescent="0.4">
      <c r="A974" s="18"/>
      <c r="B974" s="14"/>
      <c r="C974" s="6"/>
      <c r="D974" s="38"/>
      <c r="E974" s="38"/>
      <c r="F974" s="38"/>
      <c r="G974" s="39"/>
      <c r="H974" s="109"/>
    </row>
    <row r="975" spans="1:8" s="15" customFormat="1" ht="27.6" x14ac:dyDescent="0.4">
      <c r="A975" s="501">
        <v>18</v>
      </c>
      <c r="B975" s="19" t="s">
        <v>259</v>
      </c>
      <c r="C975" s="503" t="s">
        <v>4</v>
      </c>
      <c r="D975" s="38"/>
      <c r="E975" s="38"/>
      <c r="F975" s="38"/>
      <c r="G975" s="39"/>
      <c r="H975" s="113"/>
    </row>
    <row r="976" spans="1:8" s="15" customFormat="1" x14ac:dyDescent="0.4">
      <c r="A976" s="501"/>
      <c r="B976" s="14" t="s">
        <v>20</v>
      </c>
      <c r="C976" s="503"/>
      <c r="D976" s="38"/>
      <c r="E976" s="38"/>
      <c r="F976" s="38"/>
      <c r="G976" s="39"/>
      <c r="H976" s="129">
        <v>7</v>
      </c>
    </row>
    <row r="977" spans="1:9" s="15" customFormat="1" x14ac:dyDescent="0.4">
      <c r="A977" s="501"/>
      <c r="B977" s="14" t="s">
        <v>19</v>
      </c>
      <c r="C977" s="503"/>
      <c r="D977" s="38"/>
      <c r="E977" s="38"/>
      <c r="F977" s="38"/>
      <c r="G977" s="39"/>
      <c r="H977" s="129">
        <v>9</v>
      </c>
    </row>
    <row r="978" spans="1:9" s="15" customFormat="1" x14ac:dyDescent="0.4">
      <c r="A978" s="501"/>
      <c r="B978" s="14" t="s">
        <v>18</v>
      </c>
      <c r="C978" s="503"/>
      <c r="D978" s="38"/>
      <c r="E978" s="38"/>
      <c r="F978" s="38"/>
      <c r="G978" s="39"/>
      <c r="H978" s="129">
        <v>5</v>
      </c>
    </row>
    <row r="979" spans="1:9" s="15" customFormat="1" x14ac:dyDescent="0.4">
      <c r="A979" s="501"/>
      <c r="B979" s="14"/>
      <c r="C979" s="503"/>
      <c r="D979" s="38"/>
      <c r="E979" s="38"/>
      <c r="F979" s="38"/>
      <c r="G979" s="127" t="s">
        <v>15</v>
      </c>
      <c r="H979" s="113">
        <f>SUM(H976:H978)</f>
        <v>21</v>
      </c>
    </row>
    <row r="980" spans="1:9" s="15" customFormat="1" x14ac:dyDescent="0.4">
      <c r="A980" s="16"/>
      <c r="B980" s="14"/>
      <c r="C980" s="6"/>
      <c r="D980" s="38"/>
      <c r="E980" s="38"/>
      <c r="F980" s="38"/>
      <c r="G980" s="39"/>
      <c r="H980" s="129"/>
    </row>
    <row r="981" spans="1:9" s="15" customFormat="1" ht="25" customHeight="1" x14ac:dyDescent="0.4">
      <c r="A981" s="16"/>
      <c r="B981" s="42" t="s">
        <v>222</v>
      </c>
      <c r="C981" s="6"/>
      <c r="D981" s="38"/>
      <c r="E981" s="38"/>
      <c r="F981" s="38"/>
      <c r="G981" s="39"/>
      <c r="H981" s="109"/>
    </row>
    <row r="982" spans="1:9" s="15" customFormat="1" ht="27.6" x14ac:dyDescent="0.4">
      <c r="A982" s="501">
        <v>1</v>
      </c>
      <c r="B982" s="47" t="s">
        <v>232</v>
      </c>
      <c r="C982" s="503" t="s">
        <v>2</v>
      </c>
      <c r="D982" s="8"/>
      <c r="E982" s="8"/>
      <c r="F982" s="8"/>
      <c r="G982" s="7"/>
      <c r="H982" s="114"/>
    </row>
    <row r="983" spans="1:9" s="15" customFormat="1" x14ac:dyDescent="0.4">
      <c r="A983" s="501"/>
      <c r="B983" s="16"/>
      <c r="C983" s="503"/>
      <c r="D983" s="8">
        <v>29.25</v>
      </c>
      <c r="E983" s="8">
        <v>0.25</v>
      </c>
      <c r="F983" s="8">
        <v>0.5</v>
      </c>
      <c r="G983" s="7">
        <v>2</v>
      </c>
      <c r="H983" s="114">
        <f>D983*E983*F983*G983</f>
        <v>7.3125</v>
      </c>
    </row>
    <row r="984" spans="1:9" s="20" customFormat="1" x14ac:dyDescent="0.4">
      <c r="A984" s="501"/>
      <c r="B984" s="47"/>
      <c r="C984" s="503"/>
      <c r="D984" s="8">
        <v>8.49</v>
      </c>
      <c r="E984" s="8">
        <v>0.25</v>
      </c>
      <c r="F984" s="8">
        <v>0.5</v>
      </c>
      <c r="G984" s="7">
        <v>1</v>
      </c>
      <c r="H984" s="114">
        <f t="shared" ref="H984:H992" si="26">D984*E984*F984*G984</f>
        <v>1.06125</v>
      </c>
      <c r="I984" s="15"/>
    </row>
    <row r="985" spans="1:9" s="20" customFormat="1" x14ac:dyDescent="0.4">
      <c r="A985" s="501"/>
      <c r="B985" s="47"/>
      <c r="C985" s="503"/>
      <c r="D985" s="8">
        <v>13.68</v>
      </c>
      <c r="E985" s="8">
        <v>0.25</v>
      </c>
      <c r="F985" s="8">
        <v>0.3</v>
      </c>
      <c r="G985" s="7">
        <v>1</v>
      </c>
      <c r="H985" s="114">
        <f t="shared" si="26"/>
        <v>1.026</v>
      </c>
      <c r="I985" s="15"/>
    </row>
    <row r="986" spans="1:9" s="20" customFormat="1" x14ac:dyDescent="0.4">
      <c r="A986" s="501"/>
      <c r="B986" s="47"/>
      <c r="C986" s="503"/>
      <c r="D986" s="8">
        <v>10.55</v>
      </c>
      <c r="E986" s="8">
        <v>0.25</v>
      </c>
      <c r="F986" s="8">
        <v>0.3</v>
      </c>
      <c r="G986" s="7">
        <v>1</v>
      </c>
      <c r="H986" s="114">
        <f t="shared" si="26"/>
        <v>0.79125000000000001</v>
      </c>
      <c r="I986" s="15"/>
    </row>
    <row r="987" spans="1:9" s="20" customFormat="1" x14ac:dyDescent="0.4">
      <c r="A987" s="501"/>
      <c r="B987" s="47"/>
      <c r="C987" s="503"/>
      <c r="D987" s="8">
        <v>11.8</v>
      </c>
      <c r="E987" s="8">
        <v>0.25</v>
      </c>
      <c r="F987" s="8">
        <v>0.3</v>
      </c>
      <c r="G987" s="7">
        <v>1</v>
      </c>
      <c r="H987" s="114">
        <f t="shared" si="26"/>
        <v>0.88500000000000001</v>
      </c>
      <c r="I987" s="15"/>
    </row>
    <row r="988" spans="1:9" s="20" customFormat="1" x14ac:dyDescent="0.4">
      <c r="A988" s="501"/>
      <c r="B988" s="47"/>
      <c r="C988" s="503"/>
      <c r="D988" s="8">
        <v>10.63</v>
      </c>
      <c r="E988" s="8">
        <v>0.25</v>
      </c>
      <c r="F988" s="8">
        <v>0.3</v>
      </c>
      <c r="G988" s="7">
        <v>1</v>
      </c>
      <c r="H988" s="114">
        <f t="shared" si="26"/>
        <v>0.79725000000000001</v>
      </c>
      <c r="I988" s="15"/>
    </row>
    <row r="989" spans="1:9" s="20" customFormat="1" x14ac:dyDescent="0.4">
      <c r="A989" s="501"/>
      <c r="B989" s="47"/>
      <c r="C989" s="503"/>
      <c r="D989" s="8">
        <v>2.99</v>
      </c>
      <c r="E989" s="8">
        <v>0.25</v>
      </c>
      <c r="F989" s="8">
        <v>0.3</v>
      </c>
      <c r="G989" s="7">
        <v>2</v>
      </c>
      <c r="H989" s="114">
        <f t="shared" si="26"/>
        <v>0.44850000000000001</v>
      </c>
      <c r="I989" s="15"/>
    </row>
    <row r="990" spans="1:9" s="20" customFormat="1" x14ac:dyDescent="0.4">
      <c r="A990" s="501"/>
      <c r="B990" s="47"/>
      <c r="C990" s="503"/>
      <c r="D990" s="8">
        <v>8.17</v>
      </c>
      <c r="E990" s="8">
        <v>0.25</v>
      </c>
      <c r="F990" s="8">
        <v>0.3</v>
      </c>
      <c r="G990" s="7">
        <v>2</v>
      </c>
      <c r="H990" s="114">
        <f t="shared" si="26"/>
        <v>1.2255</v>
      </c>
      <c r="I990" s="15"/>
    </row>
    <row r="991" spans="1:9" s="20" customFormat="1" x14ac:dyDescent="0.4">
      <c r="A991" s="501"/>
      <c r="B991" s="47"/>
      <c r="C991" s="503"/>
      <c r="D991" s="8">
        <v>29.72</v>
      </c>
      <c r="E991" s="8">
        <v>0.25</v>
      </c>
      <c r="F991" s="8">
        <v>0.5</v>
      </c>
      <c r="G991" s="7">
        <v>2</v>
      </c>
      <c r="H991" s="114">
        <f t="shared" si="26"/>
        <v>7.43</v>
      </c>
      <c r="I991" s="15"/>
    </row>
    <row r="992" spans="1:9" s="20" customFormat="1" x14ac:dyDescent="0.4">
      <c r="A992" s="501"/>
      <c r="B992" s="47"/>
      <c r="C992" s="503"/>
      <c r="D992" s="8">
        <v>9.0299999999999994</v>
      </c>
      <c r="E992" s="8">
        <v>0.25</v>
      </c>
      <c r="F992" s="8">
        <v>0.5</v>
      </c>
      <c r="G992" s="7">
        <v>1</v>
      </c>
      <c r="H992" s="114">
        <f t="shared" si="26"/>
        <v>1.1287499999999999</v>
      </c>
    </row>
    <row r="993" spans="1:8" s="20" customFormat="1" x14ac:dyDescent="0.4">
      <c r="A993" s="501"/>
      <c r="B993" s="47"/>
      <c r="C993" s="503"/>
      <c r="D993" s="8"/>
      <c r="E993" s="8"/>
      <c r="F993" s="8"/>
      <c r="G993" s="12" t="s">
        <v>80</v>
      </c>
      <c r="H993" s="116">
        <f>SUM(H982:H992)</f>
        <v>22.105999999999998</v>
      </c>
    </row>
    <row r="994" spans="1:8" s="20" customFormat="1" x14ac:dyDescent="0.4">
      <c r="A994" s="16"/>
      <c r="B994" s="47"/>
      <c r="C994" s="6"/>
      <c r="D994" s="8"/>
      <c r="E994" s="8"/>
      <c r="F994" s="8"/>
      <c r="G994" s="12"/>
      <c r="H994" s="116"/>
    </row>
    <row r="995" spans="1:8" s="20" customFormat="1" x14ac:dyDescent="0.4">
      <c r="A995" s="501">
        <v>2</v>
      </c>
      <c r="B995" s="19" t="s">
        <v>223</v>
      </c>
      <c r="C995" s="503" t="s">
        <v>2</v>
      </c>
      <c r="D995" s="8"/>
      <c r="E995" s="8"/>
      <c r="F995" s="8"/>
      <c r="G995" s="7"/>
      <c r="H995" s="114"/>
    </row>
    <row r="996" spans="1:8" s="15" customFormat="1" x14ac:dyDescent="0.4">
      <c r="A996" s="501"/>
      <c r="B996" s="25"/>
      <c r="C996" s="503"/>
      <c r="D996" s="8">
        <v>28.9</v>
      </c>
      <c r="E996" s="8">
        <v>8.49</v>
      </c>
      <c r="F996" s="8">
        <v>0.15</v>
      </c>
      <c r="G996" s="7">
        <v>1</v>
      </c>
      <c r="H996" s="114">
        <f>D996*E996*F996*G996</f>
        <v>36.80415</v>
      </c>
    </row>
    <row r="997" spans="1:8" s="15" customFormat="1" x14ac:dyDescent="0.4">
      <c r="A997" s="501"/>
      <c r="B997" s="14" t="s">
        <v>233</v>
      </c>
      <c r="C997" s="503"/>
      <c r="D997" s="8">
        <f>(12.98+11.6)/2</f>
        <v>12.29</v>
      </c>
      <c r="E997" s="8">
        <v>10.23</v>
      </c>
      <c r="F997" s="8">
        <v>0.15</v>
      </c>
      <c r="G997" s="7">
        <v>1</v>
      </c>
      <c r="H997" s="114">
        <f>D997*E997*F997*G997</f>
        <v>18.859005</v>
      </c>
    </row>
    <row r="998" spans="1:8" s="15" customFormat="1" x14ac:dyDescent="0.4">
      <c r="A998" s="501"/>
      <c r="B998" s="14" t="s">
        <v>473</v>
      </c>
      <c r="C998" s="503"/>
      <c r="D998" s="8">
        <v>7.6</v>
      </c>
      <c r="E998" s="8">
        <v>3</v>
      </c>
      <c r="F998" s="8">
        <v>0.15</v>
      </c>
      <c r="G998" s="7">
        <v>1</v>
      </c>
      <c r="H998" s="114">
        <f>-D998*E998*F998*G998</f>
        <v>-3.4199999999999995</v>
      </c>
    </row>
    <row r="999" spans="1:8" s="15" customFormat="1" x14ac:dyDescent="0.4">
      <c r="A999" s="501"/>
      <c r="B999" s="19"/>
      <c r="C999" s="503"/>
      <c r="D999" s="38">
        <v>29.26</v>
      </c>
      <c r="E999" s="38">
        <v>8.7899999999999991</v>
      </c>
      <c r="F999" s="38">
        <v>0.15</v>
      </c>
      <c r="G999" s="39">
        <v>1</v>
      </c>
      <c r="H999" s="109">
        <f>D999*E999*F999*G999</f>
        <v>38.57931</v>
      </c>
    </row>
    <row r="1000" spans="1:8" s="15" customFormat="1" x14ac:dyDescent="0.4">
      <c r="A1000" s="501"/>
      <c r="B1000" s="19"/>
      <c r="C1000" s="503"/>
      <c r="D1000" s="38"/>
      <c r="E1000" s="38"/>
      <c r="F1000" s="38"/>
      <c r="G1000" s="12" t="s">
        <v>80</v>
      </c>
      <c r="H1000" s="116">
        <f>SUM(H995:H999)</f>
        <v>90.822464999999994</v>
      </c>
    </row>
    <row r="1001" spans="1:8" s="15" customFormat="1" x14ac:dyDescent="0.4">
      <c r="A1001" s="16"/>
      <c r="B1001" s="19"/>
      <c r="C1001" s="6"/>
      <c r="D1001" s="38"/>
      <c r="E1001" s="38"/>
      <c r="F1001" s="38"/>
      <c r="G1001" s="39"/>
      <c r="H1001" s="109"/>
    </row>
    <row r="1002" spans="1:8" s="15" customFormat="1" x14ac:dyDescent="0.4">
      <c r="A1002" s="498">
        <v>3</v>
      </c>
      <c r="B1002" s="19" t="s">
        <v>224</v>
      </c>
      <c r="C1002" s="503" t="s">
        <v>2</v>
      </c>
      <c r="D1002" s="8"/>
      <c r="E1002" s="8"/>
      <c r="F1002" s="8"/>
      <c r="G1002" s="7"/>
      <c r="H1002" s="114"/>
    </row>
    <row r="1003" spans="1:8" s="15" customFormat="1" x14ac:dyDescent="0.4">
      <c r="A1003" s="499"/>
      <c r="B1003" s="19"/>
      <c r="C1003" s="503"/>
      <c r="D1003" s="38">
        <v>28.9</v>
      </c>
      <c r="E1003" s="38">
        <v>8.49</v>
      </c>
      <c r="F1003" s="8"/>
      <c r="G1003" s="39">
        <v>1</v>
      </c>
      <c r="H1003" s="109">
        <f>D1003*E1003*G1003</f>
        <v>245.36099999999999</v>
      </c>
    </row>
    <row r="1004" spans="1:8" s="15" customFormat="1" x14ac:dyDescent="0.4">
      <c r="A1004" s="499"/>
      <c r="B1004" s="19"/>
      <c r="C1004" s="503"/>
      <c r="D1004" s="38">
        <f>(12.98+11.6)/2</f>
        <v>12.29</v>
      </c>
      <c r="E1004" s="38">
        <v>10.23</v>
      </c>
      <c r="F1004" s="8"/>
      <c r="G1004" s="39">
        <v>1</v>
      </c>
      <c r="H1004" s="109">
        <f>D1004*E1004*G1004</f>
        <v>125.72669999999999</v>
      </c>
    </row>
    <row r="1005" spans="1:8" s="15" customFormat="1" x14ac:dyDescent="0.4">
      <c r="A1005" s="499"/>
      <c r="B1005" s="14" t="s">
        <v>473</v>
      </c>
      <c r="C1005" s="503"/>
      <c r="D1005" s="38">
        <v>7.6</v>
      </c>
      <c r="E1005" s="38">
        <v>3</v>
      </c>
      <c r="F1005" s="8"/>
      <c r="G1005" s="39">
        <v>1</v>
      </c>
      <c r="H1005" s="109">
        <f>-D1005*E1005*G1005</f>
        <v>-22.799999999999997</v>
      </c>
    </row>
    <row r="1006" spans="1:8" s="15" customFormat="1" x14ac:dyDescent="0.4">
      <c r="A1006" s="499"/>
      <c r="B1006" s="19"/>
      <c r="C1006" s="503"/>
      <c r="D1006" s="38">
        <v>29.26</v>
      </c>
      <c r="E1006" s="38">
        <v>8.7899999999999991</v>
      </c>
      <c r="F1006" s="8"/>
      <c r="G1006" s="39">
        <v>1</v>
      </c>
      <c r="H1006" s="109">
        <f>D1006*E1006*G1006</f>
        <v>257.19540000000001</v>
      </c>
    </row>
    <row r="1007" spans="1:8" s="15" customFormat="1" x14ac:dyDescent="0.4">
      <c r="A1007" s="500"/>
      <c r="B1007" s="19"/>
      <c r="C1007" s="503"/>
      <c r="D1007" s="38"/>
      <c r="E1007" s="38"/>
      <c r="F1007" s="38"/>
      <c r="G1007" s="12" t="s">
        <v>80</v>
      </c>
      <c r="H1007" s="116">
        <f>SUM(H1002:H1006)</f>
        <v>605.48309999999992</v>
      </c>
    </row>
    <row r="1008" spans="1:8" s="15" customFormat="1" x14ac:dyDescent="0.4">
      <c r="A1008" s="16"/>
      <c r="B1008" s="19"/>
      <c r="C1008" s="6"/>
      <c r="D1008" s="38"/>
      <c r="E1008" s="38"/>
      <c r="F1008" s="38"/>
      <c r="G1008" s="39"/>
      <c r="H1008" s="109"/>
    </row>
    <row r="1009" spans="1:8" s="15" customFormat="1" x14ac:dyDescent="0.4">
      <c r="A1009" s="18">
        <v>4</v>
      </c>
      <c r="B1009" s="19" t="s">
        <v>225</v>
      </c>
      <c r="C1009" s="6" t="s">
        <v>1</v>
      </c>
      <c r="D1009" s="38"/>
      <c r="E1009" s="38"/>
      <c r="F1009" s="38"/>
      <c r="G1009" s="39"/>
      <c r="H1009" s="46">
        <f>H1007</f>
        <v>605.48309999999992</v>
      </c>
    </row>
    <row r="1010" spans="1:8" s="15" customFormat="1" x14ac:dyDescent="0.4">
      <c r="A1010" s="18"/>
      <c r="B1010" s="19"/>
      <c r="C1010" s="6"/>
      <c r="D1010" s="38"/>
      <c r="E1010" s="38"/>
      <c r="F1010" s="38"/>
      <c r="G1010" s="39"/>
      <c r="H1010" s="109"/>
    </row>
    <row r="1011" spans="1:8" s="15" customFormat="1" x14ac:dyDescent="0.4">
      <c r="A1011" s="18">
        <v>5</v>
      </c>
      <c r="B1011" s="19" t="s">
        <v>193</v>
      </c>
      <c r="C1011" s="6" t="s">
        <v>1</v>
      </c>
      <c r="D1011" s="38"/>
      <c r="E1011" s="38"/>
      <c r="F1011" s="38"/>
      <c r="G1011" s="39"/>
      <c r="H1011" s="46">
        <f>H1007</f>
        <v>605.48309999999992</v>
      </c>
    </row>
    <row r="1012" spans="1:8" s="15" customFormat="1" x14ac:dyDescent="0.4">
      <c r="A1012" s="18"/>
      <c r="B1012" s="19"/>
      <c r="C1012" s="6"/>
      <c r="D1012" s="38"/>
      <c r="E1012" s="38"/>
      <c r="F1012" s="38"/>
      <c r="G1012" s="39"/>
      <c r="H1012" s="46"/>
    </row>
    <row r="1013" spans="1:8" s="15" customFormat="1" x14ac:dyDescent="0.4">
      <c r="A1013" s="18">
        <v>6</v>
      </c>
      <c r="B1013" s="19" t="s">
        <v>226</v>
      </c>
      <c r="C1013" s="6" t="s">
        <v>1</v>
      </c>
      <c r="D1013" s="38"/>
      <c r="E1013" s="38"/>
      <c r="F1013" s="38"/>
      <c r="G1013" s="39"/>
      <c r="H1013" s="46">
        <f>H1007</f>
        <v>605.48309999999992</v>
      </c>
    </row>
    <row r="1014" spans="1:8" s="15" customFormat="1" x14ac:dyDescent="0.4">
      <c r="A1014" s="18"/>
      <c r="B1014" s="19"/>
      <c r="C1014" s="6"/>
      <c r="D1014" s="38"/>
      <c r="E1014" s="38"/>
      <c r="F1014" s="38"/>
      <c r="G1014" s="39"/>
      <c r="H1014" s="46"/>
    </row>
    <row r="1015" spans="1:8" s="15" customFormat="1" x14ac:dyDescent="0.4">
      <c r="A1015" s="18">
        <v>7</v>
      </c>
      <c r="B1015" s="19" t="s">
        <v>227</v>
      </c>
      <c r="C1015" s="6" t="s">
        <v>1</v>
      </c>
      <c r="D1015" s="38"/>
      <c r="E1015" s="38"/>
      <c r="F1015" s="38"/>
      <c r="G1015" s="39"/>
      <c r="H1015" s="46">
        <f>H1007</f>
        <v>605.48309999999992</v>
      </c>
    </row>
    <row r="1016" spans="1:8" s="15" customFormat="1" x14ac:dyDescent="0.4">
      <c r="A1016" s="18"/>
      <c r="B1016" s="19"/>
      <c r="C1016" s="6"/>
      <c r="D1016" s="38"/>
      <c r="E1016" s="38"/>
      <c r="F1016" s="38"/>
      <c r="G1016" s="39"/>
      <c r="H1016" s="46"/>
    </row>
    <row r="1017" spans="1:8" s="15" customFormat="1" ht="27.6" x14ac:dyDescent="0.4">
      <c r="A1017" s="18">
        <v>8</v>
      </c>
      <c r="B1017" s="19" t="s">
        <v>228</v>
      </c>
      <c r="C1017" s="7" t="s">
        <v>1</v>
      </c>
      <c r="D1017" s="38"/>
      <c r="E1017" s="38"/>
      <c r="F1017" s="38"/>
      <c r="G1017" s="39"/>
      <c r="H1017" s="46">
        <f>H1007</f>
        <v>605.48309999999992</v>
      </c>
    </row>
    <row r="1018" spans="1:8" s="15" customFormat="1" x14ac:dyDescent="0.4">
      <c r="A1018" s="16"/>
      <c r="B1018" s="53"/>
      <c r="C1018" s="110"/>
      <c r="D1018" s="38"/>
      <c r="E1018" s="38"/>
      <c r="F1018" s="38"/>
      <c r="G1018" s="39"/>
      <c r="H1018" s="109"/>
    </row>
    <row r="1019" spans="1:8" s="15" customFormat="1" x14ac:dyDescent="0.4">
      <c r="A1019" s="18">
        <v>9</v>
      </c>
      <c r="B1019" s="19" t="s">
        <v>296</v>
      </c>
      <c r="C1019" s="6" t="s">
        <v>1</v>
      </c>
      <c r="D1019" s="38">
        <v>7.6</v>
      </c>
      <c r="E1019" s="8">
        <v>3</v>
      </c>
      <c r="F1019" s="38"/>
      <c r="G1019" s="39">
        <v>1</v>
      </c>
      <c r="H1019" s="46">
        <f>D1019*E1019*G1019</f>
        <v>22.799999999999997</v>
      </c>
    </row>
    <row r="1020" spans="1:8" s="15" customFormat="1" x14ac:dyDescent="0.4">
      <c r="A1020" s="18"/>
      <c r="B1020" s="53"/>
      <c r="C1020" s="110"/>
      <c r="D1020" s="38"/>
      <c r="E1020" s="38"/>
      <c r="F1020" s="38"/>
      <c r="G1020" s="39"/>
      <c r="H1020" s="109"/>
    </row>
    <row r="1021" spans="1:8" s="15" customFormat="1" ht="41.4" x14ac:dyDescent="0.4">
      <c r="A1021" s="18">
        <v>10</v>
      </c>
      <c r="B1021" s="19" t="s">
        <v>474</v>
      </c>
      <c r="C1021" s="6"/>
      <c r="D1021" s="38">
        <v>33.86</v>
      </c>
      <c r="E1021" s="38">
        <v>20.21</v>
      </c>
      <c r="F1021" s="38"/>
      <c r="G1021" s="39">
        <v>1</v>
      </c>
      <c r="H1021" s="46">
        <f>D1021*E1021*G1021</f>
        <v>684.31060000000002</v>
      </c>
    </row>
    <row r="1022" spans="1:8" s="15" customFormat="1" x14ac:dyDescent="0.4">
      <c r="A1022" s="18"/>
      <c r="B1022" s="53"/>
      <c r="C1022" s="110"/>
      <c r="D1022" s="8"/>
      <c r="E1022" s="8"/>
      <c r="F1022" s="8"/>
      <c r="G1022" s="7"/>
      <c r="H1022" s="114"/>
    </row>
    <row r="1023" spans="1:8" s="15" customFormat="1" ht="31.5" customHeight="1" x14ac:dyDescent="0.4">
      <c r="A1023" s="18"/>
      <c r="B1023" s="42" t="s">
        <v>298</v>
      </c>
      <c r="C1023" s="110"/>
      <c r="D1023" s="8"/>
      <c r="E1023" s="8"/>
      <c r="F1023" s="8"/>
      <c r="G1023" s="7"/>
      <c r="H1023" s="114"/>
    </row>
    <row r="1024" spans="1:8" s="15" customFormat="1" ht="27.6" x14ac:dyDescent="0.4">
      <c r="A1024" s="18">
        <v>11</v>
      </c>
      <c r="B1024" s="31" t="s">
        <v>274</v>
      </c>
      <c r="C1024" s="7" t="s">
        <v>1</v>
      </c>
      <c r="D1024" s="8">
        <v>8.99</v>
      </c>
      <c r="E1024" s="8"/>
      <c r="F1024" s="8">
        <v>1.5</v>
      </c>
      <c r="G1024" s="9">
        <v>1</v>
      </c>
      <c r="H1024" s="10">
        <f>D1024*F1024*G1024</f>
        <v>13.484999999999999</v>
      </c>
    </row>
    <row r="1025" spans="1:8" s="15" customFormat="1" x14ac:dyDescent="0.4">
      <c r="A1025" s="18"/>
      <c r="B1025" s="53"/>
      <c r="C1025" s="110"/>
      <c r="D1025" s="8"/>
      <c r="E1025" s="8"/>
      <c r="F1025" s="8"/>
      <c r="G1025" s="7"/>
      <c r="H1025" s="114"/>
    </row>
    <row r="1026" spans="1:8" s="15" customFormat="1" ht="42" customHeight="1" x14ac:dyDescent="0.4">
      <c r="A1026" s="18">
        <v>12</v>
      </c>
      <c r="B1026" s="31" t="s">
        <v>275</v>
      </c>
      <c r="C1026" s="7" t="s">
        <v>1</v>
      </c>
      <c r="D1026" s="8">
        <v>8.99</v>
      </c>
      <c r="E1026" s="8"/>
      <c r="F1026" s="8">
        <v>1.5</v>
      </c>
      <c r="G1026" s="9">
        <v>1</v>
      </c>
      <c r="H1026" s="10">
        <f>D1026*F1026*G1026</f>
        <v>13.484999999999999</v>
      </c>
    </row>
    <row r="1027" spans="1:8" s="15" customFormat="1" x14ac:dyDescent="0.4">
      <c r="A1027" s="18"/>
      <c r="B1027" s="53"/>
      <c r="C1027" s="110"/>
      <c r="D1027" s="8"/>
      <c r="E1027" s="8"/>
      <c r="F1027" s="8"/>
      <c r="G1027" s="7"/>
      <c r="H1027" s="114"/>
    </row>
    <row r="1028" spans="1:8" s="15" customFormat="1" ht="41.4" x14ac:dyDescent="0.4">
      <c r="A1028" s="18">
        <v>13</v>
      </c>
      <c r="B1028" s="31" t="s">
        <v>276</v>
      </c>
      <c r="C1028" s="7" t="s">
        <v>5</v>
      </c>
      <c r="D1028" s="8"/>
      <c r="E1028" s="8"/>
      <c r="F1028" s="8"/>
      <c r="G1028" s="9"/>
      <c r="H1028" s="116">
        <v>8.99</v>
      </c>
    </row>
    <row r="1029" spans="1:8" s="15" customFormat="1" x14ac:dyDescent="0.4">
      <c r="A1029" s="18"/>
      <c r="B1029" s="53"/>
      <c r="C1029" s="110"/>
      <c r="D1029" s="8"/>
      <c r="E1029" s="8"/>
      <c r="F1029" s="8"/>
      <c r="G1029" s="7"/>
      <c r="H1029" s="114"/>
    </row>
    <row r="1030" spans="1:8" s="15" customFormat="1" ht="27.6" x14ac:dyDescent="0.4">
      <c r="A1030" s="18">
        <v>14</v>
      </c>
      <c r="B1030" s="31" t="s">
        <v>277</v>
      </c>
      <c r="C1030" s="7" t="s">
        <v>5</v>
      </c>
      <c r="D1030" s="8"/>
      <c r="E1030" s="8"/>
      <c r="F1030" s="8"/>
      <c r="G1030" s="9"/>
      <c r="H1030" s="116">
        <v>8.99</v>
      </c>
    </row>
    <row r="1031" spans="1:8" s="15" customFormat="1" x14ac:dyDescent="0.4">
      <c r="A1031" s="18"/>
      <c r="B1031" s="19"/>
      <c r="C1031" s="7"/>
      <c r="D1031" s="38"/>
      <c r="E1031" s="38"/>
      <c r="F1031" s="38"/>
      <c r="G1031" s="39"/>
      <c r="H1031" s="109"/>
    </row>
    <row r="1032" spans="1:8" s="15" customFormat="1" ht="27.6" x14ac:dyDescent="0.4">
      <c r="A1032" s="18">
        <v>15</v>
      </c>
      <c r="B1032" s="31" t="s">
        <v>278</v>
      </c>
      <c r="C1032" s="7" t="s">
        <v>5</v>
      </c>
      <c r="D1032" s="8"/>
      <c r="E1032" s="8"/>
      <c r="F1032" s="8"/>
      <c r="G1032" s="9"/>
      <c r="H1032" s="116">
        <v>8.99</v>
      </c>
    </row>
    <row r="1033" spans="1:8" s="15" customFormat="1" x14ac:dyDescent="0.4">
      <c r="A1033" s="18"/>
      <c r="B1033" s="19"/>
      <c r="C1033" s="7"/>
      <c r="D1033" s="38"/>
      <c r="E1033" s="38"/>
      <c r="F1033" s="38"/>
      <c r="G1033" s="39"/>
      <c r="H1033" s="109"/>
    </row>
    <row r="1034" spans="1:8" s="15" customFormat="1" ht="27.6" x14ac:dyDescent="0.4">
      <c r="A1034" s="18">
        <v>16</v>
      </c>
      <c r="B1034" s="31" t="s">
        <v>297</v>
      </c>
      <c r="C1034" s="7" t="s">
        <v>5</v>
      </c>
      <c r="D1034" s="8"/>
      <c r="E1034" s="8"/>
      <c r="F1034" s="8"/>
      <c r="G1034" s="9"/>
      <c r="H1034" s="116">
        <v>8.99</v>
      </c>
    </row>
    <row r="1035" spans="1:8" s="15" customFormat="1" x14ac:dyDescent="0.4">
      <c r="A1035" s="18"/>
      <c r="B1035" s="53"/>
      <c r="C1035" s="110"/>
      <c r="D1035" s="38"/>
      <c r="E1035" s="38"/>
      <c r="F1035" s="38"/>
      <c r="G1035" s="39"/>
      <c r="H1035" s="109"/>
    </row>
    <row r="1036" spans="1:8" s="15" customFormat="1" x14ac:dyDescent="0.4">
      <c r="A1036" s="18">
        <v>17</v>
      </c>
      <c r="B1036" s="11" t="s">
        <v>23</v>
      </c>
      <c r="C1036" s="6" t="s">
        <v>4</v>
      </c>
      <c r="D1036" s="8"/>
      <c r="E1036" s="8"/>
      <c r="F1036" s="8"/>
      <c r="G1036" s="7"/>
      <c r="H1036" s="126">
        <v>2</v>
      </c>
    </row>
    <row r="1037" spans="1:8" s="20" customFormat="1" x14ac:dyDescent="0.4">
      <c r="A1037" s="18"/>
      <c r="B1037" s="14"/>
      <c r="C1037" s="6"/>
      <c r="D1037" s="8"/>
      <c r="E1037" s="8"/>
      <c r="F1037" s="8"/>
      <c r="G1037" s="7"/>
      <c r="H1037" s="114"/>
    </row>
    <row r="1038" spans="1:8" s="20" customFormat="1" ht="15.75" customHeight="1" x14ac:dyDescent="0.4">
      <c r="A1038" s="18">
        <v>18</v>
      </c>
      <c r="B1038" s="11" t="s">
        <v>258</v>
      </c>
      <c r="C1038" s="7" t="s">
        <v>5</v>
      </c>
      <c r="D1038" s="8"/>
      <c r="E1038" s="8"/>
      <c r="F1038" s="8">
        <v>7</v>
      </c>
      <c r="G1038" s="7">
        <v>11</v>
      </c>
      <c r="H1038" s="116">
        <f>F1038*G1038</f>
        <v>77</v>
      </c>
    </row>
    <row r="1039" spans="1:8" s="20" customFormat="1" x14ac:dyDescent="0.4">
      <c r="A1039" s="194"/>
      <c r="B1039" s="52"/>
      <c r="C1039" s="121"/>
      <c r="D1039" s="56"/>
      <c r="E1039" s="56"/>
      <c r="F1039" s="56"/>
      <c r="G1039" s="67"/>
      <c r="H1039" s="62"/>
    </row>
    <row r="1040" spans="1:8" s="2" customFormat="1" x14ac:dyDescent="0.4">
      <c r="A1040" s="501">
        <v>19</v>
      </c>
      <c r="B1040" s="508" t="s">
        <v>6</v>
      </c>
      <c r="C1040" s="502" t="s">
        <v>1</v>
      </c>
      <c r="D1040" s="8">
        <v>72.3</v>
      </c>
      <c r="E1040" s="8"/>
      <c r="F1040" s="8">
        <v>8.1999999999999993</v>
      </c>
      <c r="G1040" s="9">
        <v>2</v>
      </c>
      <c r="H1040" s="13">
        <f>D1040*F1040*G1040</f>
        <v>1185.7199999999998</v>
      </c>
    </row>
    <row r="1041" spans="1:8" s="2" customFormat="1" x14ac:dyDescent="0.4">
      <c r="A1041" s="501"/>
      <c r="B1041" s="508"/>
      <c r="C1041" s="502"/>
      <c r="D1041" s="8">
        <v>46.1</v>
      </c>
      <c r="E1041" s="8"/>
      <c r="F1041" s="8">
        <v>8.1999999999999993</v>
      </c>
      <c r="G1041" s="9">
        <v>2</v>
      </c>
      <c r="H1041" s="13">
        <f>D1041*F1041*G1041</f>
        <v>756.04</v>
      </c>
    </row>
    <row r="1042" spans="1:8" s="2" customFormat="1" x14ac:dyDescent="0.4">
      <c r="A1042" s="501"/>
      <c r="B1042" s="508"/>
      <c r="C1042" s="502"/>
      <c r="D1042" s="8"/>
      <c r="E1042" s="8"/>
      <c r="F1042" s="8"/>
      <c r="G1042" s="94" t="s">
        <v>15</v>
      </c>
      <c r="H1042" s="10">
        <f>SUM(H1040:H1041)</f>
        <v>1941.7599999999998</v>
      </c>
    </row>
    <row r="1043" spans="1:8" s="2" customFormat="1" ht="12.6" x14ac:dyDescent="0.4">
      <c r="A1043" s="16"/>
      <c r="B1043" s="128"/>
      <c r="C1043" s="18"/>
      <c r="D1043" s="16"/>
      <c r="E1043" s="16"/>
      <c r="F1043" s="16"/>
      <c r="G1043" s="16"/>
      <c r="H1043" s="16"/>
    </row>
    <row r="1044" spans="1:8" x14ac:dyDescent="0.4">
      <c r="A1044" s="122"/>
      <c r="B1044" s="121"/>
      <c r="C1044" s="123"/>
      <c r="D1044" s="124"/>
      <c r="E1044" s="124"/>
      <c r="F1044" s="124"/>
      <c r="G1044" s="125"/>
      <c r="H1044" s="62"/>
    </row>
    <row r="1045" spans="1:8" s="15" customFormat="1" ht="25" customHeight="1" x14ac:dyDescent="0.4">
      <c r="A1045" s="25"/>
      <c r="B1045" s="101" t="s">
        <v>321</v>
      </c>
      <c r="C1045" s="7"/>
      <c r="D1045" s="8"/>
      <c r="E1045" s="25"/>
      <c r="F1045" s="25"/>
      <c r="G1045" s="9"/>
      <c r="H1045" s="13"/>
    </row>
    <row r="1046" spans="1:8" s="15" customFormat="1" ht="55.2" x14ac:dyDescent="0.4">
      <c r="A1046" s="501">
        <v>1</v>
      </c>
      <c r="B1046" s="19" t="s">
        <v>324</v>
      </c>
      <c r="C1046" s="502" t="s">
        <v>2</v>
      </c>
      <c r="D1046" s="25"/>
      <c r="E1046" s="25"/>
      <c r="F1046" s="16"/>
      <c r="G1046" s="25"/>
      <c r="H1046" s="25"/>
    </row>
    <row r="1047" spans="1:8" s="15" customFormat="1" x14ac:dyDescent="0.4">
      <c r="A1047" s="501"/>
      <c r="B1047" s="25"/>
      <c r="C1047" s="502"/>
      <c r="D1047" s="8">
        <v>33.880000000000003</v>
      </c>
      <c r="E1047" s="8">
        <v>20.21</v>
      </c>
      <c r="F1047" s="8">
        <v>0.3</v>
      </c>
      <c r="G1047" s="9">
        <v>1</v>
      </c>
      <c r="H1047" s="13">
        <f>D1047*E1047*F1047*G1047</f>
        <v>205.41444000000001</v>
      </c>
    </row>
    <row r="1048" spans="1:8" s="15" customFormat="1" x14ac:dyDescent="0.4">
      <c r="A1048" s="501"/>
      <c r="B1048" s="36" t="s">
        <v>194</v>
      </c>
      <c r="C1048" s="502"/>
      <c r="D1048" s="8">
        <v>25</v>
      </c>
      <c r="E1048" s="8">
        <v>12.5</v>
      </c>
      <c r="F1048" s="8">
        <v>0.3</v>
      </c>
      <c r="G1048" s="9">
        <v>1</v>
      </c>
      <c r="H1048" s="13">
        <f>-D1048*E1048*F1048*G1048</f>
        <v>-93.75</v>
      </c>
    </row>
    <row r="1049" spans="1:8" s="15" customFormat="1" x14ac:dyDescent="0.4">
      <c r="A1049" s="501"/>
      <c r="B1049" s="36"/>
      <c r="C1049" s="502"/>
      <c r="D1049" s="8">
        <v>16.52</v>
      </c>
      <c r="E1049" s="8">
        <v>4.01</v>
      </c>
      <c r="F1049" s="8">
        <v>0.3</v>
      </c>
      <c r="G1049" s="9">
        <v>1</v>
      </c>
      <c r="H1049" s="13">
        <f>-E1049*D1049*F1049*G1049</f>
        <v>-19.873559999999998</v>
      </c>
    </row>
    <row r="1050" spans="1:8" s="15" customFormat="1" x14ac:dyDescent="0.4">
      <c r="A1050" s="501"/>
      <c r="B1050" s="102"/>
      <c r="C1050" s="502"/>
      <c r="D1050" s="25"/>
      <c r="E1050" s="8"/>
      <c r="F1050" s="8"/>
      <c r="G1050" s="26" t="s">
        <v>80</v>
      </c>
      <c r="H1050" s="10">
        <f>SUM(H1047:H1049)</f>
        <v>91.790880000000016</v>
      </c>
    </row>
    <row r="1051" spans="1:8" s="20" customFormat="1" ht="14.7" x14ac:dyDescent="0.4">
      <c r="A1051" s="16"/>
      <c r="B1051" s="151"/>
      <c r="C1051" s="7"/>
      <c r="D1051" s="8"/>
      <c r="E1051" s="16"/>
      <c r="F1051" s="16"/>
      <c r="G1051" s="9"/>
      <c r="H1051" s="13"/>
    </row>
    <row r="1052" spans="1:8" s="15" customFormat="1" ht="41.4" x14ac:dyDescent="0.4">
      <c r="A1052" s="498">
        <v>2</v>
      </c>
      <c r="B1052" s="138" t="s">
        <v>323</v>
      </c>
      <c r="C1052" s="502" t="s">
        <v>2</v>
      </c>
      <c r="D1052" s="8">
        <v>4.01</v>
      </c>
      <c r="E1052" s="8">
        <v>16.52</v>
      </c>
      <c r="F1052" s="8">
        <v>0.15</v>
      </c>
      <c r="G1052" s="9">
        <v>1</v>
      </c>
      <c r="H1052" s="13">
        <f>D1052*E1052*F1052*G1052</f>
        <v>9.9367799999999988</v>
      </c>
    </row>
    <row r="1053" spans="1:8" s="15" customFormat="1" x14ac:dyDescent="0.4">
      <c r="A1053" s="499"/>
      <c r="B1053" s="138"/>
      <c r="C1053" s="502"/>
      <c r="D1053" s="8">
        <v>4.01</v>
      </c>
      <c r="E1053" s="8">
        <v>0.15</v>
      </c>
      <c r="F1053" s="8">
        <v>2.5</v>
      </c>
      <c r="G1053" s="9">
        <v>2</v>
      </c>
      <c r="H1053" s="13">
        <f>F1053*E1053*D1053*G1053</f>
        <v>3.0074999999999998</v>
      </c>
    </row>
    <row r="1054" spans="1:8" s="15" customFormat="1" x14ac:dyDescent="0.4">
      <c r="A1054" s="499"/>
      <c r="B1054" s="138"/>
      <c r="C1054" s="502"/>
      <c r="D1054" s="8">
        <v>16.52</v>
      </c>
      <c r="E1054" s="8">
        <v>0.15</v>
      </c>
      <c r="F1054" s="8">
        <v>2.5</v>
      </c>
      <c r="G1054" s="9">
        <v>2</v>
      </c>
      <c r="H1054" s="13">
        <f>F1054*E1054*D1054*G1054</f>
        <v>12.39</v>
      </c>
    </row>
    <row r="1055" spans="1:8" s="15" customFormat="1" x14ac:dyDescent="0.4">
      <c r="A1055" s="499"/>
      <c r="B1055" s="138"/>
      <c r="C1055" s="502"/>
      <c r="D1055" s="8">
        <v>25</v>
      </c>
      <c r="E1055" s="8">
        <v>12.5</v>
      </c>
      <c r="F1055" s="8">
        <v>0.15</v>
      </c>
      <c r="G1055" s="9">
        <v>1</v>
      </c>
      <c r="H1055" s="13">
        <f>F1055*E1055*D1055*G1055</f>
        <v>46.875</v>
      </c>
    </row>
    <row r="1056" spans="1:8" s="15" customFormat="1" x14ac:dyDescent="0.4">
      <c r="A1056" s="500"/>
      <c r="B1056" s="104"/>
      <c r="C1056" s="502"/>
      <c r="D1056" s="8"/>
      <c r="E1056" s="8"/>
      <c r="F1056" s="8"/>
      <c r="G1056" s="26" t="s">
        <v>15</v>
      </c>
      <c r="H1056" s="10">
        <f>SUM(H1052:H1055)</f>
        <v>72.209280000000007</v>
      </c>
    </row>
    <row r="1057" spans="1:8" s="15" customFormat="1" x14ac:dyDescent="0.4">
      <c r="A1057" s="7"/>
      <c r="B1057" s="102"/>
      <c r="C1057" s="7"/>
      <c r="D1057" s="8"/>
      <c r="E1057" s="8"/>
      <c r="F1057" s="8"/>
      <c r="G1057" s="9"/>
      <c r="H1057" s="13"/>
    </row>
    <row r="1058" spans="1:8" s="15" customFormat="1" ht="41.4" x14ac:dyDescent="0.4">
      <c r="A1058" s="498">
        <v>3</v>
      </c>
      <c r="B1058" s="19" t="s">
        <v>326</v>
      </c>
      <c r="C1058" s="7" t="s">
        <v>1</v>
      </c>
      <c r="D1058" s="8">
        <v>33.880000000000003</v>
      </c>
      <c r="E1058" s="8">
        <v>20.21</v>
      </c>
      <c r="F1058" s="8"/>
      <c r="G1058" s="9">
        <v>1</v>
      </c>
      <c r="H1058" s="13">
        <f>D1058*E1058*G1058</f>
        <v>684.71480000000008</v>
      </c>
    </row>
    <row r="1059" spans="1:8" s="15" customFormat="1" x14ac:dyDescent="0.4">
      <c r="A1059" s="499"/>
      <c r="B1059" s="36" t="s">
        <v>194</v>
      </c>
      <c r="C1059" s="7"/>
      <c r="D1059" s="8">
        <v>25</v>
      </c>
      <c r="E1059" s="8">
        <v>12.5</v>
      </c>
      <c r="F1059" s="8"/>
      <c r="G1059" s="9">
        <v>1</v>
      </c>
      <c r="H1059" s="13">
        <f>-D1059*E1059*G1059</f>
        <v>-312.5</v>
      </c>
    </row>
    <row r="1060" spans="1:8" s="15" customFormat="1" x14ac:dyDescent="0.4">
      <c r="A1060" s="499"/>
      <c r="B1060" s="102"/>
      <c r="C1060" s="7"/>
      <c r="D1060" s="8">
        <v>16.52</v>
      </c>
      <c r="E1060" s="8">
        <v>4.01</v>
      </c>
      <c r="F1060" s="8"/>
      <c r="G1060" s="9">
        <v>1</v>
      </c>
      <c r="H1060" s="13">
        <f>-D1060*E1060*G1060</f>
        <v>-66.245199999999997</v>
      </c>
    </row>
    <row r="1061" spans="1:8" s="15" customFormat="1" x14ac:dyDescent="0.4">
      <c r="A1061" s="500"/>
      <c r="B1061" s="25"/>
      <c r="C1061" s="7"/>
      <c r="D1061" s="8"/>
      <c r="E1061" s="8"/>
      <c r="F1061" s="8"/>
      <c r="G1061" s="26" t="s">
        <v>80</v>
      </c>
      <c r="H1061" s="10">
        <f>SUM(H1058:H1060)</f>
        <v>305.96960000000007</v>
      </c>
    </row>
    <row r="1062" spans="1:8" s="15" customFormat="1" x14ac:dyDescent="0.4">
      <c r="A1062" s="7"/>
      <c r="B1062" s="19"/>
      <c r="C1062" s="7"/>
      <c r="D1062" s="8"/>
      <c r="E1062" s="8"/>
      <c r="F1062" s="8"/>
      <c r="G1062" s="26"/>
      <c r="H1062" s="10"/>
    </row>
    <row r="1063" spans="1:8" s="15" customFormat="1" ht="41.4" x14ac:dyDescent="0.4">
      <c r="A1063" s="18">
        <v>4</v>
      </c>
      <c r="B1063" s="19" t="s">
        <v>327</v>
      </c>
      <c r="C1063" s="7" t="s">
        <v>1</v>
      </c>
      <c r="D1063" s="8"/>
      <c r="E1063" s="8"/>
      <c r="F1063" s="8"/>
      <c r="G1063" s="26"/>
      <c r="H1063" s="10">
        <f>H1061</f>
        <v>305.96960000000007</v>
      </c>
    </row>
    <row r="1064" spans="1:8" s="15" customFormat="1" x14ac:dyDescent="0.4">
      <c r="A1064" s="18"/>
      <c r="B1064" s="19"/>
      <c r="C1064" s="7"/>
      <c r="D1064" s="8"/>
      <c r="E1064" s="8"/>
      <c r="F1064" s="8"/>
      <c r="G1064" s="9"/>
      <c r="H1064" s="13"/>
    </row>
    <row r="1065" spans="1:8" s="15" customFormat="1" ht="27.6" x14ac:dyDescent="0.4">
      <c r="A1065" s="501">
        <v>5</v>
      </c>
      <c r="B1065" s="19" t="s">
        <v>328</v>
      </c>
      <c r="C1065" s="502" t="s">
        <v>1</v>
      </c>
      <c r="D1065" s="16"/>
      <c r="E1065" s="16"/>
      <c r="F1065" s="16"/>
      <c r="G1065" s="16"/>
      <c r="H1065" s="25"/>
    </row>
    <row r="1066" spans="1:8" s="15" customFormat="1" x14ac:dyDescent="0.4">
      <c r="A1066" s="501"/>
      <c r="B1066" s="14" t="s">
        <v>325</v>
      </c>
      <c r="C1066" s="502"/>
      <c r="D1066" s="8">
        <v>25</v>
      </c>
      <c r="E1066" s="8">
        <v>12.5</v>
      </c>
      <c r="F1066" s="8"/>
      <c r="G1066" s="9">
        <v>1</v>
      </c>
      <c r="H1066" s="13">
        <f>D1066*E1066*G1066</f>
        <v>312.5</v>
      </c>
    </row>
    <row r="1067" spans="1:8" s="15" customFormat="1" x14ac:dyDescent="0.4">
      <c r="A1067" s="501"/>
      <c r="B1067" s="19"/>
      <c r="C1067" s="502"/>
      <c r="D1067" s="8">
        <v>25</v>
      </c>
      <c r="E1067" s="8"/>
      <c r="F1067" s="8">
        <v>1.6</v>
      </c>
      <c r="G1067" s="9">
        <v>2</v>
      </c>
      <c r="H1067" s="13">
        <f>D1067*F1067*G1067</f>
        <v>80</v>
      </c>
    </row>
    <row r="1068" spans="1:8" s="15" customFormat="1" x14ac:dyDescent="0.4">
      <c r="A1068" s="501"/>
      <c r="B1068" s="19"/>
      <c r="C1068" s="502"/>
      <c r="D1068" s="8">
        <v>12.5</v>
      </c>
      <c r="E1068" s="8"/>
      <c r="F1068" s="8">
        <v>1.6</v>
      </c>
      <c r="G1068" s="9">
        <v>2</v>
      </c>
      <c r="H1068" s="13">
        <f>D1068*F1068*G1068</f>
        <v>40</v>
      </c>
    </row>
    <row r="1069" spans="1:8" s="15" customFormat="1" x14ac:dyDescent="0.4">
      <c r="A1069" s="501"/>
      <c r="B1069" s="14" t="s">
        <v>329</v>
      </c>
      <c r="C1069" s="502"/>
      <c r="D1069" s="8">
        <v>4.01</v>
      </c>
      <c r="E1069" s="8">
        <v>16.52</v>
      </c>
      <c r="F1069" s="8"/>
      <c r="G1069" s="9">
        <v>1</v>
      </c>
      <c r="H1069" s="13">
        <f>D1069*E1069*G1069</f>
        <v>66.245199999999997</v>
      </c>
    </row>
    <row r="1070" spans="1:8" s="15" customFormat="1" x14ac:dyDescent="0.4">
      <c r="A1070" s="501"/>
      <c r="B1070" s="19"/>
      <c r="C1070" s="502"/>
      <c r="D1070" s="8">
        <v>4.01</v>
      </c>
      <c r="E1070" s="8"/>
      <c r="F1070" s="8">
        <v>2.2999999999999998</v>
      </c>
      <c r="G1070" s="9">
        <v>2</v>
      </c>
      <c r="H1070" s="13">
        <f>D1070*F1070*G1070</f>
        <v>18.445999999999998</v>
      </c>
    </row>
    <row r="1071" spans="1:8" s="15" customFormat="1" x14ac:dyDescent="0.4">
      <c r="A1071" s="501"/>
      <c r="B1071" s="19"/>
      <c r="C1071" s="502"/>
      <c r="D1071" s="8">
        <v>16.52</v>
      </c>
      <c r="E1071" s="8"/>
      <c r="F1071" s="8">
        <v>2.2999999999999998</v>
      </c>
      <c r="G1071" s="9">
        <v>2</v>
      </c>
      <c r="H1071" s="13">
        <f>D1071*F1071*G1071</f>
        <v>75.99199999999999</v>
      </c>
    </row>
    <row r="1072" spans="1:8" s="15" customFormat="1" x14ac:dyDescent="0.4">
      <c r="A1072" s="501"/>
      <c r="B1072" s="19"/>
      <c r="C1072" s="502"/>
      <c r="D1072" s="8"/>
      <c r="E1072" s="8"/>
      <c r="F1072" s="8"/>
      <c r="G1072" s="26" t="s">
        <v>80</v>
      </c>
      <c r="H1072" s="10">
        <f>SUM(H1065:H1071)</f>
        <v>593.18319999999994</v>
      </c>
    </row>
    <row r="1073" spans="1:8" s="15" customFormat="1" x14ac:dyDescent="0.4">
      <c r="A1073" s="7"/>
      <c r="B1073" s="19"/>
      <c r="C1073" s="7"/>
      <c r="D1073" s="8"/>
      <c r="E1073" s="8"/>
      <c r="F1073" s="8"/>
      <c r="G1073" s="9"/>
      <c r="H1073" s="13"/>
    </row>
    <row r="1074" spans="1:8" s="15" customFormat="1" ht="29.4" x14ac:dyDescent="0.4">
      <c r="A1074" s="7"/>
      <c r="B1074" s="105" t="s">
        <v>334</v>
      </c>
      <c r="C1074" s="7"/>
      <c r="D1074" s="8"/>
      <c r="E1074" s="8"/>
      <c r="F1074" s="8"/>
      <c r="G1074" s="9"/>
      <c r="H1074" s="13"/>
    </row>
    <row r="1075" spans="1:8" s="15" customFormat="1" ht="41.4" x14ac:dyDescent="0.4">
      <c r="A1075" s="498">
        <v>1</v>
      </c>
      <c r="B1075" s="19" t="s">
        <v>331</v>
      </c>
      <c r="C1075" s="484" t="s">
        <v>1</v>
      </c>
      <c r="D1075" s="8">
        <v>7</v>
      </c>
      <c r="E1075" s="8">
        <v>3.76</v>
      </c>
      <c r="F1075" s="8"/>
      <c r="G1075" s="9">
        <v>1</v>
      </c>
      <c r="H1075" s="13">
        <f>D1075*E1075*G1075</f>
        <v>26.32</v>
      </c>
    </row>
    <row r="1076" spans="1:8" s="15" customFormat="1" x14ac:dyDescent="0.4">
      <c r="A1076" s="499"/>
      <c r="B1076" s="14"/>
      <c r="C1076" s="485"/>
      <c r="D1076" s="8">
        <v>6.68</v>
      </c>
      <c r="E1076" s="8">
        <v>3.76</v>
      </c>
      <c r="F1076" s="8"/>
      <c r="G1076" s="9">
        <v>1</v>
      </c>
      <c r="H1076" s="13">
        <f>D1076*E1076*G1076</f>
        <v>25.116799999999998</v>
      </c>
    </row>
    <row r="1077" spans="1:8" s="15" customFormat="1" x14ac:dyDescent="0.4">
      <c r="A1077" s="499"/>
      <c r="B1077" s="14"/>
      <c r="C1077" s="485"/>
      <c r="D1077" s="8">
        <v>2.09</v>
      </c>
      <c r="E1077" s="8">
        <v>1.6</v>
      </c>
      <c r="F1077" s="8"/>
      <c r="G1077" s="9">
        <v>1</v>
      </c>
      <c r="H1077" s="13">
        <f>D1077*E1077*G1077</f>
        <v>3.3439999999999999</v>
      </c>
    </row>
    <row r="1078" spans="1:8" s="15" customFormat="1" x14ac:dyDescent="0.4">
      <c r="A1078" s="499"/>
      <c r="B1078" s="14"/>
      <c r="C1078" s="485"/>
      <c r="D1078" s="8">
        <v>1.97</v>
      </c>
      <c r="E1078" s="8">
        <v>2.04</v>
      </c>
      <c r="F1078" s="8"/>
      <c r="G1078" s="9">
        <v>1</v>
      </c>
      <c r="H1078" s="13">
        <f>D1078*E1078*G1078</f>
        <v>4.0187999999999997</v>
      </c>
    </row>
    <row r="1079" spans="1:8" s="15" customFormat="1" x14ac:dyDescent="0.4">
      <c r="A1079" s="500"/>
      <c r="B1079" s="14"/>
      <c r="C1079" s="486"/>
      <c r="D1079" s="8"/>
      <c r="E1079" s="8"/>
      <c r="F1079" s="8"/>
      <c r="G1079" s="26" t="s">
        <v>15</v>
      </c>
      <c r="H1079" s="10">
        <f>SUM(H1075:H1078)</f>
        <v>58.799599999999998</v>
      </c>
    </row>
    <row r="1080" spans="1:8" s="15" customFormat="1" x14ac:dyDescent="0.4">
      <c r="A1080" s="7"/>
      <c r="B1080" s="14"/>
      <c r="C1080" s="7"/>
      <c r="D1080" s="8"/>
      <c r="E1080" s="8"/>
      <c r="F1080" s="8"/>
      <c r="G1080" s="9"/>
      <c r="H1080" s="13"/>
    </row>
    <row r="1081" spans="1:8" s="15" customFormat="1" ht="27.6" x14ac:dyDescent="0.4">
      <c r="A1081" s="498">
        <v>2</v>
      </c>
      <c r="B1081" s="31" t="s">
        <v>356</v>
      </c>
      <c r="C1081" s="484" t="s">
        <v>1</v>
      </c>
      <c r="D1081" s="25"/>
      <c r="E1081" s="25"/>
      <c r="F1081" s="25"/>
      <c r="G1081" s="25"/>
      <c r="H1081" s="25"/>
    </row>
    <row r="1082" spans="1:8" s="15" customFormat="1" x14ac:dyDescent="0.4">
      <c r="A1082" s="499"/>
      <c r="B1082" s="163" t="s">
        <v>348</v>
      </c>
      <c r="C1082" s="485"/>
      <c r="D1082" s="8">
        <v>7</v>
      </c>
      <c r="E1082" s="8">
        <v>3.76</v>
      </c>
      <c r="F1082" s="8"/>
      <c r="G1082" s="9">
        <v>1</v>
      </c>
      <c r="H1082" s="13">
        <f>D1082*E1082*G1082</f>
        <v>26.32</v>
      </c>
    </row>
    <row r="1083" spans="1:8" s="15" customFormat="1" x14ac:dyDescent="0.4">
      <c r="A1083" s="499"/>
      <c r="B1083" s="30" t="s">
        <v>262</v>
      </c>
      <c r="C1083" s="485"/>
      <c r="D1083" s="8">
        <v>7</v>
      </c>
      <c r="E1083" s="8"/>
      <c r="F1083" s="8">
        <v>2.2999999999999998</v>
      </c>
      <c r="G1083" s="9">
        <v>2</v>
      </c>
      <c r="H1083" s="13">
        <f>D1083*F1083*G1083</f>
        <v>32.199999999999996</v>
      </c>
    </row>
    <row r="1084" spans="1:8" s="15" customFormat="1" x14ac:dyDescent="0.4">
      <c r="A1084" s="499"/>
      <c r="B1084" s="14"/>
      <c r="C1084" s="485"/>
      <c r="D1084" s="8">
        <v>3.76</v>
      </c>
      <c r="E1084" s="8"/>
      <c r="F1084" s="8">
        <v>2.2999999999999998</v>
      </c>
      <c r="G1084" s="9">
        <v>2</v>
      </c>
      <c r="H1084" s="13">
        <f>D1084*F1084*G1084</f>
        <v>17.295999999999999</v>
      </c>
    </row>
    <row r="1085" spans="1:8" s="15" customFormat="1" x14ac:dyDescent="0.4">
      <c r="A1085" s="500"/>
      <c r="B1085" s="14"/>
      <c r="C1085" s="486"/>
      <c r="D1085" s="8"/>
      <c r="E1085" s="8"/>
      <c r="F1085" s="8"/>
      <c r="G1085" s="26" t="s">
        <v>15</v>
      </c>
      <c r="H1085" s="10">
        <f>SUM(H1082:H1084)</f>
        <v>75.816000000000003</v>
      </c>
    </row>
    <row r="1086" spans="1:8" s="15" customFormat="1" x14ac:dyDescent="0.4">
      <c r="A1086" s="18"/>
      <c r="B1086" s="14"/>
      <c r="C1086" s="7"/>
      <c r="D1086" s="8"/>
      <c r="E1086" s="8"/>
      <c r="F1086" s="8"/>
      <c r="G1086" s="9"/>
      <c r="H1086" s="13"/>
    </row>
    <row r="1087" spans="1:8" s="15" customFormat="1" ht="27.6" x14ac:dyDescent="0.4">
      <c r="A1087" s="18">
        <v>3</v>
      </c>
      <c r="B1087" s="31" t="s">
        <v>360</v>
      </c>
      <c r="C1087" s="7" t="s">
        <v>1</v>
      </c>
      <c r="D1087" s="8"/>
      <c r="E1087" s="8"/>
      <c r="F1087" s="8"/>
      <c r="G1087" s="9"/>
      <c r="H1087" s="10">
        <f>H1085</f>
        <v>75.816000000000003</v>
      </c>
    </row>
    <row r="1088" spans="1:8" s="15" customFormat="1" x14ac:dyDescent="0.4">
      <c r="A1088" s="18"/>
      <c r="B1088" s="14"/>
      <c r="C1088" s="7"/>
      <c r="D1088" s="8"/>
      <c r="E1088" s="8"/>
      <c r="F1088" s="8"/>
      <c r="G1088" s="9"/>
      <c r="H1088" s="10"/>
    </row>
    <row r="1089" spans="1:8" s="15" customFormat="1" ht="27.6" x14ac:dyDescent="0.4">
      <c r="A1089" s="18">
        <v>4</v>
      </c>
      <c r="B1089" s="31" t="s">
        <v>357</v>
      </c>
      <c r="C1089" s="7" t="s">
        <v>1</v>
      </c>
      <c r="D1089" s="8"/>
      <c r="E1089" s="8"/>
      <c r="F1089" s="8"/>
      <c r="G1089" s="9"/>
      <c r="H1089" s="10">
        <f>H1085</f>
        <v>75.816000000000003</v>
      </c>
    </row>
    <row r="1090" spans="1:8" s="15" customFormat="1" x14ac:dyDescent="0.4">
      <c r="A1090" s="18"/>
      <c r="B1090" s="14"/>
      <c r="C1090" s="7"/>
      <c r="D1090" s="8"/>
      <c r="E1090" s="8"/>
      <c r="F1090" s="8"/>
      <c r="G1090" s="9"/>
      <c r="H1090" s="10"/>
    </row>
    <row r="1091" spans="1:8" s="15" customFormat="1" ht="55.2" x14ac:dyDescent="0.4">
      <c r="A1091" s="18">
        <v>5</v>
      </c>
      <c r="B1091" s="31" t="s">
        <v>358</v>
      </c>
      <c r="C1091" s="7" t="s">
        <v>1</v>
      </c>
      <c r="D1091" s="8"/>
      <c r="E1091" s="8"/>
      <c r="F1091" s="8"/>
      <c r="G1091" s="9"/>
      <c r="H1091" s="10">
        <f>H1085</f>
        <v>75.816000000000003</v>
      </c>
    </row>
    <row r="1092" spans="1:8" s="15" customFormat="1" x14ac:dyDescent="0.4">
      <c r="A1092" s="7"/>
      <c r="B1092" s="14"/>
      <c r="C1092" s="7"/>
      <c r="D1092" s="8"/>
      <c r="E1092" s="8"/>
      <c r="F1092" s="8"/>
      <c r="G1092" s="9"/>
      <c r="H1092" s="10"/>
    </row>
    <row r="1093" spans="1:8" s="15" customFormat="1" ht="41.4" x14ac:dyDescent="0.4">
      <c r="A1093" s="18">
        <v>6</v>
      </c>
      <c r="B1093" s="31" t="s">
        <v>359</v>
      </c>
      <c r="C1093" s="7" t="s">
        <v>1</v>
      </c>
      <c r="D1093" s="8"/>
      <c r="E1093" s="8"/>
      <c r="F1093" s="8"/>
      <c r="G1093" s="9"/>
      <c r="H1093" s="10">
        <f>H1085</f>
        <v>75.816000000000003</v>
      </c>
    </row>
    <row r="1094" spans="1:8" s="15" customFormat="1" x14ac:dyDescent="0.4">
      <c r="A1094" s="18"/>
      <c r="B1094" s="14"/>
      <c r="C1094" s="7"/>
      <c r="D1094" s="8"/>
      <c r="E1094" s="8"/>
      <c r="F1094" s="8"/>
      <c r="G1094" s="9"/>
      <c r="H1094" s="13"/>
    </row>
    <row r="1095" spans="1:8" s="15" customFormat="1" ht="41.4" x14ac:dyDescent="0.4">
      <c r="A1095" s="501">
        <v>7</v>
      </c>
      <c r="B1095" s="31" t="s">
        <v>351</v>
      </c>
      <c r="C1095" s="502" t="s">
        <v>5</v>
      </c>
      <c r="D1095" s="8">
        <v>7</v>
      </c>
      <c r="E1095" s="8"/>
      <c r="F1095" s="8"/>
      <c r="G1095" s="9">
        <v>2</v>
      </c>
      <c r="H1095" s="13">
        <f>D1095*G1095</f>
        <v>14</v>
      </c>
    </row>
    <row r="1096" spans="1:8" s="15" customFormat="1" x14ac:dyDescent="0.4">
      <c r="A1096" s="501"/>
      <c r="B1096" s="14"/>
      <c r="C1096" s="502"/>
      <c r="D1096" s="8">
        <v>3.76</v>
      </c>
      <c r="E1096" s="8"/>
      <c r="F1096" s="8"/>
      <c r="G1096" s="9">
        <v>2</v>
      </c>
      <c r="H1096" s="13">
        <f>D1096*G1096</f>
        <v>7.52</v>
      </c>
    </row>
    <row r="1097" spans="1:8" s="15" customFormat="1" x14ac:dyDescent="0.4">
      <c r="A1097" s="501"/>
      <c r="B1097" s="14"/>
      <c r="C1097" s="502"/>
      <c r="D1097" s="8"/>
      <c r="E1097" s="8"/>
      <c r="F1097" s="8"/>
      <c r="G1097" s="26" t="s">
        <v>15</v>
      </c>
      <c r="H1097" s="10">
        <f>SUM(H1095:H1096)</f>
        <v>21.52</v>
      </c>
    </row>
    <row r="1098" spans="1:8" s="15" customFormat="1" x14ac:dyDescent="0.4">
      <c r="A1098" s="7"/>
      <c r="B1098" s="14"/>
      <c r="C1098" s="7"/>
      <c r="D1098" s="8"/>
      <c r="E1098" s="8"/>
      <c r="F1098" s="8"/>
      <c r="G1098" s="26"/>
      <c r="H1098" s="10"/>
    </row>
    <row r="1099" spans="1:8" s="15" customFormat="1" ht="27.6" x14ac:dyDescent="0.4">
      <c r="A1099" s="18">
        <v>8</v>
      </c>
      <c r="B1099" s="19" t="s">
        <v>347</v>
      </c>
      <c r="C1099" s="7" t="s">
        <v>1</v>
      </c>
      <c r="D1099" s="8"/>
      <c r="E1099" s="8"/>
      <c r="F1099" s="8"/>
      <c r="G1099" s="9"/>
      <c r="H1099" s="10">
        <f>H1085</f>
        <v>75.816000000000003</v>
      </c>
    </row>
    <row r="1100" spans="1:8" s="15" customFormat="1" x14ac:dyDescent="0.4">
      <c r="A1100" s="18"/>
      <c r="B1100" s="14"/>
      <c r="C1100" s="7"/>
      <c r="D1100" s="8"/>
      <c r="E1100" s="8"/>
      <c r="F1100" s="8"/>
      <c r="G1100" s="9"/>
      <c r="H1100" s="13"/>
    </row>
    <row r="1101" spans="1:8" s="15" customFormat="1" ht="27.6" x14ac:dyDescent="0.4">
      <c r="A1101" s="501">
        <v>9</v>
      </c>
      <c r="B1101" s="19" t="s">
        <v>491</v>
      </c>
      <c r="C1101" s="502" t="s">
        <v>1</v>
      </c>
      <c r="D1101" s="8">
        <v>6.68</v>
      </c>
      <c r="E1101" s="8">
        <v>3.76</v>
      </c>
      <c r="F1101" s="8"/>
      <c r="G1101" s="9">
        <v>1</v>
      </c>
      <c r="H1101" s="13">
        <f>D1101*E1101*G1101</f>
        <v>25.116799999999998</v>
      </c>
    </row>
    <row r="1102" spans="1:8" s="15" customFormat="1" x14ac:dyDescent="0.4">
      <c r="A1102" s="501"/>
      <c r="B1102" s="14"/>
      <c r="C1102" s="502"/>
      <c r="D1102" s="8">
        <v>2.09</v>
      </c>
      <c r="E1102" s="8">
        <v>1.6</v>
      </c>
      <c r="F1102" s="8"/>
      <c r="G1102" s="9">
        <v>1</v>
      </c>
      <c r="H1102" s="13">
        <f>D1102*E1102*G1102</f>
        <v>3.3439999999999999</v>
      </c>
    </row>
    <row r="1103" spans="1:8" s="15" customFormat="1" x14ac:dyDescent="0.4">
      <c r="A1103" s="501"/>
      <c r="B1103" s="14"/>
      <c r="C1103" s="502"/>
      <c r="D1103" s="8">
        <v>1.97</v>
      </c>
      <c r="E1103" s="8">
        <v>2.04</v>
      </c>
      <c r="F1103" s="8"/>
      <c r="G1103" s="9">
        <v>1</v>
      </c>
      <c r="H1103" s="13">
        <f>D1103*E1103*G1103</f>
        <v>4.0187999999999997</v>
      </c>
    </row>
    <row r="1104" spans="1:8" s="15" customFormat="1" x14ac:dyDescent="0.4">
      <c r="A1104" s="501"/>
      <c r="B1104" s="14"/>
      <c r="C1104" s="502"/>
      <c r="D1104" s="8"/>
      <c r="E1104" s="8"/>
      <c r="F1104" s="8"/>
      <c r="G1104" s="26" t="s">
        <v>15</v>
      </c>
      <c r="H1104" s="10">
        <f>SUM(H1100:H1103)</f>
        <v>32.479599999999998</v>
      </c>
    </row>
    <row r="1105" spans="1:8" s="15" customFormat="1" x14ac:dyDescent="0.4">
      <c r="A1105" s="18"/>
      <c r="B1105" s="14"/>
      <c r="C1105" s="7"/>
      <c r="D1105" s="8"/>
      <c r="E1105" s="8"/>
      <c r="F1105" s="8"/>
      <c r="G1105" s="9"/>
      <c r="H1105" s="13"/>
    </row>
    <row r="1106" spans="1:8" s="15" customFormat="1" ht="27.6" x14ac:dyDescent="0.4">
      <c r="A1106" s="18">
        <v>10</v>
      </c>
      <c r="B1106" s="19" t="s">
        <v>337</v>
      </c>
      <c r="C1106" s="7" t="s">
        <v>4</v>
      </c>
      <c r="D1106" s="8"/>
      <c r="E1106" s="8"/>
      <c r="F1106" s="8"/>
      <c r="G1106" s="9"/>
      <c r="H1106" s="45">
        <v>1</v>
      </c>
    </row>
    <row r="1107" spans="1:8" s="15" customFormat="1" x14ac:dyDescent="0.4">
      <c r="A1107" s="18"/>
      <c r="B1107" s="14"/>
      <c r="C1107" s="7"/>
      <c r="D1107" s="8"/>
      <c r="E1107" s="8"/>
      <c r="F1107" s="8"/>
      <c r="G1107" s="9"/>
      <c r="H1107" s="13"/>
    </row>
    <row r="1108" spans="1:8" s="15" customFormat="1" ht="27.6" x14ac:dyDescent="0.4">
      <c r="A1108" s="18">
        <v>11</v>
      </c>
      <c r="B1108" s="19" t="s">
        <v>339</v>
      </c>
      <c r="C1108" s="7" t="s">
        <v>4</v>
      </c>
      <c r="D1108" s="8"/>
      <c r="E1108" s="8"/>
      <c r="F1108" s="8"/>
      <c r="G1108" s="9"/>
      <c r="H1108" s="45">
        <v>1</v>
      </c>
    </row>
    <row r="1109" spans="1:8" s="15" customFormat="1" x14ac:dyDescent="0.4">
      <c r="A1109" s="18"/>
      <c r="B1109" s="14"/>
      <c r="C1109" s="7"/>
      <c r="D1109" s="8"/>
      <c r="E1109" s="8"/>
      <c r="F1109" s="8"/>
      <c r="G1109" s="9"/>
      <c r="H1109" s="13"/>
    </row>
    <row r="1110" spans="1:8" s="15" customFormat="1" ht="55.2" x14ac:dyDescent="0.4">
      <c r="A1110" s="18">
        <v>12</v>
      </c>
      <c r="B1110" s="19" t="s">
        <v>332</v>
      </c>
      <c r="C1110" s="7" t="s">
        <v>4</v>
      </c>
      <c r="D1110" s="8"/>
      <c r="E1110" s="8"/>
      <c r="F1110" s="8"/>
      <c r="G1110" s="9"/>
      <c r="H1110" s="45">
        <v>1</v>
      </c>
    </row>
    <row r="1111" spans="1:8" s="15" customFormat="1" x14ac:dyDescent="0.4">
      <c r="A1111" s="7"/>
      <c r="B1111" s="19"/>
      <c r="C1111" s="7"/>
      <c r="D1111" s="8"/>
      <c r="E1111" s="8"/>
      <c r="F1111" s="8"/>
      <c r="G1111" s="9"/>
      <c r="H1111" s="45"/>
    </row>
    <row r="1112" spans="1:8" s="15" customFormat="1" ht="15" customHeight="1" x14ac:dyDescent="0.4">
      <c r="A1112" s="7">
        <v>13</v>
      </c>
      <c r="B1112" s="19" t="s">
        <v>368</v>
      </c>
      <c r="C1112" s="7" t="s">
        <v>4</v>
      </c>
      <c r="D1112" s="8"/>
      <c r="E1112" s="8"/>
      <c r="F1112" s="8"/>
      <c r="G1112" s="9"/>
      <c r="H1112" s="45">
        <v>1</v>
      </c>
    </row>
    <row r="1113" spans="1:8" s="15" customFormat="1" x14ac:dyDescent="0.4">
      <c r="A1113" s="7"/>
      <c r="B1113" s="19"/>
      <c r="C1113" s="7"/>
      <c r="D1113" s="8"/>
      <c r="E1113" s="8"/>
      <c r="F1113" s="8"/>
      <c r="G1113" s="9"/>
      <c r="H1113" s="13"/>
    </row>
    <row r="1114" spans="1:8" s="15" customFormat="1" ht="21.75" customHeight="1" x14ac:dyDescent="0.4">
      <c r="A1114" s="7"/>
      <c r="B1114" s="42" t="s">
        <v>322</v>
      </c>
      <c r="C1114" s="7"/>
      <c r="D1114" s="8"/>
      <c r="E1114" s="8"/>
      <c r="F1114" s="8"/>
      <c r="G1114" s="9"/>
      <c r="H1114" s="13"/>
    </row>
    <row r="1115" spans="1:8" s="15" customFormat="1" ht="55.2" x14ac:dyDescent="0.4">
      <c r="A1115" s="18">
        <v>1</v>
      </c>
      <c r="B1115" s="19" t="s">
        <v>190</v>
      </c>
      <c r="C1115" s="7" t="s">
        <v>1</v>
      </c>
      <c r="D1115" s="8">
        <v>1.52</v>
      </c>
      <c r="E1115" s="8"/>
      <c r="F1115" s="8">
        <v>5.54</v>
      </c>
      <c r="G1115" s="9">
        <v>14</v>
      </c>
      <c r="H1115" s="10">
        <f>D1115*F1115*G1115</f>
        <v>117.8912</v>
      </c>
    </row>
    <row r="1116" spans="1:8" s="15" customFormat="1" x14ac:dyDescent="0.4">
      <c r="A1116" s="18"/>
      <c r="B1116" s="14"/>
      <c r="C1116" s="7"/>
      <c r="D1116" s="8"/>
      <c r="E1116" s="8"/>
      <c r="F1116" s="8"/>
      <c r="G1116" s="9"/>
      <c r="H1116" s="13"/>
    </row>
    <row r="1117" spans="1:8" s="15" customFormat="1" ht="41.25" customHeight="1" x14ac:dyDescent="0.4">
      <c r="A1117" s="501">
        <v>2</v>
      </c>
      <c r="B1117" s="19" t="s">
        <v>485</v>
      </c>
      <c r="C1117" s="502" t="s">
        <v>1</v>
      </c>
      <c r="D1117" s="8">
        <v>33.880000000000003</v>
      </c>
      <c r="E1117" s="8"/>
      <c r="F1117" s="8">
        <v>6.95</v>
      </c>
      <c r="G1117" s="9">
        <v>1</v>
      </c>
      <c r="H1117" s="13">
        <f>D1117*F1117*G1117</f>
        <v>235.46600000000004</v>
      </c>
    </row>
    <row r="1118" spans="1:8" s="15" customFormat="1" x14ac:dyDescent="0.4">
      <c r="A1118" s="501"/>
      <c r="B1118" s="19"/>
      <c r="C1118" s="502"/>
      <c r="D1118" s="8">
        <v>1.84</v>
      </c>
      <c r="E1118" s="8"/>
      <c r="F1118" s="8">
        <v>6.95</v>
      </c>
      <c r="G1118" s="9">
        <v>1</v>
      </c>
      <c r="H1118" s="13">
        <f>D1118*F1118*G1118</f>
        <v>12.788</v>
      </c>
    </row>
    <row r="1119" spans="1:8" s="15" customFormat="1" x14ac:dyDescent="0.4">
      <c r="A1119" s="501"/>
      <c r="B1119" s="19"/>
      <c r="C1119" s="502"/>
      <c r="D1119" s="8">
        <v>1.46</v>
      </c>
      <c r="E1119" s="8"/>
      <c r="F1119" s="8">
        <v>6.95</v>
      </c>
      <c r="G1119" s="9">
        <v>2</v>
      </c>
      <c r="H1119" s="13">
        <f>D1119*F1119*G1119</f>
        <v>20.294</v>
      </c>
    </row>
    <row r="1120" spans="1:8" s="15" customFormat="1" x14ac:dyDescent="0.4">
      <c r="A1120" s="501"/>
      <c r="B1120" s="14" t="s">
        <v>24</v>
      </c>
      <c r="C1120" s="502"/>
      <c r="D1120" s="8">
        <v>3.6</v>
      </c>
      <c r="E1120" s="8"/>
      <c r="F1120" s="8">
        <v>1</v>
      </c>
      <c r="G1120" s="9">
        <v>6</v>
      </c>
      <c r="H1120" s="13">
        <f>-D1120*F1120*G1120</f>
        <v>-21.6</v>
      </c>
    </row>
    <row r="1121" spans="1:8" s="15" customFormat="1" x14ac:dyDescent="0.4">
      <c r="A1121" s="501"/>
      <c r="B1121" s="14"/>
      <c r="C1121" s="502"/>
      <c r="D1121" s="8"/>
      <c r="E1121" s="8"/>
      <c r="F1121" s="8"/>
      <c r="G1121" s="26" t="s">
        <v>80</v>
      </c>
      <c r="H1121" s="10">
        <f>SUM(H1117:H1120)</f>
        <v>246.94800000000006</v>
      </c>
    </row>
    <row r="1122" spans="1:8" s="15" customFormat="1" x14ac:dyDescent="0.4">
      <c r="A1122" s="18"/>
      <c r="B1122" s="14"/>
      <c r="C1122" s="7"/>
      <c r="D1122" s="8"/>
      <c r="E1122" s="8"/>
      <c r="F1122" s="8"/>
      <c r="G1122" s="9"/>
      <c r="H1122" s="13"/>
    </row>
    <row r="1123" spans="1:8" s="15" customFormat="1" ht="27.6" x14ac:dyDescent="0.4">
      <c r="A1123" s="498">
        <v>3</v>
      </c>
      <c r="B1123" s="19" t="s">
        <v>486</v>
      </c>
      <c r="C1123" s="484" t="s">
        <v>1</v>
      </c>
      <c r="D1123" s="8">
        <v>33.880000000000003</v>
      </c>
      <c r="E1123" s="8"/>
      <c r="F1123" s="8">
        <v>7.95</v>
      </c>
      <c r="G1123" s="9">
        <v>1</v>
      </c>
      <c r="H1123" s="13">
        <f>D1123*F1123*G1123</f>
        <v>269.346</v>
      </c>
    </row>
    <row r="1124" spans="1:8" s="15" customFormat="1" x14ac:dyDescent="0.4">
      <c r="A1124" s="499"/>
      <c r="B1124" s="19"/>
      <c r="C1124" s="485"/>
      <c r="D1124" s="8">
        <v>1.84</v>
      </c>
      <c r="E1124" s="8"/>
      <c r="F1124" s="8">
        <v>7.95</v>
      </c>
      <c r="G1124" s="9">
        <v>1</v>
      </c>
      <c r="H1124" s="13">
        <f>D1124*F1124*G1124</f>
        <v>14.628</v>
      </c>
    </row>
    <row r="1125" spans="1:8" s="15" customFormat="1" x14ac:dyDescent="0.4">
      <c r="A1125" s="499"/>
      <c r="B1125" s="19"/>
      <c r="C1125" s="485"/>
      <c r="D1125" s="8">
        <v>1.46</v>
      </c>
      <c r="E1125" s="8"/>
      <c r="F1125" s="8">
        <v>7.95</v>
      </c>
      <c r="G1125" s="9">
        <v>2</v>
      </c>
      <c r="H1125" s="13">
        <f>D1125*F1125*G1125</f>
        <v>23.213999999999999</v>
      </c>
    </row>
    <row r="1126" spans="1:8" s="15" customFormat="1" x14ac:dyDescent="0.4">
      <c r="A1126" s="499"/>
      <c r="B1126" s="14" t="s">
        <v>24</v>
      </c>
      <c r="C1126" s="485"/>
      <c r="D1126" s="8">
        <v>3.6</v>
      </c>
      <c r="E1126" s="8"/>
      <c r="F1126" s="8">
        <v>1</v>
      </c>
      <c r="G1126" s="9">
        <v>6</v>
      </c>
      <c r="H1126" s="13">
        <f>-D1126*F1126*G1126</f>
        <v>-21.6</v>
      </c>
    </row>
    <row r="1127" spans="1:8" s="15" customFormat="1" x14ac:dyDescent="0.4">
      <c r="A1127" s="500"/>
      <c r="B1127" s="19"/>
      <c r="C1127" s="486"/>
      <c r="D1127" s="8"/>
      <c r="E1127" s="8"/>
      <c r="F1127" s="8"/>
      <c r="G1127" s="26" t="s">
        <v>80</v>
      </c>
      <c r="H1127" s="10">
        <f>SUM(H1123:H1126)</f>
        <v>285.58799999999997</v>
      </c>
    </row>
    <row r="1128" spans="1:8" s="15" customFormat="1" x14ac:dyDescent="0.4">
      <c r="A1128" s="18"/>
      <c r="B1128" s="14"/>
      <c r="C1128" s="7"/>
      <c r="D1128" s="8"/>
      <c r="E1128" s="8"/>
      <c r="F1128" s="8"/>
      <c r="G1128" s="9"/>
      <c r="H1128" s="13"/>
    </row>
    <row r="1129" spans="1:8" s="15" customFormat="1" ht="27.6" x14ac:dyDescent="0.4">
      <c r="A1129" s="18">
        <v>4</v>
      </c>
      <c r="B1129" s="19" t="s">
        <v>487</v>
      </c>
      <c r="C1129" s="7" t="s">
        <v>1</v>
      </c>
      <c r="D1129" s="8"/>
      <c r="E1129" s="8"/>
      <c r="F1129" s="8"/>
      <c r="G1129" s="9"/>
      <c r="H1129" s="10">
        <f>H1121</f>
        <v>246.94800000000006</v>
      </c>
    </row>
    <row r="1130" spans="1:8" s="15" customFormat="1" x14ac:dyDescent="0.4">
      <c r="A1130" s="18"/>
      <c r="B1130" s="14"/>
      <c r="C1130" s="7"/>
      <c r="D1130" s="8"/>
      <c r="E1130" s="8"/>
      <c r="F1130" s="8"/>
      <c r="G1130" s="9"/>
      <c r="H1130" s="10"/>
    </row>
    <row r="1131" spans="1:8" s="15" customFormat="1" ht="41.4" x14ac:dyDescent="0.4">
      <c r="A1131" s="18">
        <v>5</v>
      </c>
      <c r="B1131" s="19" t="s">
        <v>489</v>
      </c>
      <c r="C1131" s="7" t="s">
        <v>1</v>
      </c>
      <c r="D1131" s="8"/>
      <c r="E1131" s="8"/>
      <c r="F1131" s="8"/>
      <c r="G1131" s="9"/>
      <c r="H1131" s="10">
        <f>2*H1121</f>
        <v>493.89600000000013</v>
      </c>
    </row>
    <row r="1132" spans="1:8" s="15" customFormat="1" x14ac:dyDescent="0.4">
      <c r="A1132" s="18"/>
      <c r="B1132" s="19"/>
      <c r="C1132" s="7"/>
      <c r="D1132" s="8"/>
      <c r="E1132" s="8"/>
      <c r="F1132" s="8"/>
      <c r="G1132" s="9"/>
      <c r="H1132" s="13"/>
    </row>
    <row r="1133" spans="1:8" s="15" customFormat="1" x14ac:dyDescent="0.4">
      <c r="A1133" s="18">
        <v>6</v>
      </c>
      <c r="B1133" s="19" t="s">
        <v>488</v>
      </c>
      <c r="C1133" s="7" t="s">
        <v>1</v>
      </c>
      <c r="D1133" s="8"/>
      <c r="E1133" s="8"/>
      <c r="F1133" s="8"/>
      <c r="G1133" s="9"/>
      <c r="H1133" s="10">
        <f>H1127</f>
        <v>285.58799999999997</v>
      </c>
    </row>
    <row r="1134" spans="1:8" s="15" customFormat="1" x14ac:dyDescent="0.4">
      <c r="A1134" s="18"/>
      <c r="B1134" s="19"/>
      <c r="C1134" s="7"/>
      <c r="D1134" s="8"/>
      <c r="E1134" s="8"/>
      <c r="F1134" s="8"/>
      <c r="G1134" s="9"/>
      <c r="H1134" s="13"/>
    </row>
    <row r="1135" spans="1:8" s="15" customFormat="1" ht="55.2" x14ac:dyDescent="0.4">
      <c r="A1135" s="18">
        <v>7</v>
      </c>
      <c r="B1135" s="19" t="s">
        <v>229</v>
      </c>
      <c r="C1135" s="6" t="s">
        <v>1</v>
      </c>
      <c r="D1135" s="38">
        <v>33.18</v>
      </c>
      <c r="E1135" s="38">
        <v>19.649999999999999</v>
      </c>
      <c r="F1135" s="38"/>
      <c r="G1135" s="39">
        <v>1</v>
      </c>
      <c r="H1135" s="46">
        <f>D1135*E1135*G1135</f>
        <v>651.98699999999997</v>
      </c>
    </row>
    <row r="1136" spans="1:8" s="15" customFormat="1" ht="14.7" x14ac:dyDescent="0.4">
      <c r="A1136" s="7"/>
      <c r="B1136" s="166"/>
      <c r="C1136" s="7"/>
      <c r="D1136" s="8"/>
      <c r="E1136" s="8"/>
      <c r="F1136" s="8"/>
      <c r="G1136" s="26"/>
      <c r="H1136" s="10"/>
    </row>
    <row r="1137" spans="1:8" s="15" customFormat="1" ht="27.6" x14ac:dyDescent="0.4">
      <c r="A1137" s="501">
        <v>8</v>
      </c>
      <c r="B1137" s="19" t="s">
        <v>477</v>
      </c>
      <c r="C1137" s="502" t="s">
        <v>1</v>
      </c>
      <c r="D1137" s="8">
        <v>19.649999999999999</v>
      </c>
      <c r="E1137" s="8"/>
      <c r="F1137" s="8">
        <v>3.5</v>
      </c>
      <c r="G1137" s="9">
        <v>1</v>
      </c>
      <c r="H1137" s="13">
        <f>D1137*F1137*G1137</f>
        <v>68.774999999999991</v>
      </c>
    </row>
    <row r="1138" spans="1:8" s="15" customFormat="1" ht="14.7" x14ac:dyDescent="0.4">
      <c r="A1138" s="501"/>
      <c r="B1138" s="166"/>
      <c r="C1138" s="502"/>
      <c r="D1138" s="8">
        <v>19.649999999999999</v>
      </c>
      <c r="E1138" s="8">
        <v>1.1000000000000001</v>
      </c>
      <c r="F1138" s="8"/>
      <c r="G1138" s="9">
        <v>1</v>
      </c>
      <c r="H1138" s="13">
        <f>D1138*E1138*G1138</f>
        <v>21.614999999999998</v>
      </c>
    </row>
    <row r="1139" spans="1:8" s="15" customFormat="1" ht="14.7" x14ac:dyDescent="0.4">
      <c r="A1139" s="501"/>
      <c r="B1139" s="166"/>
      <c r="C1139" s="502"/>
      <c r="D1139" s="8"/>
      <c r="E1139" s="8"/>
      <c r="F1139" s="8"/>
      <c r="G1139" s="26" t="s">
        <v>80</v>
      </c>
      <c r="H1139" s="10">
        <f>SUM(H1137:H1138)</f>
        <v>90.389999999999986</v>
      </c>
    </row>
    <row r="1140" spans="1:8" x14ac:dyDescent="0.4">
      <c r="A1140" s="122"/>
      <c r="B1140" s="18"/>
      <c r="C1140" s="168"/>
      <c r="D1140" s="17"/>
      <c r="E1140" s="17"/>
      <c r="F1140" s="17"/>
      <c r="G1140" s="4"/>
      <c r="H1140" s="24"/>
    </row>
    <row r="1141" spans="1:8" x14ac:dyDescent="0.4">
      <c r="A1141" s="132">
        <v>9</v>
      </c>
      <c r="B1141" s="11" t="s">
        <v>371</v>
      </c>
      <c r="C1141" s="6" t="s">
        <v>1</v>
      </c>
      <c r="D1141" s="8">
        <v>25</v>
      </c>
      <c r="E1141" s="8">
        <v>0.15</v>
      </c>
      <c r="F1141" s="8"/>
      <c r="G1141" s="9">
        <v>2</v>
      </c>
      <c r="H1141" s="116">
        <f>D1141*E1141*G1141</f>
        <v>7.5</v>
      </c>
    </row>
    <row r="1142" spans="1:8" x14ac:dyDescent="0.4">
      <c r="A1142" s="132"/>
      <c r="B1142" s="18"/>
      <c r="C1142" s="168"/>
      <c r="D1142" s="17"/>
      <c r="E1142" s="17"/>
      <c r="F1142" s="17"/>
      <c r="G1142" s="4"/>
      <c r="H1142" s="24"/>
    </row>
    <row r="1143" spans="1:8" x14ac:dyDescent="0.4">
      <c r="A1143" s="132">
        <v>10</v>
      </c>
      <c r="B1143" s="11" t="s">
        <v>372</v>
      </c>
      <c r="C1143" s="6" t="s">
        <v>1</v>
      </c>
      <c r="D1143" s="17">
        <v>13.7</v>
      </c>
      <c r="E1143" s="17">
        <v>0.5</v>
      </c>
      <c r="F1143" s="17"/>
      <c r="G1143" s="4">
        <v>2</v>
      </c>
      <c r="H1143" s="23">
        <f>D1143*E1143*G1143</f>
        <v>13.7</v>
      </c>
    </row>
    <row r="1144" spans="1:8" s="157" customFormat="1" x14ac:dyDescent="0.4">
      <c r="A1144" s="34"/>
      <c r="B1144" s="11"/>
      <c r="C1144" s="6"/>
      <c r="D1144" s="17"/>
      <c r="E1144" s="17"/>
      <c r="F1144" s="17"/>
      <c r="G1144" s="4"/>
      <c r="H1144" s="24"/>
    </row>
    <row r="1145" spans="1:8" x14ac:dyDescent="0.4">
      <c r="A1145" s="132">
        <v>11</v>
      </c>
      <c r="B1145" s="19" t="s">
        <v>420</v>
      </c>
      <c r="C1145" s="6" t="s">
        <v>1</v>
      </c>
      <c r="D1145" s="8">
        <v>25</v>
      </c>
      <c r="E1145" s="17">
        <v>12.5</v>
      </c>
      <c r="F1145" s="17"/>
      <c r="G1145" s="4">
        <v>1</v>
      </c>
      <c r="H1145" s="23">
        <f>D1145*E1145*G1145</f>
        <v>312.5</v>
      </c>
    </row>
    <row r="1146" spans="1:8" s="157" customFormat="1" x14ac:dyDescent="0.4">
      <c r="A1146" s="34"/>
      <c r="B1146" s="19"/>
      <c r="C1146" s="168"/>
      <c r="D1146" s="17"/>
      <c r="E1146" s="17"/>
      <c r="F1146" s="17"/>
      <c r="G1146" s="4"/>
      <c r="H1146" s="24"/>
    </row>
    <row r="1147" spans="1:8" s="20" customFormat="1" ht="27.6" x14ac:dyDescent="0.4">
      <c r="A1147" s="498">
        <v>12</v>
      </c>
      <c r="B1147" s="19" t="s">
        <v>389</v>
      </c>
      <c r="C1147" s="502" t="s">
        <v>1</v>
      </c>
      <c r="D1147" s="16"/>
      <c r="E1147" s="16"/>
      <c r="F1147" s="16"/>
      <c r="G1147" s="16"/>
      <c r="H1147" s="16"/>
    </row>
    <row r="1148" spans="1:8" s="20" customFormat="1" x14ac:dyDescent="0.4">
      <c r="A1148" s="499"/>
      <c r="B1148" s="14" t="s">
        <v>330</v>
      </c>
      <c r="C1148" s="502"/>
      <c r="D1148" s="8">
        <v>25</v>
      </c>
      <c r="E1148" s="8">
        <v>12.5</v>
      </c>
      <c r="F1148" s="8"/>
      <c r="G1148" s="9">
        <v>1</v>
      </c>
      <c r="H1148" s="13">
        <f>D1148*E1148*G1148</f>
        <v>312.5</v>
      </c>
    </row>
    <row r="1149" spans="1:8" s="20" customFormat="1" x14ac:dyDescent="0.4">
      <c r="A1149" s="499"/>
      <c r="B1149" s="14" t="s">
        <v>262</v>
      </c>
      <c r="C1149" s="502"/>
      <c r="D1149" s="8">
        <v>25</v>
      </c>
      <c r="E1149" s="8"/>
      <c r="F1149" s="8">
        <v>1.8</v>
      </c>
      <c r="G1149" s="9">
        <v>2</v>
      </c>
      <c r="H1149" s="13">
        <f>D1149*F1149*G1149</f>
        <v>90</v>
      </c>
    </row>
    <row r="1150" spans="1:8" s="20" customFormat="1" x14ac:dyDescent="0.4">
      <c r="A1150" s="499"/>
      <c r="B1150" s="19"/>
      <c r="C1150" s="502"/>
      <c r="D1150" s="8">
        <v>12.5</v>
      </c>
      <c r="E1150" s="8"/>
      <c r="F1150" s="8">
        <v>2.0499999999999998</v>
      </c>
      <c r="G1150" s="9">
        <v>1</v>
      </c>
      <c r="H1150" s="13">
        <f>D1150*F1150*G1150</f>
        <v>25.624999999999996</v>
      </c>
    </row>
    <row r="1151" spans="1:8" s="20" customFormat="1" x14ac:dyDescent="0.4">
      <c r="A1151" s="499"/>
      <c r="B1151" s="19"/>
      <c r="C1151" s="502"/>
      <c r="D1151" s="8">
        <v>12.5</v>
      </c>
      <c r="E1151" s="8"/>
      <c r="F1151" s="8">
        <v>1.55</v>
      </c>
      <c r="G1151" s="9">
        <v>1</v>
      </c>
      <c r="H1151" s="13">
        <f>D1151*F1151*G1151</f>
        <v>19.375</v>
      </c>
    </row>
    <row r="1152" spans="1:8" s="20" customFormat="1" x14ac:dyDescent="0.4">
      <c r="A1152" s="499"/>
      <c r="B1152" s="14" t="s">
        <v>480</v>
      </c>
      <c r="C1152" s="7"/>
      <c r="D1152" s="8">
        <v>25</v>
      </c>
      <c r="E1152" s="8"/>
      <c r="F1152" s="8">
        <v>0.45</v>
      </c>
      <c r="G1152" s="9">
        <v>4</v>
      </c>
      <c r="H1152" s="13">
        <f>D1152*F1152*G1152</f>
        <v>45</v>
      </c>
    </row>
    <row r="1153" spans="1:8" s="20" customFormat="1" x14ac:dyDescent="0.4">
      <c r="A1153" s="499"/>
      <c r="B1153" s="5" t="s">
        <v>479</v>
      </c>
      <c r="C1153" s="7"/>
      <c r="D1153" s="8">
        <v>25</v>
      </c>
      <c r="E1153" s="8">
        <v>0.23</v>
      </c>
      <c r="F1153" s="8"/>
      <c r="G1153" s="9">
        <v>2</v>
      </c>
      <c r="H1153" s="13">
        <f>D1153*E1153*G1153</f>
        <v>11.5</v>
      </c>
    </row>
    <row r="1154" spans="1:8" s="20" customFormat="1" x14ac:dyDescent="0.4">
      <c r="A1154" s="500"/>
      <c r="B1154" s="19"/>
      <c r="C1154" s="7"/>
      <c r="D1154" s="8"/>
      <c r="E1154" s="8"/>
      <c r="F1154" s="8"/>
      <c r="G1154" s="26" t="s">
        <v>15</v>
      </c>
      <c r="H1154" s="10">
        <f>SUM(H1147:H1153)</f>
        <v>504</v>
      </c>
    </row>
    <row r="1155" spans="1:8" s="20" customFormat="1" x14ac:dyDescent="0.4">
      <c r="A1155" s="7"/>
      <c r="B1155" s="16"/>
      <c r="C1155" s="7"/>
      <c r="D1155" s="8"/>
      <c r="E1155" s="8"/>
      <c r="F1155" s="8"/>
      <c r="G1155" s="9"/>
      <c r="H1155" s="13"/>
    </row>
    <row r="1156" spans="1:8" s="20" customFormat="1" ht="27.6" x14ac:dyDescent="0.45">
      <c r="A1156" s="18">
        <v>13</v>
      </c>
      <c r="B1156" s="160" t="s">
        <v>390</v>
      </c>
      <c r="C1156" s="7" t="s">
        <v>1</v>
      </c>
      <c r="D1156" s="8"/>
      <c r="E1156" s="8"/>
      <c r="F1156" s="8"/>
      <c r="G1156" s="9"/>
      <c r="H1156" s="10">
        <f>H1154</f>
        <v>504</v>
      </c>
    </row>
    <row r="1157" spans="1:8" s="20" customFormat="1" x14ac:dyDescent="0.4">
      <c r="A1157" s="18"/>
      <c r="B1157" s="19"/>
      <c r="C1157" s="7"/>
      <c r="D1157" s="8"/>
      <c r="E1157" s="8"/>
      <c r="F1157" s="8"/>
      <c r="G1157" s="9"/>
      <c r="H1157" s="10"/>
    </row>
    <row r="1158" spans="1:8" s="20" customFormat="1" ht="27.6" x14ac:dyDescent="0.45">
      <c r="A1158" s="18">
        <v>14</v>
      </c>
      <c r="B1158" s="160" t="s">
        <v>391</v>
      </c>
      <c r="C1158" s="7" t="s">
        <v>1</v>
      </c>
      <c r="D1158" s="8"/>
      <c r="E1158" s="8"/>
      <c r="F1158" s="8"/>
      <c r="G1158" s="9"/>
      <c r="H1158" s="10">
        <f>H1154</f>
        <v>504</v>
      </c>
    </row>
    <row r="1159" spans="1:8" s="20" customFormat="1" x14ac:dyDescent="0.4">
      <c r="A1159" s="18"/>
      <c r="B1159" s="19"/>
      <c r="C1159" s="7"/>
      <c r="D1159" s="8"/>
      <c r="E1159" s="8"/>
      <c r="F1159" s="8"/>
      <c r="G1159" s="9"/>
      <c r="H1159" s="10"/>
    </row>
    <row r="1160" spans="1:8" s="20" customFormat="1" ht="59.25" customHeight="1" x14ac:dyDescent="0.45">
      <c r="A1160" s="18">
        <v>15</v>
      </c>
      <c r="B1160" s="160" t="s">
        <v>392</v>
      </c>
      <c r="C1160" s="7" t="s">
        <v>1</v>
      </c>
      <c r="D1160" s="8"/>
      <c r="E1160" s="8"/>
      <c r="F1160" s="8"/>
      <c r="G1160" s="9"/>
      <c r="H1160" s="10">
        <f>H1154</f>
        <v>504</v>
      </c>
    </row>
    <row r="1161" spans="1:8" s="20" customFormat="1" x14ac:dyDescent="0.4">
      <c r="A1161" s="18"/>
      <c r="B1161" s="19"/>
      <c r="C1161" s="7"/>
      <c r="D1161" s="8"/>
      <c r="E1161" s="8"/>
      <c r="F1161" s="8"/>
      <c r="G1161" s="9"/>
      <c r="H1161" s="10"/>
    </row>
    <row r="1162" spans="1:8" s="20" customFormat="1" ht="41.4" x14ac:dyDescent="0.4">
      <c r="A1162" s="18">
        <v>16</v>
      </c>
      <c r="B1162" s="31" t="s">
        <v>393</v>
      </c>
      <c r="C1162" s="7" t="s">
        <v>1</v>
      </c>
      <c r="D1162" s="8"/>
      <c r="E1162" s="8"/>
      <c r="F1162" s="8"/>
      <c r="G1162" s="9"/>
      <c r="H1162" s="10">
        <f>H1154</f>
        <v>504</v>
      </c>
    </row>
    <row r="1163" spans="1:8" s="20" customFormat="1" x14ac:dyDescent="0.4">
      <c r="A1163" s="7"/>
      <c r="B1163" s="19"/>
      <c r="C1163" s="7"/>
      <c r="D1163" s="8"/>
      <c r="E1163" s="8"/>
      <c r="F1163" s="8"/>
      <c r="G1163" s="9"/>
      <c r="H1163" s="13"/>
    </row>
    <row r="1164" spans="1:8" s="20" customFormat="1" ht="55.2" x14ac:dyDescent="0.4">
      <c r="A1164" s="501">
        <v>17</v>
      </c>
      <c r="B1164" s="31" t="s">
        <v>394</v>
      </c>
      <c r="C1164" s="502" t="s">
        <v>5</v>
      </c>
      <c r="D1164" s="16"/>
      <c r="E1164" s="16"/>
      <c r="F1164" s="16"/>
      <c r="G1164" s="16"/>
      <c r="H1164" s="16"/>
    </row>
    <row r="1165" spans="1:8" s="20" customFormat="1" x14ac:dyDescent="0.4">
      <c r="A1165" s="501"/>
      <c r="B1165" s="36" t="s">
        <v>388</v>
      </c>
      <c r="C1165" s="502"/>
      <c r="D1165" s="8">
        <v>25</v>
      </c>
      <c r="E1165" s="8"/>
      <c r="F1165" s="8"/>
      <c r="G1165" s="9">
        <v>2</v>
      </c>
      <c r="H1165" s="13">
        <f>D1165*G1165</f>
        <v>50</v>
      </c>
    </row>
    <row r="1166" spans="1:8" s="20" customFormat="1" x14ac:dyDescent="0.4">
      <c r="A1166" s="501"/>
      <c r="B1166" s="31"/>
      <c r="C1166" s="502"/>
      <c r="D1166" s="8">
        <v>12.5</v>
      </c>
      <c r="E1166" s="8"/>
      <c r="F1166" s="8"/>
      <c r="G1166" s="9">
        <v>2</v>
      </c>
      <c r="H1166" s="13">
        <f>D1166*G1166</f>
        <v>25</v>
      </c>
    </row>
    <row r="1167" spans="1:8" s="20" customFormat="1" x14ac:dyDescent="0.4">
      <c r="A1167" s="501"/>
      <c r="B1167" s="14" t="s">
        <v>395</v>
      </c>
      <c r="C1167" s="502"/>
      <c r="D1167" s="8">
        <v>25</v>
      </c>
      <c r="E1167" s="8"/>
      <c r="F1167" s="8"/>
      <c r="G1167" s="9">
        <v>4</v>
      </c>
      <c r="H1167" s="13">
        <f>D1167*G1167</f>
        <v>100</v>
      </c>
    </row>
    <row r="1168" spans="1:8" s="20" customFormat="1" x14ac:dyDescent="0.4">
      <c r="A1168" s="501"/>
      <c r="B1168" s="19"/>
      <c r="C1168" s="502"/>
      <c r="D1168" s="8"/>
      <c r="E1168" s="8"/>
      <c r="F1168" s="8"/>
      <c r="G1168" s="26" t="s">
        <v>15</v>
      </c>
      <c r="H1168" s="10">
        <f>SUM(H1164:H1167)</f>
        <v>175</v>
      </c>
    </row>
    <row r="1169" spans="1:8" s="20" customFormat="1" x14ac:dyDescent="0.4">
      <c r="A1169" s="18"/>
      <c r="B1169" s="19"/>
      <c r="C1169" s="7"/>
      <c r="D1169" s="8"/>
      <c r="E1169" s="8"/>
      <c r="F1169" s="8"/>
      <c r="G1169" s="26"/>
      <c r="H1169" s="10"/>
    </row>
    <row r="1170" spans="1:8" s="20" customFormat="1" x14ac:dyDescent="0.4">
      <c r="A1170" s="18">
        <v>18</v>
      </c>
      <c r="B1170" s="19" t="s">
        <v>313</v>
      </c>
      <c r="C1170" s="7" t="s">
        <v>1</v>
      </c>
      <c r="D1170" s="8"/>
      <c r="E1170" s="8"/>
      <c r="F1170" s="8"/>
      <c r="G1170" s="26"/>
      <c r="H1170" s="10">
        <f>H1172+H1174+H1182+H1187</f>
        <v>524.54999999999995</v>
      </c>
    </row>
    <row r="1171" spans="1:8" s="20" customFormat="1" x14ac:dyDescent="0.4">
      <c r="A1171" s="18"/>
      <c r="B1171" s="19"/>
      <c r="C1171" s="7"/>
      <c r="D1171" s="8"/>
      <c r="E1171" s="8"/>
      <c r="F1171" s="8"/>
      <c r="G1171" s="9"/>
      <c r="H1171" s="13"/>
    </row>
    <row r="1172" spans="1:8" s="20" customFormat="1" ht="41.4" x14ac:dyDescent="0.4">
      <c r="A1172" s="18">
        <v>19</v>
      </c>
      <c r="B1172" s="19" t="s">
        <v>370</v>
      </c>
      <c r="C1172" s="7" t="s">
        <v>1</v>
      </c>
      <c r="D1172" s="8">
        <v>25</v>
      </c>
      <c r="E1172" s="8">
        <v>0.15</v>
      </c>
      <c r="F1172" s="8"/>
      <c r="G1172" s="9">
        <v>2</v>
      </c>
      <c r="H1172" s="116">
        <f>D1172*E1172*G1172</f>
        <v>7.5</v>
      </c>
    </row>
    <row r="1173" spans="1:8" s="20" customFormat="1" x14ac:dyDescent="0.4">
      <c r="A1173" s="18"/>
      <c r="B1173" s="16"/>
      <c r="C1173" s="7"/>
      <c r="D1173" s="8"/>
      <c r="E1173" s="8"/>
      <c r="F1173" s="8"/>
      <c r="G1173" s="9"/>
      <c r="H1173" s="10"/>
    </row>
    <row r="1174" spans="1:8" s="20" customFormat="1" ht="55.2" x14ac:dyDescent="0.4">
      <c r="A1174" s="18">
        <v>20</v>
      </c>
      <c r="B1174" s="19" t="s">
        <v>369</v>
      </c>
      <c r="C1174" s="7" t="s">
        <v>1</v>
      </c>
      <c r="D1174" s="8"/>
      <c r="E1174" s="8"/>
      <c r="F1174" s="8"/>
      <c r="G1174" s="9"/>
      <c r="H1174" s="10">
        <f>H1154-H1172-H1182</f>
        <v>463.625</v>
      </c>
    </row>
    <row r="1175" spans="1:8" s="20" customFormat="1" x14ac:dyDescent="0.4">
      <c r="A1175" s="18"/>
      <c r="B1175" s="19"/>
      <c r="C1175" s="7"/>
      <c r="D1175" s="8"/>
      <c r="E1175" s="8"/>
      <c r="F1175" s="8"/>
      <c r="G1175" s="9"/>
      <c r="H1175" s="10"/>
    </row>
    <row r="1176" spans="1:8" s="20" customFormat="1" ht="44.25" customHeight="1" x14ac:dyDescent="0.4">
      <c r="A1176" s="498">
        <v>21</v>
      </c>
      <c r="B1176" s="37" t="s">
        <v>377</v>
      </c>
      <c r="C1176" s="502" t="s">
        <v>1</v>
      </c>
      <c r="D1176" s="8"/>
      <c r="E1176" s="8"/>
      <c r="F1176" s="8"/>
      <c r="G1176" s="9"/>
      <c r="H1176" s="10"/>
    </row>
    <row r="1177" spans="1:8" s="20" customFormat="1" x14ac:dyDescent="0.4">
      <c r="A1177" s="499"/>
      <c r="B1177" s="14" t="s">
        <v>378</v>
      </c>
      <c r="C1177" s="502"/>
      <c r="D1177" s="8">
        <v>0.25</v>
      </c>
      <c r="E1177" s="8"/>
      <c r="F1177" s="8">
        <v>0.5</v>
      </c>
      <c r="G1177" s="9">
        <v>10</v>
      </c>
      <c r="H1177" s="13">
        <f>D1177*F1177*G1177</f>
        <v>1.25</v>
      </c>
    </row>
    <row r="1178" spans="1:8" s="20" customFormat="1" x14ac:dyDescent="0.4">
      <c r="A1178" s="499"/>
      <c r="B1178" s="19"/>
      <c r="C1178" s="502"/>
      <c r="D1178" s="8">
        <v>0.75</v>
      </c>
      <c r="E1178" s="8"/>
      <c r="F1178" s="8">
        <v>0.25</v>
      </c>
      <c r="G1178" s="9">
        <v>10</v>
      </c>
      <c r="H1178" s="13">
        <f>D1178*F1178*G1178</f>
        <v>1.875</v>
      </c>
    </row>
    <row r="1179" spans="1:8" s="20" customFormat="1" x14ac:dyDescent="0.4">
      <c r="A1179" s="499"/>
      <c r="B1179" s="19"/>
      <c r="C1179" s="502"/>
      <c r="D1179" s="8">
        <v>0.25</v>
      </c>
      <c r="E1179" s="8"/>
      <c r="F1179" s="8">
        <v>0.6</v>
      </c>
      <c r="G1179" s="9">
        <v>10</v>
      </c>
      <c r="H1179" s="13">
        <f>D1179*F1179*G1179</f>
        <v>1.5</v>
      </c>
    </row>
    <row r="1180" spans="1:8" s="20" customFormat="1" x14ac:dyDescent="0.4">
      <c r="A1180" s="499"/>
      <c r="B1180" s="14" t="s">
        <v>379</v>
      </c>
      <c r="C1180" s="502"/>
      <c r="D1180" s="8">
        <v>1</v>
      </c>
      <c r="E1180" s="8">
        <v>0.25</v>
      </c>
      <c r="F1180" s="8"/>
      <c r="G1180" s="9">
        <v>10</v>
      </c>
      <c r="H1180" s="13">
        <f>D1180*E1180*G1180</f>
        <v>2.5</v>
      </c>
    </row>
    <row r="1181" spans="1:8" s="20" customFormat="1" x14ac:dyDescent="0.4">
      <c r="A1181" s="499"/>
      <c r="B1181" s="19"/>
      <c r="C1181" s="502"/>
      <c r="D1181" s="8">
        <v>0.25</v>
      </c>
      <c r="E1181" s="8">
        <v>20.6</v>
      </c>
      <c r="F1181" s="8"/>
      <c r="G1181" s="9">
        <v>5</v>
      </c>
      <c r="H1181" s="13">
        <f>D1181*E1181*G1181</f>
        <v>25.75</v>
      </c>
    </row>
    <row r="1182" spans="1:8" s="20" customFormat="1" x14ac:dyDescent="0.4">
      <c r="A1182" s="500"/>
      <c r="B1182" s="19"/>
      <c r="C1182" s="7"/>
      <c r="D1182" s="8"/>
      <c r="E1182" s="8"/>
      <c r="F1182" s="8"/>
      <c r="G1182" s="26" t="s">
        <v>15</v>
      </c>
      <c r="H1182" s="10">
        <f>SUM(H1176:H1181)</f>
        <v>32.875</v>
      </c>
    </row>
    <row r="1183" spans="1:8" s="20" customFormat="1" x14ac:dyDescent="0.4">
      <c r="A1183" s="18"/>
      <c r="B1183" s="19"/>
      <c r="C1183" s="7"/>
      <c r="D1183" s="8"/>
      <c r="E1183" s="8"/>
      <c r="F1183" s="8"/>
      <c r="G1183" s="9"/>
      <c r="H1183" s="10"/>
    </row>
    <row r="1184" spans="1:8" s="20" customFormat="1" ht="55.2" x14ac:dyDescent="0.4">
      <c r="A1184" s="501">
        <v>22</v>
      </c>
      <c r="B1184" s="11" t="s">
        <v>373</v>
      </c>
      <c r="C1184" s="503" t="s">
        <v>1</v>
      </c>
      <c r="D1184" s="8"/>
      <c r="E1184" s="8"/>
      <c r="F1184" s="8"/>
      <c r="G1184" s="9"/>
      <c r="H1184" s="10"/>
    </row>
    <row r="1185" spans="1:8" s="20" customFormat="1" x14ac:dyDescent="0.4">
      <c r="A1185" s="501"/>
      <c r="B1185" s="169" t="s">
        <v>374</v>
      </c>
      <c r="C1185" s="503"/>
      <c r="D1185" s="17">
        <v>13.7</v>
      </c>
      <c r="E1185" s="17">
        <v>0.5</v>
      </c>
      <c r="F1185" s="17"/>
      <c r="G1185" s="4">
        <v>2</v>
      </c>
      <c r="H1185" s="24">
        <f>D1185*E1185*G1185</f>
        <v>13.7</v>
      </c>
    </row>
    <row r="1186" spans="1:8" s="20" customFormat="1" x14ac:dyDescent="0.4">
      <c r="A1186" s="501"/>
      <c r="B1186" s="19"/>
      <c r="C1186" s="503"/>
      <c r="D1186" s="17">
        <v>13.7</v>
      </c>
      <c r="E1186" s="17"/>
      <c r="F1186" s="17">
        <v>0.25</v>
      </c>
      <c r="G1186" s="4">
        <v>2</v>
      </c>
      <c r="H1186" s="24">
        <f>D1186*F1186*G1186</f>
        <v>6.85</v>
      </c>
    </row>
    <row r="1187" spans="1:8" s="20" customFormat="1" x14ac:dyDescent="0.4">
      <c r="A1187" s="501"/>
      <c r="B1187" s="19"/>
      <c r="C1187" s="503"/>
      <c r="D1187" s="8"/>
      <c r="E1187" s="8"/>
      <c r="F1187" s="8"/>
      <c r="G1187" s="26" t="s">
        <v>15</v>
      </c>
      <c r="H1187" s="10">
        <f>SUM(H1184:H1186)</f>
        <v>20.549999999999997</v>
      </c>
    </row>
    <row r="1188" spans="1:8" x14ac:dyDescent="0.4">
      <c r="A1188" s="192"/>
      <c r="B1188" s="121"/>
      <c r="C1188" s="170"/>
      <c r="D1188" s="56"/>
      <c r="E1188" s="56"/>
      <c r="F1188" s="56"/>
      <c r="G1188" s="67"/>
      <c r="H1188" s="62"/>
    </row>
    <row r="1189" spans="1:8" s="15" customFormat="1" ht="27.6" x14ac:dyDescent="0.4">
      <c r="A1189" s="18">
        <v>23</v>
      </c>
      <c r="B1189" s="19" t="s">
        <v>476</v>
      </c>
      <c r="C1189" s="7" t="s">
        <v>1</v>
      </c>
      <c r="D1189" s="8"/>
      <c r="E1189" s="8"/>
      <c r="F1189" s="8"/>
      <c r="G1189" s="9"/>
      <c r="H1189" s="10">
        <f>H1061</f>
        <v>305.96960000000007</v>
      </c>
    </row>
    <row r="1190" spans="1:8" s="15" customFormat="1" x14ac:dyDescent="0.4">
      <c r="A1190" s="18"/>
      <c r="B1190" s="19"/>
      <c r="C1190" s="7"/>
      <c r="D1190" s="8"/>
      <c r="E1190" s="8"/>
      <c r="F1190" s="8"/>
      <c r="G1190" s="9"/>
      <c r="H1190" s="13"/>
    </row>
    <row r="1191" spans="1:8" s="15" customFormat="1" ht="27.6" x14ac:dyDescent="0.4">
      <c r="A1191" s="18">
        <v>24</v>
      </c>
      <c r="B1191" s="19" t="s">
        <v>475</v>
      </c>
      <c r="C1191" s="7" t="s">
        <v>1</v>
      </c>
      <c r="D1191" s="8"/>
      <c r="E1191" s="8"/>
      <c r="F1191" s="8"/>
      <c r="G1191" s="26"/>
      <c r="H1191" s="10">
        <f>H1061</f>
        <v>305.96960000000007</v>
      </c>
    </row>
    <row r="1192" spans="1:8" x14ac:dyDescent="0.4">
      <c r="A1192" s="192"/>
      <c r="B1192" s="121"/>
      <c r="C1192" s="123"/>
      <c r="D1192" s="124"/>
      <c r="E1192" s="124"/>
      <c r="F1192" s="124"/>
      <c r="G1192" s="125"/>
      <c r="H1192" s="62"/>
    </row>
    <row r="1193" spans="1:8" s="15" customFormat="1" ht="27.6" x14ac:dyDescent="0.4">
      <c r="A1193" s="498">
        <v>25</v>
      </c>
      <c r="B1193" s="19" t="s">
        <v>333</v>
      </c>
      <c r="C1193" s="484" t="s">
        <v>1</v>
      </c>
      <c r="D1193" s="8">
        <v>19.66</v>
      </c>
      <c r="E1193" s="8"/>
      <c r="F1193" s="8">
        <v>5.54</v>
      </c>
      <c r="G1193" s="9">
        <v>1</v>
      </c>
      <c r="H1193" s="13">
        <f>D1193*F1193*G1193</f>
        <v>108.9164</v>
      </c>
    </row>
    <row r="1194" spans="1:8" s="15" customFormat="1" x14ac:dyDescent="0.4">
      <c r="A1194" s="499"/>
      <c r="B1194" s="14"/>
      <c r="C1194" s="485"/>
      <c r="D1194" s="8">
        <v>1</v>
      </c>
      <c r="E1194" s="8"/>
      <c r="F1194" s="8">
        <v>5.54</v>
      </c>
      <c r="G1194" s="9">
        <v>2</v>
      </c>
      <c r="H1194" s="13">
        <f t="shared" ref="H1194:H1199" si="27">D1194*F1194*G1194</f>
        <v>11.08</v>
      </c>
    </row>
    <row r="1195" spans="1:8" s="15" customFormat="1" x14ac:dyDescent="0.4">
      <c r="A1195" s="499"/>
      <c r="B1195" s="14"/>
      <c r="C1195" s="485"/>
      <c r="D1195" s="8">
        <v>33.130000000000003</v>
      </c>
      <c r="E1195" s="8"/>
      <c r="F1195" s="8">
        <v>5.54</v>
      </c>
      <c r="G1195" s="9">
        <v>1</v>
      </c>
      <c r="H1195" s="13">
        <f t="shared" si="27"/>
        <v>183.54020000000003</v>
      </c>
    </row>
    <row r="1196" spans="1:8" s="15" customFormat="1" x14ac:dyDescent="0.4">
      <c r="A1196" s="499"/>
      <c r="B1196" s="14"/>
      <c r="C1196" s="485"/>
      <c r="D1196" s="8">
        <v>1.32</v>
      </c>
      <c r="E1196" s="8"/>
      <c r="F1196" s="8">
        <v>5.54</v>
      </c>
      <c r="G1196" s="9">
        <v>1</v>
      </c>
      <c r="H1196" s="13">
        <f t="shared" si="27"/>
        <v>7.3128000000000002</v>
      </c>
    </row>
    <row r="1197" spans="1:8" s="15" customFormat="1" x14ac:dyDescent="0.4">
      <c r="A1197" s="499"/>
      <c r="B1197" s="14"/>
      <c r="C1197" s="485"/>
      <c r="D1197" s="8">
        <v>0.92</v>
      </c>
      <c r="E1197" s="8"/>
      <c r="F1197" s="8">
        <v>5.54</v>
      </c>
      <c r="G1197" s="9">
        <v>2</v>
      </c>
      <c r="H1197" s="13">
        <f t="shared" si="27"/>
        <v>10.1936</v>
      </c>
    </row>
    <row r="1198" spans="1:8" s="15" customFormat="1" x14ac:dyDescent="0.4">
      <c r="A1198" s="499"/>
      <c r="B1198" s="14" t="s">
        <v>201</v>
      </c>
      <c r="C1198" s="485"/>
      <c r="D1198" s="8">
        <v>19.66</v>
      </c>
      <c r="E1198" s="8">
        <v>1.1000000000000001</v>
      </c>
      <c r="F1198" s="8"/>
      <c r="G1198" s="9">
        <v>1</v>
      </c>
      <c r="H1198" s="13">
        <f>D1198*E1198*G1198</f>
        <v>21.626000000000001</v>
      </c>
    </row>
    <row r="1199" spans="1:8" s="15" customFormat="1" x14ac:dyDescent="0.4">
      <c r="A1199" s="499"/>
      <c r="B1199" s="14"/>
      <c r="C1199" s="485"/>
      <c r="D1199" s="8">
        <v>16.91</v>
      </c>
      <c r="E1199" s="8"/>
      <c r="F1199" s="8">
        <v>0.8</v>
      </c>
      <c r="G1199" s="9">
        <v>1</v>
      </c>
      <c r="H1199" s="13">
        <f t="shared" si="27"/>
        <v>13.528</v>
      </c>
    </row>
    <row r="1200" spans="1:8" s="15" customFormat="1" x14ac:dyDescent="0.4">
      <c r="A1200" s="499"/>
      <c r="B1200" s="14" t="s">
        <v>234</v>
      </c>
      <c r="C1200" s="485"/>
      <c r="D1200" s="8"/>
      <c r="E1200" s="8"/>
      <c r="F1200" s="8"/>
      <c r="G1200" s="9"/>
      <c r="H1200" s="13">
        <f>H1135</f>
        <v>651.98699999999997</v>
      </c>
    </row>
    <row r="1201" spans="1:8" s="15" customFormat="1" x14ac:dyDescent="0.4">
      <c r="A1201" s="499"/>
      <c r="B1201" s="14" t="s">
        <v>24</v>
      </c>
      <c r="C1201" s="485"/>
      <c r="D1201" s="8">
        <v>3.6</v>
      </c>
      <c r="E1201" s="8"/>
      <c r="F1201" s="8">
        <v>1</v>
      </c>
      <c r="G1201" s="9">
        <v>6</v>
      </c>
      <c r="H1201" s="13">
        <f>-D1201*F1201*G1201</f>
        <v>-21.6</v>
      </c>
    </row>
    <row r="1202" spans="1:8" s="15" customFormat="1" x14ac:dyDescent="0.4">
      <c r="A1202" s="499"/>
      <c r="B1202" s="14"/>
      <c r="C1202" s="485"/>
      <c r="D1202" s="8">
        <v>1.8</v>
      </c>
      <c r="E1202" s="8"/>
      <c r="F1202" s="8">
        <v>2.1</v>
      </c>
      <c r="G1202" s="9">
        <v>1</v>
      </c>
      <c r="H1202" s="13">
        <f>-D1202*F1202*G1202</f>
        <v>-3.7800000000000002</v>
      </c>
    </row>
    <row r="1203" spans="1:8" s="15" customFormat="1" x14ac:dyDescent="0.4">
      <c r="A1203" s="499"/>
      <c r="B1203" s="14"/>
      <c r="C1203" s="485"/>
      <c r="D1203" s="8">
        <v>1</v>
      </c>
      <c r="E1203" s="8"/>
      <c r="F1203" s="8">
        <v>2</v>
      </c>
      <c r="G1203" s="9">
        <v>1</v>
      </c>
      <c r="H1203" s="13">
        <f>-D1203*F1203*G1203</f>
        <v>-2</v>
      </c>
    </row>
    <row r="1204" spans="1:8" s="15" customFormat="1" x14ac:dyDescent="0.4">
      <c r="A1204" s="500"/>
      <c r="B1204" s="14"/>
      <c r="C1204" s="486"/>
      <c r="D1204" s="8"/>
      <c r="E1204" s="8"/>
      <c r="F1204" s="8"/>
      <c r="G1204" s="26" t="s">
        <v>80</v>
      </c>
      <c r="H1204" s="10">
        <f>SUM(H1193:H1203)</f>
        <v>980.80399999999997</v>
      </c>
    </row>
    <row r="1205" spans="1:8" s="15" customFormat="1" x14ac:dyDescent="0.4">
      <c r="A1205" s="18"/>
      <c r="B1205" s="14"/>
      <c r="C1205" s="7"/>
      <c r="D1205" s="8"/>
      <c r="E1205" s="8"/>
      <c r="F1205" s="8"/>
      <c r="G1205" s="26"/>
      <c r="H1205" s="10"/>
    </row>
    <row r="1206" spans="1:8" s="15" customFormat="1" x14ac:dyDescent="0.4">
      <c r="A1206" s="18">
        <v>26</v>
      </c>
      <c r="B1206" s="19" t="s">
        <v>336</v>
      </c>
      <c r="C1206" s="7" t="s">
        <v>1</v>
      </c>
      <c r="D1206" s="8"/>
      <c r="E1206" s="8"/>
      <c r="F1206" s="8"/>
      <c r="G1206" s="9"/>
      <c r="H1206" s="10">
        <f>H1204</f>
        <v>980.80399999999997</v>
      </c>
    </row>
    <row r="1207" spans="1:8" s="15" customFormat="1" x14ac:dyDescent="0.4">
      <c r="A1207" s="18"/>
      <c r="B1207" s="14"/>
      <c r="C1207" s="7"/>
      <c r="D1207" s="8"/>
      <c r="E1207" s="8"/>
      <c r="F1207" s="8"/>
      <c r="G1207" s="9"/>
      <c r="H1207" s="10"/>
    </row>
    <row r="1208" spans="1:8" s="15" customFormat="1" ht="27.6" x14ac:dyDescent="0.4">
      <c r="A1208" s="18">
        <v>27</v>
      </c>
      <c r="B1208" s="19" t="s">
        <v>335</v>
      </c>
      <c r="C1208" s="7" t="s">
        <v>1</v>
      </c>
      <c r="D1208" s="8"/>
      <c r="E1208" s="8"/>
      <c r="F1208" s="8"/>
      <c r="G1208" s="9"/>
      <c r="H1208" s="10">
        <f>H1204</f>
        <v>980.80399999999997</v>
      </c>
    </row>
    <row r="1209" spans="1:8" s="15" customFormat="1" x14ac:dyDescent="0.4">
      <c r="A1209" s="18"/>
      <c r="B1209" s="14"/>
      <c r="C1209" s="7"/>
      <c r="D1209" s="8"/>
      <c r="E1209" s="8"/>
      <c r="F1209" s="8"/>
      <c r="G1209" s="9"/>
      <c r="H1209" s="13"/>
    </row>
    <row r="1210" spans="1:8" s="15" customFormat="1" ht="41.4" x14ac:dyDescent="0.4">
      <c r="A1210" s="18">
        <v>28</v>
      </c>
      <c r="B1210" s="19" t="s">
        <v>192</v>
      </c>
      <c r="C1210" s="7" t="s">
        <v>4</v>
      </c>
      <c r="D1210" s="8"/>
      <c r="E1210" s="8"/>
      <c r="F1210" s="8"/>
      <c r="G1210" s="9"/>
      <c r="H1210" s="45">
        <v>4</v>
      </c>
    </row>
    <row r="1211" spans="1:8" s="15" customFormat="1" x14ac:dyDescent="0.4">
      <c r="A1211" s="18"/>
      <c r="B1211" s="19"/>
      <c r="C1211" s="7"/>
      <c r="D1211" s="8"/>
      <c r="E1211" s="8"/>
      <c r="F1211" s="8"/>
      <c r="G1211" s="9"/>
      <c r="H1211" s="13"/>
    </row>
    <row r="1212" spans="1:8" s="15" customFormat="1" ht="27.6" x14ac:dyDescent="0.4">
      <c r="A1212" s="18">
        <v>29</v>
      </c>
      <c r="B1212" s="19" t="s">
        <v>191</v>
      </c>
      <c r="C1212" s="7" t="s">
        <v>4</v>
      </c>
      <c r="D1212" s="8"/>
      <c r="E1212" s="8"/>
      <c r="F1212" s="8"/>
      <c r="G1212" s="9"/>
      <c r="H1212" s="45">
        <v>5</v>
      </c>
    </row>
    <row r="1213" spans="1:8" s="15" customFormat="1" x14ac:dyDescent="0.4">
      <c r="A1213" s="18"/>
      <c r="B1213" s="19"/>
      <c r="C1213" s="7"/>
      <c r="D1213" s="8"/>
      <c r="E1213" s="8"/>
      <c r="F1213" s="8"/>
      <c r="G1213" s="9"/>
      <c r="H1213" s="45"/>
    </row>
    <row r="1214" spans="1:8" s="15" customFormat="1" ht="27.6" x14ac:dyDescent="0.4">
      <c r="A1214" s="18">
        <v>30</v>
      </c>
      <c r="B1214" s="19" t="s">
        <v>263</v>
      </c>
      <c r="C1214" s="7" t="s">
        <v>4</v>
      </c>
      <c r="D1214" s="8"/>
      <c r="E1214" s="8"/>
      <c r="F1214" s="8"/>
      <c r="G1214" s="9"/>
      <c r="H1214" s="45">
        <v>2</v>
      </c>
    </row>
    <row r="1215" spans="1:8" s="15" customFormat="1" x14ac:dyDescent="0.4">
      <c r="A1215" s="18"/>
      <c r="B1215" s="19"/>
      <c r="C1215" s="7"/>
      <c r="D1215" s="8"/>
      <c r="E1215" s="8"/>
      <c r="F1215" s="8"/>
      <c r="G1215" s="9"/>
      <c r="H1215" s="45"/>
    </row>
    <row r="1216" spans="1:8" s="15" customFormat="1" ht="27.6" x14ac:dyDescent="0.4">
      <c r="A1216" s="18">
        <v>31</v>
      </c>
      <c r="B1216" s="19" t="s">
        <v>264</v>
      </c>
      <c r="C1216" s="7" t="s">
        <v>4</v>
      </c>
      <c r="D1216" s="8"/>
      <c r="E1216" s="8"/>
      <c r="F1216" s="8"/>
      <c r="G1216" s="9"/>
      <c r="H1216" s="45">
        <v>2</v>
      </c>
    </row>
    <row r="1217" spans="1:8" s="15" customFormat="1" x14ac:dyDescent="0.4">
      <c r="A1217" s="18"/>
      <c r="B1217" s="19"/>
      <c r="C1217" s="7"/>
      <c r="D1217" s="8"/>
      <c r="E1217" s="8"/>
      <c r="F1217" s="8"/>
      <c r="G1217" s="9"/>
      <c r="H1217" s="13"/>
    </row>
    <row r="1218" spans="1:8" s="15" customFormat="1" ht="14.7" x14ac:dyDescent="0.4">
      <c r="A1218" s="18"/>
      <c r="B1218" s="105" t="s">
        <v>338</v>
      </c>
      <c r="C1218" s="7"/>
      <c r="D1218" s="8"/>
      <c r="E1218" s="8"/>
      <c r="F1218" s="8"/>
      <c r="G1218" s="9"/>
      <c r="H1218" s="13"/>
    </row>
    <row r="1219" spans="1:8" s="20" customFormat="1" x14ac:dyDescent="0.4">
      <c r="A1219" s="18"/>
      <c r="B1219" s="14"/>
      <c r="C1219" s="7"/>
      <c r="D1219" s="8"/>
      <c r="E1219" s="8"/>
      <c r="F1219" s="8"/>
      <c r="G1219" s="9"/>
      <c r="H1219" s="13"/>
    </row>
    <row r="1220" spans="1:8" s="20" customFormat="1" x14ac:dyDescent="0.4">
      <c r="A1220" s="18">
        <v>32</v>
      </c>
      <c r="B1220" s="19" t="s">
        <v>380</v>
      </c>
      <c r="C1220" s="6" t="s">
        <v>1</v>
      </c>
      <c r="D1220" s="17">
        <v>25</v>
      </c>
      <c r="E1220" s="17">
        <v>0.25</v>
      </c>
      <c r="F1220" s="17"/>
      <c r="G1220" s="4">
        <v>2</v>
      </c>
      <c r="H1220" s="23">
        <f>D1220*E1220*G1220</f>
        <v>12.5</v>
      </c>
    </row>
    <row r="1221" spans="1:8" s="20" customFormat="1" x14ac:dyDescent="0.4">
      <c r="A1221" s="18"/>
      <c r="B1221" s="14"/>
      <c r="C1221" s="7"/>
      <c r="D1221" s="8"/>
      <c r="E1221" s="8"/>
      <c r="F1221" s="8"/>
      <c r="G1221" s="9"/>
      <c r="H1221" s="13"/>
    </row>
    <row r="1222" spans="1:8" s="20" customFormat="1" ht="27.6" x14ac:dyDescent="0.4">
      <c r="A1222" s="18">
        <v>33</v>
      </c>
      <c r="B1222" s="19" t="s">
        <v>381</v>
      </c>
      <c r="C1222" s="7" t="s">
        <v>1</v>
      </c>
      <c r="D1222" s="8">
        <v>25</v>
      </c>
      <c r="E1222" s="17">
        <v>0.45</v>
      </c>
      <c r="F1222" s="17"/>
      <c r="G1222" s="4">
        <v>2</v>
      </c>
      <c r="H1222" s="23">
        <f>D1222*E1222*G1222</f>
        <v>22.5</v>
      </c>
    </row>
    <row r="1223" spans="1:8" s="20" customFormat="1" x14ac:dyDescent="0.4">
      <c r="A1223" s="18"/>
      <c r="B1223" s="14"/>
      <c r="C1223" s="7"/>
      <c r="D1223" s="8"/>
      <c r="E1223" s="8"/>
      <c r="F1223" s="8"/>
      <c r="G1223" s="9"/>
      <c r="H1223" s="13"/>
    </row>
    <row r="1224" spans="1:8" ht="27.6" x14ac:dyDescent="0.4">
      <c r="A1224" s="34">
        <v>34</v>
      </c>
      <c r="B1224" s="19" t="s">
        <v>382</v>
      </c>
      <c r="C1224" s="7" t="s">
        <v>5</v>
      </c>
      <c r="D1224" s="8">
        <v>25</v>
      </c>
      <c r="E1224" s="8">
        <v>0.23</v>
      </c>
      <c r="F1224" s="8"/>
      <c r="G1224" s="9">
        <v>2</v>
      </c>
      <c r="H1224" s="23">
        <f>D1224*E1224*G1224</f>
        <v>11.5</v>
      </c>
    </row>
    <row r="1225" spans="1:8" x14ac:dyDescent="0.4">
      <c r="A1225" s="34"/>
      <c r="B1225" s="19"/>
      <c r="C1225" s="7"/>
      <c r="D1225" s="8"/>
      <c r="E1225" s="8"/>
      <c r="F1225" s="8"/>
      <c r="G1225" s="9"/>
      <c r="H1225" s="10"/>
    </row>
    <row r="1226" spans="1:8" x14ac:dyDescent="0.45">
      <c r="A1226" s="34">
        <v>35</v>
      </c>
      <c r="B1226" s="171" t="s">
        <v>383</v>
      </c>
      <c r="C1226" s="6" t="s">
        <v>1</v>
      </c>
      <c r="D1226" s="8">
        <v>25</v>
      </c>
      <c r="E1226" s="8">
        <v>0.15</v>
      </c>
      <c r="F1226" s="8"/>
      <c r="G1226" s="9">
        <v>2</v>
      </c>
      <c r="H1226" s="116">
        <f>D1226*E1226*G1226</f>
        <v>7.5</v>
      </c>
    </row>
    <row r="1227" spans="1:8" x14ac:dyDescent="0.4">
      <c r="A1227" s="34"/>
      <c r="B1227" s="167"/>
      <c r="C1227" s="6"/>
      <c r="D1227" s="17"/>
      <c r="E1227" s="17"/>
      <c r="F1227" s="17"/>
      <c r="G1227" s="4"/>
      <c r="H1227" s="23"/>
    </row>
    <row r="1228" spans="1:8" ht="55.2" x14ac:dyDescent="0.4">
      <c r="A1228" s="132">
        <v>36</v>
      </c>
      <c r="B1228" s="11" t="s">
        <v>375</v>
      </c>
      <c r="C1228" s="6" t="s">
        <v>5</v>
      </c>
      <c r="D1228" s="8">
        <v>25</v>
      </c>
      <c r="E1228" s="8"/>
      <c r="F1228" s="8"/>
      <c r="G1228" s="9">
        <v>2</v>
      </c>
      <c r="H1228" s="10">
        <f>D1228*G1228</f>
        <v>50</v>
      </c>
    </row>
    <row r="1229" spans="1:8" x14ac:dyDescent="0.4">
      <c r="A1229" s="132"/>
      <c r="B1229" s="11"/>
      <c r="C1229" s="6"/>
      <c r="D1229" s="8"/>
      <c r="E1229" s="8"/>
      <c r="F1229" s="8"/>
      <c r="G1229" s="9"/>
      <c r="H1229" s="10"/>
    </row>
    <row r="1230" spans="1:8" ht="45" customHeight="1" x14ac:dyDescent="0.4">
      <c r="A1230" s="132">
        <v>37</v>
      </c>
      <c r="B1230" s="11" t="s">
        <v>376</v>
      </c>
      <c r="C1230" s="6" t="s">
        <v>5</v>
      </c>
      <c r="D1230" s="8">
        <v>25</v>
      </c>
      <c r="E1230" s="8"/>
      <c r="F1230" s="8"/>
      <c r="G1230" s="9">
        <v>2</v>
      </c>
      <c r="H1230" s="10">
        <f>D1230*G1230</f>
        <v>50</v>
      </c>
    </row>
    <row r="1231" spans="1:8" x14ac:dyDescent="0.4">
      <c r="A1231" s="132"/>
      <c r="B1231" s="167"/>
      <c r="C1231" s="6"/>
      <c r="D1231" s="172"/>
      <c r="E1231" s="17"/>
      <c r="F1231" s="17"/>
      <c r="G1231" s="4"/>
      <c r="H1231" s="23"/>
    </row>
    <row r="1232" spans="1:8" ht="41.4" x14ac:dyDescent="0.4">
      <c r="A1232" s="132">
        <v>38</v>
      </c>
      <c r="B1232" s="11" t="s">
        <v>385</v>
      </c>
      <c r="C1232" s="6" t="s">
        <v>5</v>
      </c>
      <c r="D1232" s="8">
        <v>25</v>
      </c>
      <c r="E1232" s="8"/>
      <c r="F1232" s="8"/>
      <c r="G1232" s="9">
        <v>4</v>
      </c>
      <c r="H1232" s="10">
        <f>D1232*G1232</f>
        <v>100</v>
      </c>
    </row>
    <row r="1233" spans="1:8" x14ac:dyDescent="0.4">
      <c r="A1233" s="132"/>
      <c r="B1233" s="153"/>
      <c r="C1233" s="6"/>
      <c r="D1233" s="16"/>
      <c r="E1233" s="16"/>
      <c r="F1233" s="16"/>
      <c r="G1233" s="16"/>
      <c r="H1233" s="16"/>
    </row>
    <row r="1234" spans="1:8" ht="41.4" x14ac:dyDescent="0.4">
      <c r="A1234" s="132">
        <v>39</v>
      </c>
      <c r="B1234" s="11" t="s">
        <v>384</v>
      </c>
      <c r="C1234" s="6" t="s">
        <v>5</v>
      </c>
      <c r="D1234" s="8">
        <v>25</v>
      </c>
      <c r="E1234" s="8"/>
      <c r="F1234" s="8"/>
      <c r="G1234" s="9">
        <v>2</v>
      </c>
      <c r="H1234" s="10">
        <f>D1234*G1234</f>
        <v>50</v>
      </c>
    </row>
    <row r="1235" spans="1:8" x14ac:dyDescent="0.4">
      <c r="A1235" s="132"/>
      <c r="B1235" s="121"/>
      <c r="C1235" s="170"/>
      <c r="D1235" s="56"/>
      <c r="E1235" s="56"/>
      <c r="F1235" s="56"/>
      <c r="G1235" s="67"/>
      <c r="H1235" s="62"/>
    </row>
    <row r="1236" spans="1:8" x14ac:dyDescent="0.4">
      <c r="A1236" s="122"/>
      <c r="B1236" s="121"/>
      <c r="C1236" s="123"/>
      <c r="D1236" s="124"/>
      <c r="E1236" s="124"/>
      <c r="F1236" s="124"/>
      <c r="G1236" s="125"/>
      <c r="H1236" s="62"/>
    </row>
    <row r="1237" spans="1:8" ht="25" customHeight="1" x14ac:dyDescent="0.4">
      <c r="A1237" s="122"/>
      <c r="B1237" s="173" t="s">
        <v>309</v>
      </c>
      <c r="C1237" s="174"/>
      <c r="D1237" s="175"/>
      <c r="E1237" s="175"/>
      <c r="F1237" s="124"/>
      <c r="G1237" s="125"/>
      <c r="H1237" s="62"/>
    </row>
    <row r="1238" spans="1:8" ht="27.6" x14ac:dyDescent="0.4">
      <c r="A1238" s="497">
        <v>1</v>
      </c>
      <c r="B1238" s="11" t="s">
        <v>340</v>
      </c>
      <c r="C1238" s="503" t="s">
        <v>2</v>
      </c>
      <c r="D1238" s="17"/>
      <c r="E1238" s="17"/>
      <c r="F1238" s="17"/>
      <c r="G1238" s="4"/>
      <c r="H1238" s="24"/>
    </row>
    <row r="1239" spans="1:8" x14ac:dyDescent="0.4">
      <c r="A1239" s="497"/>
      <c r="B1239" s="5" t="s">
        <v>310</v>
      </c>
      <c r="C1239" s="503"/>
      <c r="D1239" s="17">
        <v>611.49</v>
      </c>
      <c r="E1239" s="17"/>
      <c r="F1239" s="17">
        <v>0.2</v>
      </c>
      <c r="G1239" s="4">
        <v>1</v>
      </c>
      <c r="H1239" s="24">
        <f>D1239*F1239*G1239</f>
        <v>122.298</v>
      </c>
    </row>
    <row r="1240" spans="1:8" x14ac:dyDescent="0.4">
      <c r="A1240" s="497"/>
      <c r="B1240" s="5" t="s">
        <v>311</v>
      </c>
      <c r="C1240" s="503"/>
      <c r="D1240" s="17">
        <v>33.590000000000003</v>
      </c>
      <c r="E1240" s="17"/>
      <c r="F1240" s="17">
        <v>0.2</v>
      </c>
      <c r="G1240" s="4">
        <v>1</v>
      </c>
      <c r="H1240" s="24">
        <f>D1240*F1240*G1240</f>
        <v>6.7180000000000009</v>
      </c>
    </row>
    <row r="1241" spans="1:8" x14ac:dyDescent="0.4">
      <c r="A1241" s="497"/>
      <c r="B1241" s="5" t="s">
        <v>457</v>
      </c>
      <c r="C1241" s="503"/>
      <c r="D1241" s="17">
        <v>28.27</v>
      </c>
      <c r="E1241" s="17"/>
      <c r="F1241" s="17">
        <v>0.2</v>
      </c>
      <c r="G1241" s="4">
        <v>1</v>
      </c>
      <c r="H1241" s="24">
        <f>-D1241*F1241*G1241</f>
        <v>-5.6539999999999999</v>
      </c>
    </row>
    <row r="1242" spans="1:8" x14ac:dyDescent="0.4">
      <c r="A1242" s="497"/>
      <c r="B1242" s="11"/>
      <c r="C1242" s="503"/>
      <c r="D1242" s="17"/>
      <c r="E1242" s="17"/>
      <c r="F1242" s="17"/>
      <c r="G1242" s="94" t="s">
        <v>15</v>
      </c>
      <c r="H1242" s="10">
        <f>SUM(H1238:H1241)</f>
        <v>123.36199999999999</v>
      </c>
    </row>
    <row r="1243" spans="1:8" x14ac:dyDescent="0.4">
      <c r="A1243" s="132"/>
      <c r="B1243" s="11"/>
      <c r="C1243" s="123"/>
      <c r="D1243" s="124"/>
      <c r="E1243" s="124"/>
      <c r="F1243" s="124"/>
      <c r="G1243" s="125"/>
      <c r="H1243" s="62"/>
    </row>
    <row r="1244" spans="1:8" x14ac:dyDescent="0.4">
      <c r="A1244" s="132">
        <v>2</v>
      </c>
      <c r="B1244" s="11" t="s">
        <v>386</v>
      </c>
      <c r="C1244" s="28" t="s">
        <v>2</v>
      </c>
      <c r="D1244" s="17">
        <v>28.27</v>
      </c>
      <c r="E1244" s="33"/>
      <c r="F1244" s="33">
        <v>0.6</v>
      </c>
      <c r="G1244" s="32">
        <v>1</v>
      </c>
      <c r="H1244" s="23">
        <f>D1244*F1244*G1244</f>
        <v>16.962</v>
      </c>
    </row>
    <row r="1245" spans="1:8" x14ac:dyDescent="0.4">
      <c r="A1245" s="132"/>
      <c r="B1245" s="11"/>
      <c r="C1245" s="123"/>
      <c r="D1245" s="124"/>
      <c r="E1245" s="124"/>
      <c r="F1245" s="124"/>
      <c r="G1245" s="125"/>
      <c r="H1245" s="62"/>
    </row>
    <row r="1246" spans="1:8" ht="27.6" x14ac:dyDescent="0.4">
      <c r="A1246" s="132">
        <v>3</v>
      </c>
      <c r="B1246" s="11" t="s">
        <v>387</v>
      </c>
      <c r="C1246" s="28" t="s">
        <v>2</v>
      </c>
      <c r="D1246" s="17">
        <v>28.27</v>
      </c>
      <c r="E1246" s="33"/>
      <c r="F1246" s="33">
        <v>0.6</v>
      </c>
      <c r="G1246" s="32">
        <v>1</v>
      </c>
      <c r="H1246" s="23">
        <f>D1246*F1246*G1246</f>
        <v>16.962</v>
      </c>
    </row>
    <row r="1247" spans="1:8" x14ac:dyDescent="0.4">
      <c r="A1247" s="132"/>
      <c r="B1247" s="11"/>
      <c r="C1247" s="123"/>
      <c r="D1247" s="124"/>
      <c r="E1247" s="124"/>
      <c r="F1247" s="124"/>
      <c r="G1247" s="125"/>
      <c r="H1247" s="62"/>
    </row>
    <row r="1248" spans="1:8" ht="27.6" x14ac:dyDescent="0.4">
      <c r="A1248" s="132">
        <v>4</v>
      </c>
      <c r="B1248" s="11" t="s">
        <v>341</v>
      </c>
      <c r="C1248" s="28" t="s">
        <v>2</v>
      </c>
      <c r="D1248" s="17">
        <v>28.27</v>
      </c>
      <c r="E1248" s="33"/>
      <c r="F1248" s="33">
        <v>0.9</v>
      </c>
      <c r="G1248" s="32">
        <v>1</v>
      </c>
      <c r="H1248" s="23">
        <f>D1248*F1248*G1248</f>
        <v>25.443000000000001</v>
      </c>
    </row>
    <row r="1249" spans="1:8" x14ac:dyDescent="0.4">
      <c r="A1249" s="132"/>
      <c r="B1249" s="11"/>
      <c r="C1249" s="123"/>
      <c r="D1249" s="124"/>
      <c r="E1249" s="124"/>
      <c r="F1249" s="124"/>
      <c r="G1249" s="125"/>
      <c r="H1249" s="62"/>
    </row>
    <row r="1250" spans="1:8" x14ac:dyDescent="0.4">
      <c r="A1250" s="497">
        <v>5</v>
      </c>
      <c r="B1250" s="11" t="s">
        <v>193</v>
      </c>
      <c r="C1250" s="493" t="s">
        <v>1</v>
      </c>
      <c r="D1250" s="124"/>
      <c r="E1250" s="124"/>
      <c r="F1250" s="124"/>
      <c r="G1250" s="125"/>
      <c r="H1250" s="62"/>
    </row>
    <row r="1251" spans="1:8" x14ac:dyDescent="0.4">
      <c r="A1251" s="497"/>
      <c r="B1251" s="5" t="s">
        <v>310</v>
      </c>
      <c r="C1251" s="493"/>
      <c r="D1251" s="124"/>
      <c r="E1251" s="124"/>
      <c r="F1251" s="124"/>
      <c r="G1251" s="125"/>
      <c r="H1251" s="24">
        <v>611.49</v>
      </c>
    </row>
    <row r="1252" spans="1:8" x14ac:dyDescent="0.4">
      <c r="A1252" s="497"/>
      <c r="B1252" s="5" t="s">
        <v>311</v>
      </c>
      <c r="C1252" s="493"/>
      <c r="D1252" s="124"/>
      <c r="E1252" s="124"/>
      <c r="F1252" s="124"/>
      <c r="G1252" s="125"/>
      <c r="H1252" s="24">
        <v>33.590000000000003</v>
      </c>
    </row>
    <row r="1253" spans="1:8" x14ac:dyDescent="0.4">
      <c r="A1253" s="497"/>
      <c r="B1253" s="5"/>
      <c r="C1253" s="493"/>
      <c r="D1253" s="124"/>
      <c r="E1253" s="124"/>
      <c r="F1253" s="124"/>
      <c r="G1253" s="94" t="s">
        <v>15</v>
      </c>
      <c r="H1253" s="10">
        <f>SUM(H1251:H1252)</f>
        <v>645.08000000000004</v>
      </c>
    </row>
    <row r="1254" spans="1:8" x14ac:dyDescent="0.4">
      <c r="A1254" s="132"/>
      <c r="B1254" s="5"/>
      <c r="C1254" s="132"/>
      <c r="D1254" s="124"/>
      <c r="E1254" s="124"/>
      <c r="F1254" s="124"/>
      <c r="G1254" s="125"/>
      <c r="H1254" s="62"/>
    </row>
    <row r="1255" spans="1:8" ht="27.6" x14ac:dyDescent="0.4">
      <c r="A1255" s="132">
        <v>6</v>
      </c>
      <c r="B1255" s="19" t="s">
        <v>397</v>
      </c>
      <c r="C1255" s="6" t="s">
        <v>4</v>
      </c>
      <c r="D1255" s="56"/>
      <c r="E1255" s="56"/>
      <c r="F1255" s="56"/>
      <c r="G1255" s="67"/>
      <c r="H1255" s="147">
        <v>5</v>
      </c>
    </row>
    <row r="1256" spans="1:8" x14ac:dyDescent="0.4">
      <c r="A1256" s="132"/>
      <c r="B1256" s="53"/>
      <c r="C1256" s="6"/>
      <c r="D1256" s="56"/>
      <c r="E1256" s="56"/>
      <c r="F1256" s="56"/>
      <c r="G1256" s="67"/>
      <c r="H1256" s="65"/>
    </row>
    <row r="1257" spans="1:8" ht="41.4" x14ac:dyDescent="0.4">
      <c r="A1257" s="132">
        <v>7</v>
      </c>
      <c r="B1257" s="19" t="s">
        <v>396</v>
      </c>
      <c r="C1257" s="6" t="s">
        <v>1</v>
      </c>
      <c r="D1257" s="56"/>
      <c r="E1257" s="56"/>
      <c r="F1257" s="56"/>
      <c r="G1257" s="67"/>
      <c r="H1257" s="23">
        <f>3.14*(3.25*3.25-2.75*2.5)</f>
        <v>11.578750000000001</v>
      </c>
    </row>
    <row r="1258" spans="1:8" x14ac:dyDescent="0.4">
      <c r="A1258" s="132"/>
      <c r="B1258" s="5"/>
      <c r="C1258" s="34"/>
      <c r="D1258" s="56"/>
      <c r="E1258" s="56"/>
      <c r="F1258" s="56"/>
      <c r="G1258" s="67"/>
      <c r="H1258" s="62"/>
    </row>
    <row r="1259" spans="1:8" ht="27.6" x14ac:dyDescent="0.4">
      <c r="A1259" s="132">
        <v>8</v>
      </c>
      <c r="B1259" s="11" t="s">
        <v>398</v>
      </c>
      <c r="C1259" s="6" t="s">
        <v>4</v>
      </c>
      <c r="D1259" s="56"/>
      <c r="E1259" s="56"/>
      <c r="F1259" s="56"/>
      <c r="G1259" s="67"/>
      <c r="H1259" s="147">
        <v>8</v>
      </c>
    </row>
    <row r="1260" spans="1:8" x14ac:dyDescent="0.4">
      <c r="A1260" s="122"/>
      <c r="B1260" s="5"/>
      <c r="C1260" s="34"/>
      <c r="D1260" s="56"/>
      <c r="E1260" s="56"/>
      <c r="F1260" s="56"/>
      <c r="G1260" s="67"/>
      <c r="H1260" s="62"/>
    </row>
    <row r="1261" spans="1:8" ht="27.6" x14ac:dyDescent="0.4">
      <c r="A1261" s="132">
        <v>9</v>
      </c>
      <c r="B1261" s="11" t="s">
        <v>399</v>
      </c>
      <c r="C1261" s="28" t="s">
        <v>1</v>
      </c>
      <c r="D1261" s="124"/>
      <c r="E1261" s="56"/>
      <c r="F1261" s="56"/>
      <c r="G1261" s="67"/>
      <c r="H1261" s="23">
        <v>29.1</v>
      </c>
    </row>
    <row r="1262" spans="1:8" x14ac:dyDescent="0.4">
      <c r="A1262" s="132"/>
      <c r="B1262" s="5"/>
      <c r="C1262" s="28"/>
      <c r="D1262" s="124"/>
      <c r="E1262" s="56"/>
      <c r="F1262" s="56"/>
      <c r="G1262" s="67"/>
      <c r="H1262" s="62"/>
    </row>
    <row r="1263" spans="1:8" ht="27.6" x14ac:dyDescent="0.4">
      <c r="A1263" s="132">
        <v>10</v>
      </c>
      <c r="B1263" s="11" t="s">
        <v>400</v>
      </c>
      <c r="C1263" s="28" t="s">
        <v>1</v>
      </c>
      <c r="D1263" s="124"/>
      <c r="E1263" s="56"/>
      <c r="F1263" s="56"/>
      <c r="G1263" s="67"/>
      <c r="H1263" s="23">
        <v>20.5</v>
      </c>
    </row>
    <row r="1264" spans="1:8" x14ac:dyDescent="0.4">
      <c r="A1264" s="132"/>
      <c r="B1264" s="5"/>
      <c r="C1264" s="28"/>
      <c r="D1264" s="124"/>
      <c r="E1264" s="56"/>
      <c r="F1264" s="56"/>
      <c r="G1264" s="67"/>
      <c r="H1264" s="62"/>
    </row>
    <row r="1265" spans="1:8" ht="27.6" x14ac:dyDescent="0.4">
      <c r="A1265" s="132">
        <v>11</v>
      </c>
      <c r="B1265" s="11" t="s">
        <v>402</v>
      </c>
      <c r="C1265" s="28" t="s">
        <v>1</v>
      </c>
      <c r="D1265" s="124"/>
      <c r="E1265" s="56"/>
      <c r="F1265" s="56"/>
      <c r="G1265" s="67"/>
      <c r="H1265" s="23">
        <v>14.3</v>
      </c>
    </row>
    <row r="1266" spans="1:8" x14ac:dyDescent="0.4">
      <c r="A1266" s="132"/>
      <c r="B1266" s="5"/>
      <c r="C1266" s="28"/>
      <c r="D1266" s="124"/>
      <c r="E1266" s="56"/>
      <c r="F1266" s="56"/>
      <c r="G1266" s="67"/>
      <c r="H1266" s="62"/>
    </row>
    <row r="1267" spans="1:8" ht="27.6" x14ac:dyDescent="0.4">
      <c r="A1267" s="132">
        <v>12</v>
      </c>
      <c r="B1267" s="11" t="s">
        <v>401</v>
      </c>
      <c r="C1267" s="28" t="s">
        <v>1</v>
      </c>
      <c r="D1267" s="124"/>
      <c r="E1267" s="56"/>
      <c r="F1267" s="56"/>
      <c r="G1267" s="67"/>
      <c r="H1267" s="23">
        <v>3.33</v>
      </c>
    </row>
    <row r="1268" spans="1:8" x14ac:dyDescent="0.4">
      <c r="A1268" s="132"/>
      <c r="B1268" s="5"/>
      <c r="C1268" s="28"/>
      <c r="D1268" s="124"/>
      <c r="E1268" s="56"/>
      <c r="F1268" s="56"/>
      <c r="G1268" s="67"/>
      <c r="H1268" s="62"/>
    </row>
    <row r="1269" spans="1:8" ht="27.6" x14ac:dyDescent="0.4">
      <c r="A1269" s="132">
        <v>13</v>
      </c>
      <c r="B1269" s="11" t="s">
        <v>403</v>
      </c>
      <c r="C1269" s="28" t="s">
        <v>4</v>
      </c>
      <c r="D1269" s="124"/>
      <c r="E1269" s="56"/>
      <c r="F1269" s="56"/>
      <c r="G1269" s="67"/>
      <c r="H1269" s="147">
        <v>5</v>
      </c>
    </row>
    <row r="1270" spans="1:8" x14ac:dyDescent="0.4">
      <c r="A1270" s="132"/>
      <c r="B1270" s="5"/>
      <c r="C1270" s="132"/>
      <c r="D1270" s="124"/>
      <c r="E1270" s="56"/>
      <c r="F1270" s="56"/>
      <c r="G1270" s="67"/>
      <c r="H1270" s="62"/>
    </row>
    <row r="1271" spans="1:8" ht="27.6" x14ac:dyDescent="0.4">
      <c r="A1271" s="132">
        <v>14</v>
      </c>
      <c r="B1271" s="11" t="s">
        <v>404</v>
      </c>
      <c r="C1271" s="28" t="s">
        <v>4</v>
      </c>
      <c r="D1271" s="124"/>
      <c r="E1271" s="124"/>
      <c r="F1271" s="124"/>
      <c r="G1271" s="125"/>
      <c r="H1271" s="147">
        <v>6</v>
      </c>
    </row>
    <row r="1272" spans="1:8" x14ac:dyDescent="0.4">
      <c r="A1272" s="132"/>
      <c r="B1272" s="5"/>
      <c r="C1272" s="28"/>
      <c r="D1272" s="124"/>
      <c r="E1272" s="124"/>
      <c r="F1272" s="124"/>
      <c r="G1272" s="125"/>
      <c r="H1272" s="62"/>
    </row>
    <row r="1273" spans="1:8" x14ac:dyDescent="0.4">
      <c r="A1273" s="497">
        <v>15</v>
      </c>
      <c r="B1273" s="19" t="s">
        <v>312</v>
      </c>
      <c r="C1273" s="493" t="s">
        <v>1</v>
      </c>
      <c r="D1273" s="124"/>
      <c r="E1273" s="124"/>
      <c r="F1273" s="124"/>
      <c r="G1273" s="125"/>
      <c r="H1273" s="23"/>
    </row>
    <row r="1274" spans="1:8" x14ac:dyDescent="0.4">
      <c r="A1274" s="497"/>
      <c r="B1274" s="5" t="s">
        <v>409</v>
      </c>
      <c r="C1274" s="493"/>
      <c r="D1274" s="124"/>
      <c r="E1274" s="124"/>
      <c r="F1274" s="124"/>
      <c r="G1274" s="125"/>
      <c r="H1274" s="24">
        <v>582.73</v>
      </c>
    </row>
    <row r="1275" spans="1:8" x14ac:dyDescent="0.4">
      <c r="A1275" s="497"/>
      <c r="B1275" s="5" t="s">
        <v>410</v>
      </c>
      <c r="C1275" s="493"/>
      <c r="D1275" s="124"/>
      <c r="E1275" s="124"/>
      <c r="F1275" s="124"/>
      <c r="G1275" s="125"/>
      <c r="H1275" s="24">
        <v>33.590000000000003</v>
      </c>
    </row>
    <row r="1276" spans="1:8" x14ac:dyDescent="0.4">
      <c r="A1276" s="497"/>
      <c r="B1276" s="19"/>
      <c r="C1276" s="493"/>
      <c r="D1276" s="124"/>
      <c r="E1276" s="124"/>
      <c r="F1276" s="124"/>
      <c r="G1276" s="136" t="s">
        <v>15</v>
      </c>
      <c r="H1276" s="23">
        <f>SUM(H1274:H1275)</f>
        <v>616.32000000000005</v>
      </c>
    </row>
    <row r="1277" spans="1:8" x14ac:dyDescent="0.4">
      <c r="A1277" s="122"/>
      <c r="B1277" s="5"/>
      <c r="C1277" s="28"/>
      <c r="D1277" s="124"/>
      <c r="E1277" s="124"/>
      <c r="F1277" s="124"/>
      <c r="G1277" s="125"/>
      <c r="H1277" s="62"/>
    </row>
    <row r="1278" spans="1:8" ht="27.6" x14ac:dyDescent="0.4">
      <c r="A1278" s="497">
        <v>16</v>
      </c>
      <c r="B1278" s="31" t="s">
        <v>413</v>
      </c>
      <c r="C1278" s="493" t="s">
        <v>1</v>
      </c>
      <c r="D1278" s="124"/>
      <c r="E1278" s="124"/>
      <c r="F1278" s="124"/>
      <c r="G1278" s="125"/>
      <c r="H1278" s="62"/>
    </row>
    <row r="1279" spans="1:8" x14ac:dyDescent="0.4">
      <c r="A1279" s="497"/>
      <c r="B1279" s="5" t="s">
        <v>409</v>
      </c>
      <c r="C1279" s="493"/>
      <c r="D1279" s="124"/>
      <c r="E1279" s="124"/>
      <c r="F1279" s="124"/>
      <c r="G1279" s="125"/>
      <c r="H1279" s="24">
        <v>582.73</v>
      </c>
    </row>
    <row r="1280" spans="1:8" x14ac:dyDescent="0.4">
      <c r="A1280" s="497"/>
      <c r="B1280" s="5" t="s">
        <v>410</v>
      </c>
      <c r="C1280" s="493"/>
      <c r="D1280" s="124"/>
      <c r="E1280" s="124"/>
      <c r="F1280" s="124"/>
      <c r="G1280" s="125"/>
      <c r="H1280" s="24">
        <v>33.590000000000003</v>
      </c>
    </row>
    <row r="1281" spans="1:8" x14ac:dyDescent="0.45">
      <c r="A1281" s="497"/>
      <c r="B1281" s="162" t="s">
        <v>411</v>
      </c>
      <c r="C1281" s="493"/>
      <c r="D1281" s="124"/>
      <c r="E1281" s="124"/>
      <c r="F1281" s="124"/>
      <c r="G1281" s="125"/>
      <c r="H1281" s="24">
        <v>17.64</v>
      </c>
    </row>
    <row r="1282" spans="1:8" x14ac:dyDescent="0.4">
      <c r="A1282" s="497"/>
      <c r="B1282" s="5" t="s">
        <v>415</v>
      </c>
      <c r="C1282" s="493"/>
      <c r="D1282" s="33">
        <v>120.84</v>
      </c>
      <c r="E1282" s="33"/>
      <c r="F1282" s="33">
        <v>1.4</v>
      </c>
      <c r="G1282" s="32">
        <v>1</v>
      </c>
      <c r="H1282" s="24">
        <f>D1282*F1282*G1282</f>
        <v>169.17599999999999</v>
      </c>
    </row>
    <row r="1283" spans="1:8" x14ac:dyDescent="0.4">
      <c r="A1283" s="497"/>
      <c r="B1283" s="5" t="s">
        <v>412</v>
      </c>
      <c r="C1283" s="493"/>
      <c r="D1283" s="33">
        <v>20.55</v>
      </c>
      <c r="E1283" s="33"/>
      <c r="F1283" s="33">
        <v>0.7</v>
      </c>
      <c r="G1283" s="32">
        <v>1</v>
      </c>
      <c r="H1283" s="24">
        <f>D1283*F1283*G1283</f>
        <v>14.385</v>
      </c>
    </row>
    <row r="1284" spans="1:8" x14ac:dyDescent="0.4">
      <c r="A1284" s="497"/>
      <c r="B1284" s="5" t="s">
        <v>411</v>
      </c>
      <c r="C1284" s="493"/>
      <c r="D1284" s="33">
        <v>109.4</v>
      </c>
      <c r="E1284" s="33">
        <v>0.23</v>
      </c>
      <c r="F1284" s="33"/>
      <c r="G1284" s="32">
        <v>1</v>
      </c>
      <c r="H1284" s="24">
        <f>D1284*E1284*G1284</f>
        <v>25.162000000000003</v>
      </c>
    </row>
    <row r="1285" spans="1:8" x14ac:dyDescent="0.4">
      <c r="A1285" s="497"/>
      <c r="B1285" s="5" t="s">
        <v>414</v>
      </c>
      <c r="C1285" s="493"/>
      <c r="D1285" s="33">
        <v>109.4</v>
      </c>
      <c r="E1285" s="33"/>
      <c r="F1285" s="33">
        <v>0.45</v>
      </c>
      <c r="G1285" s="4">
        <v>2</v>
      </c>
      <c r="H1285" s="24">
        <f>D1285*F1285*G1285</f>
        <v>98.460000000000008</v>
      </c>
    </row>
    <row r="1286" spans="1:8" x14ac:dyDescent="0.4">
      <c r="A1286" s="497"/>
      <c r="B1286" s="188"/>
      <c r="C1286" s="493"/>
      <c r="D1286" s="33"/>
      <c r="E1286" s="33"/>
      <c r="F1286" s="33"/>
      <c r="G1286" s="136" t="s">
        <v>15</v>
      </c>
      <c r="H1286" s="23">
        <f>SUM(H1278:H1285)</f>
        <v>941.14300000000003</v>
      </c>
    </row>
    <row r="1287" spans="1:8" x14ac:dyDescent="0.4">
      <c r="A1287" s="132"/>
      <c r="B1287" s="5"/>
      <c r="C1287" s="28"/>
      <c r="D1287" s="124"/>
      <c r="E1287" s="124"/>
      <c r="F1287" s="124"/>
      <c r="G1287" s="125"/>
      <c r="H1287" s="62"/>
    </row>
    <row r="1288" spans="1:8" ht="41.4" x14ac:dyDescent="0.4">
      <c r="A1288" s="132">
        <v>17</v>
      </c>
      <c r="B1288" s="31" t="s">
        <v>405</v>
      </c>
      <c r="C1288" s="28" t="s">
        <v>1</v>
      </c>
      <c r="D1288" s="124"/>
      <c r="E1288" s="124"/>
      <c r="F1288" s="124"/>
      <c r="G1288" s="125"/>
      <c r="H1288" s="23">
        <f>H1286</f>
        <v>941.14300000000003</v>
      </c>
    </row>
    <row r="1289" spans="1:8" x14ac:dyDescent="0.4">
      <c r="A1289" s="132"/>
      <c r="B1289" s="5"/>
      <c r="C1289" s="28"/>
      <c r="D1289" s="124"/>
      <c r="E1289" s="124"/>
      <c r="F1289" s="124"/>
      <c r="G1289" s="125"/>
      <c r="H1289" s="23"/>
    </row>
    <row r="1290" spans="1:8" ht="27.6" x14ac:dyDescent="0.4">
      <c r="A1290" s="132">
        <v>18</v>
      </c>
      <c r="B1290" s="31" t="s">
        <v>406</v>
      </c>
      <c r="C1290" s="28" t="s">
        <v>1</v>
      </c>
      <c r="D1290" s="124"/>
      <c r="E1290" s="124"/>
      <c r="F1290" s="124"/>
      <c r="G1290" s="125"/>
      <c r="H1290" s="23">
        <f>H1286</f>
        <v>941.14300000000003</v>
      </c>
    </row>
    <row r="1291" spans="1:8" x14ac:dyDescent="0.4">
      <c r="A1291" s="132"/>
      <c r="B1291" s="5"/>
      <c r="C1291" s="28"/>
      <c r="D1291" s="124"/>
      <c r="E1291" s="124"/>
      <c r="F1291" s="124"/>
      <c r="G1291" s="125"/>
      <c r="H1291" s="23"/>
    </row>
    <row r="1292" spans="1:8" ht="55.2" x14ac:dyDescent="0.4">
      <c r="A1292" s="132">
        <v>19</v>
      </c>
      <c r="B1292" s="31" t="s">
        <v>407</v>
      </c>
      <c r="C1292" s="28" t="s">
        <v>1</v>
      </c>
      <c r="D1292" s="124"/>
      <c r="E1292" s="124"/>
      <c r="F1292" s="124"/>
      <c r="G1292" s="125"/>
      <c r="H1292" s="23">
        <f>H1286</f>
        <v>941.14300000000003</v>
      </c>
    </row>
    <row r="1293" spans="1:8" x14ac:dyDescent="0.4">
      <c r="A1293" s="132"/>
      <c r="B1293" s="5"/>
      <c r="C1293" s="28"/>
      <c r="D1293" s="124"/>
      <c r="E1293" s="124"/>
      <c r="F1293" s="124"/>
      <c r="G1293" s="125"/>
      <c r="H1293" s="23"/>
    </row>
    <row r="1294" spans="1:8" ht="41.4" x14ac:dyDescent="0.4">
      <c r="A1294" s="132">
        <v>20</v>
      </c>
      <c r="B1294" s="31" t="s">
        <v>408</v>
      </c>
      <c r="C1294" s="28" t="s">
        <v>1</v>
      </c>
      <c r="D1294" s="124"/>
      <c r="E1294" s="124"/>
      <c r="F1294" s="124"/>
      <c r="G1294" s="125"/>
      <c r="H1294" s="23">
        <f>H1286</f>
        <v>941.14300000000003</v>
      </c>
    </row>
    <row r="1295" spans="1:8" x14ac:dyDescent="0.45">
      <c r="A1295" s="132"/>
      <c r="B1295" s="160"/>
      <c r="C1295" s="28"/>
      <c r="D1295" s="124"/>
      <c r="E1295" s="124"/>
      <c r="F1295" s="124"/>
      <c r="G1295" s="125"/>
      <c r="H1295" s="23"/>
    </row>
    <row r="1296" spans="1:8" ht="55.2" x14ac:dyDescent="0.45">
      <c r="A1296" s="497">
        <v>21</v>
      </c>
      <c r="B1296" s="160" t="s">
        <v>416</v>
      </c>
      <c r="C1296" s="493" t="s">
        <v>5</v>
      </c>
      <c r="D1296" s="124"/>
      <c r="E1296" s="124"/>
      <c r="F1296" s="124"/>
      <c r="G1296" s="125"/>
      <c r="H1296" s="23"/>
    </row>
    <row r="1297" spans="1:8" x14ac:dyDescent="0.4">
      <c r="A1297" s="497"/>
      <c r="B1297" s="5" t="s">
        <v>325</v>
      </c>
      <c r="C1297" s="493"/>
      <c r="D1297" s="33"/>
      <c r="E1297" s="33"/>
      <c r="F1297" s="33"/>
      <c r="G1297" s="32"/>
      <c r="H1297" s="24">
        <v>102</v>
      </c>
    </row>
    <row r="1298" spans="1:8" x14ac:dyDescent="0.45">
      <c r="A1298" s="497"/>
      <c r="B1298" s="162" t="s">
        <v>418</v>
      </c>
      <c r="C1298" s="493"/>
      <c r="D1298" s="33"/>
      <c r="E1298" s="33"/>
      <c r="F1298" s="33"/>
      <c r="G1298" s="32"/>
      <c r="H1298" s="24">
        <v>18.84</v>
      </c>
    </row>
    <row r="1299" spans="1:8" x14ac:dyDescent="0.4">
      <c r="A1299" s="497"/>
      <c r="B1299" s="5" t="s">
        <v>417</v>
      </c>
      <c r="C1299" s="493"/>
      <c r="D1299" s="33"/>
      <c r="E1299" s="33"/>
      <c r="F1299" s="33"/>
      <c r="G1299" s="32"/>
      <c r="H1299" s="24">
        <v>20.55</v>
      </c>
    </row>
    <row r="1300" spans="1:8" x14ac:dyDescent="0.4">
      <c r="A1300" s="497"/>
      <c r="B1300" s="5" t="s">
        <v>419</v>
      </c>
      <c r="C1300" s="493"/>
      <c r="D1300" s="33">
        <v>109.4</v>
      </c>
      <c r="E1300" s="33"/>
      <c r="F1300" s="33"/>
      <c r="G1300" s="32">
        <v>2</v>
      </c>
      <c r="H1300" s="24">
        <f>D1300*G1300</f>
        <v>218.8</v>
      </c>
    </row>
    <row r="1301" spans="1:8" x14ac:dyDescent="0.4">
      <c r="A1301" s="497"/>
      <c r="B1301" s="5"/>
      <c r="C1301" s="493"/>
      <c r="D1301" s="33"/>
      <c r="E1301" s="33"/>
      <c r="F1301" s="33"/>
      <c r="G1301" s="136" t="s">
        <v>15</v>
      </c>
      <c r="H1301" s="23">
        <f>SUM(H1296:H1300)</f>
        <v>360.19000000000005</v>
      </c>
    </row>
    <row r="1302" spans="1:8" x14ac:dyDescent="0.4">
      <c r="A1302" s="132"/>
      <c r="B1302" s="11"/>
      <c r="C1302" s="7"/>
      <c r="D1302" s="112"/>
      <c r="E1302" s="112"/>
      <c r="F1302" s="112"/>
      <c r="G1302" s="54"/>
      <c r="H1302" s="58"/>
    </row>
    <row r="1303" spans="1:8" x14ac:dyDescent="0.4">
      <c r="A1303" s="497">
        <v>22</v>
      </c>
      <c r="B1303" s="19" t="s">
        <v>313</v>
      </c>
      <c r="C1303" s="503" t="s">
        <v>1</v>
      </c>
      <c r="D1303" s="112"/>
      <c r="E1303" s="112"/>
      <c r="F1303" s="112"/>
      <c r="G1303" s="54"/>
      <c r="H1303" s="62"/>
    </row>
    <row r="1304" spans="1:8" x14ac:dyDescent="0.4">
      <c r="A1304" s="497"/>
      <c r="B1304" s="5" t="s">
        <v>409</v>
      </c>
      <c r="C1304" s="503"/>
      <c r="D1304" s="56"/>
      <c r="E1304" s="56"/>
      <c r="F1304" s="56"/>
      <c r="G1304" s="67"/>
      <c r="H1304" s="24">
        <v>582.73</v>
      </c>
    </row>
    <row r="1305" spans="1:8" x14ac:dyDescent="0.4">
      <c r="A1305" s="497"/>
      <c r="B1305" s="5" t="s">
        <v>410</v>
      </c>
      <c r="C1305" s="503"/>
      <c r="D1305" s="56"/>
      <c r="E1305" s="56"/>
      <c r="F1305" s="56"/>
      <c r="G1305" s="67"/>
      <c r="H1305" s="24">
        <v>33.590000000000003</v>
      </c>
    </row>
    <row r="1306" spans="1:8" x14ac:dyDescent="0.4">
      <c r="A1306" s="497"/>
      <c r="B1306" s="5" t="s">
        <v>314</v>
      </c>
      <c r="C1306" s="503"/>
      <c r="D1306" s="176">
        <v>120.84</v>
      </c>
      <c r="E1306" s="56"/>
      <c r="F1306" s="17">
        <v>1.4</v>
      </c>
      <c r="G1306" s="4">
        <v>1</v>
      </c>
      <c r="H1306" s="141">
        <f>D1306*F1306*G1306</f>
        <v>169.17599999999999</v>
      </c>
    </row>
    <row r="1307" spans="1:8" x14ac:dyDescent="0.4">
      <c r="A1307" s="497"/>
      <c r="B1307" s="5" t="s">
        <v>315</v>
      </c>
      <c r="C1307" s="503"/>
      <c r="D1307" s="176">
        <v>33.590000000000003</v>
      </c>
      <c r="E1307" s="56"/>
      <c r="F1307" s="17">
        <v>0.9</v>
      </c>
      <c r="G1307" s="4">
        <v>1</v>
      </c>
      <c r="H1307" s="141">
        <f>D1307*F1307*G1307</f>
        <v>30.231000000000005</v>
      </c>
    </row>
    <row r="1308" spans="1:8" x14ac:dyDescent="0.4">
      <c r="A1308" s="497"/>
      <c r="B1308" s="5"/>
      <c r="C1308" s="503"/>
      <c r="D1308" s="56"/>
      <c r="E1308" s="56"/>
      <c r="F1308" s="56"/>
      <c r="G1308" s="94" t="s">
        <v>15</v>
      </c>
      <c r="H1308" s="143">
        <f>SUM(H1303:H1307)</f>
        <v>815.72700000000009</v>
      </c>
    </row>
    <row r="1309" spans="1:8" x14ac:dyDescent="0.4">
      <c r="A1309" s="122"/>
      <c r="B1309" s="134"/>
      <c r="C1309" s="123"/>
      <c r="D1309" s="124"/>
      <c r="E1309" s="124"/>
      <c r="F1309" s="124"/>
      <c r="G1309" s="125"/>
      <c r="H1309" s="143"/>
    </row>
    <row r="1310" spans="1:8" ht="27.6" x14ac:dyDescent="0.4">
      <c r="A1310" s="132">
        <v>23</v>
      </c>
      <c r="B1310" s="31" t="s">
        <v>421</v>
      </c>
      <c r="C1310" s="28" t="s">
        <v>1</v>
      </c>
      <c r="D1310" s="124"/>
      <c r="E1310" s="124"/>
      <c r="F1310" s="124"/>
      <c r="G1310" s="125"/>
      <c r="H1310" s="143">
        <f>H1308-SUM(H1314:H1321)</f>
        <v>722.49160000000006</v>
      </c>
    </row>
    <row r="1311" spans="1:8" x14ac:dyDescent="0.4">
      <c r="A1311" s="132"/>
      <c r="B1311" s="31"/>
      <c r="C1311" s="28"/>
      <c r="D1311" s="124"/>
      <c r="E1311" s="124"/>
      <c r="F1311" s="124"/>
      <c r="G1311" s="125"/>
      <c r="H1311" s="65"/>
    </row>
    <row r="1312" spans="1:8" ht="41.4" x14ac:dyDescent="0.4">
      <c r="A1312" s="481">
        <v>24</v>
      </c>
      <c r="B1312" s="31" t="s">
        <v>422</v>
      </c>
      <c r="C1312" s="494" t="s">
        <v>1</v>
      </c>
      <c r="D1312" s="56"/>
      <c r="E1312" s="124"/>
      <c r="F1312" s="124"/>
      <c r="G1312" s="125"/>
      <c r="H1312" s="62"/>
    </row>
    <row r="1313" spans="1:8" x14ac:dyDescent="0.4">
      <c r="A1313" s="482"/>
      <c r="B1313" s="36" t="s">
        <v>425</v>
      </c>
      <c r="C1313" s="495"/>
      <c r="D1313" s="17">
        <v>102</v>
      </c>
      <c r="E1313" s="33">
        <v>0.25</v>
      </c>
      <c r="F1313" s="33"/>
      <c r="G1313" s="32">
        <v>1</v>
      </c>
      <c r="H1313" s="24">
        <f>D1313*E1313*G1313</f>
        <v>25.5</v>
      </c>
    </row>
    <row r="1314" spans="1:8" x14ac:dyDescent="0.4">
      <c r="A1314" s="482"/>
      <c r="B1314" s="36" t="s">
        <v>432</v>
      </c>
      <c r="C1314" s="495"/>
      <c r="D1314" s="17">
        <f>(3.47+3.8+4.15+4.45+4.8+5.1+5.45)/7</f>
        <v>4.46</v>
      </c>
      <c r="E1314" s="33">
        <v>0.32</v>
      </c>
      <c r="F1314" s="33"/>
      <c r="G1314" s="32">
        <v>7</v>
      </c>
      <c r="H1314" s="24">
        <f>D1314*E1314*G1314</f>
        <v>9.9904000000000011</v>
      </c>
    </row>
    <row r="1315" spans="1:8" x14ac:dyDescent="0.4">
      <c r="A1315" s="482"/>
      <c r="B1315" s="14" t="s">
        <v>427</v>
      </c>
      <c r="C1315" s="495"/>
      <c r="D1315" s="17">
        <v>1.6</v>
      </c>
      <c r="E1315" s="17">
        <v>0.3</v>
      </c>
      <c r="F1315" s="17"/>
      <c r="G1315" s="4">
        <v>5</v>
      </c>
      <c r="H1315" s="24">
        <f>D1315*E1315*G1315</f>
        <v>2.4</v>
      </c>
    </row>
    <row r="1316" spans="1:8" x14ac:dyDescent="0.4">
      <c r="A1316" s="482"/>
      <c r="B1316" s="14" t="s">
        <v>426</v>
      </c>
      <c r="C1316" s="495"/>
      <c r="D1316" s="17">
        <f>(1.11+1.28+1.44+1.6)/4</f>
        <v>1.3574999999999999</v>
      </c>
      <c r="E1316" s="17">
        <v>0.3</v>
      </c>
      <c r="F1316" s="17"/>
      <c r="G1316" s="4">
        <v>5</v>
      </c>
      <c r="H1316" s="24">
        <f>D1316*E1316*G1316</f>
        <v>2.0362499999999999</v>
      </c>
    </row>
    <row r="1317" spans="1:8" x14ac:dyDescent="0.4">
      <c r="A1317" s="482"/>
      <c r="B1317" s="14" t="s">
        <v>428</v>
      </c>
      <c r="C1317" s="495"/>
      <c r="D1317" s="56"/>
      <c r="E1317" s="56"/>
      <c r="F1317" s="56"/>
      <c r="G1317" s="67"/>
      <c r="H1317" s="24">
        <v>29.1</v>
      </c>
    </row>
    <row r="1318" spans="1:8" x14ac:dyDescent="0.4">
      <c r="A1318" s="482"/>
      <c r="B1318" s="14" t="s">
        <v>429</v>
      </c>
      <c r="C1318" s="495"/>
      <c r="D1318" s="56"/>
      <c r="E1318" s="56"/>
      <c r="F1318" s="56"/>
      <c r="G1318" s="67"/>
      <c r="H1318" s="24">
        <v>20.5</v>
      </c>
    </row>
    <row r="1319" spans="1:8" x14ac:dyDescent="0.4">
      <c r="A1319" s="482"/>
      <c r="B1319" s="14" t="s">
        <v>430</v>
      </c>
      <c r="C1319" s="495"/>
      <c r="D1319" s="56"/>
      <c r="E1319" s="56"/>
      <c r="F1319" s="56"/>
      <c r="G1319" s="67"/>
      <c r="H1319" s="24">
        <v>14.3</v>
      </c>
    </row>
    <row r="1320" spans="1:8" x14ac:dyDescent="0.4">
      <c r="A1320" s="482"/>
      <c r="B1320" s="14" t="s">
        <v>431</v>
      </c>
      <c r="C1320" s="495"/>
      <c r="D1320" s="56"/>
      <c r="E1320" s="56"/>
      <c r="F1320" s="56"/>
      <c r="G1320" s="67"/>
      <c r="H1320" s="24">
        <v>3.33</v>
      </c>
    </row>
    <row r="1321" spans="1:8" x14ac:dyDescent="0.4">
      <c r="A1321" s="482"/>
      <c r="B1321" s="14" t="s">
        <v>434</v>
      </c>
      <c r="C1321" s="495"/>
      <c r="D1321" s="56"/>
      <c r="E1321" s="56"/>
      <c r="F1321" s="56"/>
      <c r="G1321" s="67"/>
      <c r="H1321" s="24">
        <f>3.14*(3.25*3.25-2.75*2.5)</f>
        <v>11.578750000000001</v>
      </c>
    </row>
    <row r="1322" spans="1:8" s="157" customFormat="1" x14ac:dyDescent="0.4">
      <c r="A1322" s="483"/>
      <c r="B1322" s="19"/>
      <c r="C1322" s="496"/>
      <c r="D1322" s="56"/>
      <c r="E1322" s="56"/>
      <c r="F1322" s="56"/>
      <c r="G1322" s="94" t="s">
        <v>15</v>
      </c>
      <c r="H1322" s="23">
        <f>SUM(H1312:H1321)</f>
        <v>118.7354</v>
      </c>
    </row>
    <row r="1323" spans="1:8" x14ac:dyDescent="0.4">
      <c r="A1323" s="122"/>
      <c r="B1323" s="31"/>
      <c r="C1323" s="28"/>
      <c r="D1323" s="56"/>
      <c r="E1323" s="124"/>
      <c r="F1323" s="124"/>
      <c r="G1323" s="125"/>
      <c r="H1323" s="65"/>
    </row>
    <row r="1324" spans="1:8" ht="27.6" x14ac:dyDescent="0.4">
      <c r="A1324" s="122"/>
      <c r="B1324" s="42" t="s">
        <v>342</v>
      </c>
      <c r="C1324" s="28"/>
      <c r="D1324" s="56"/>
      <c r="E1324" s="124"/>
      <c r="F1324" s="124"/>
      <c r="G1324" s="125"/>
      <c r="H1324" s="65"/>
    </row>
    <row r="1325" spans="1:8" x14ac:dyDescent="0.4">
      <c r="A1325" s="132">
        <v>25</v>
      </c>
      <c r="B1325" s="19" t="s">
        <v>380</v>
      </c>
      <c r="C1325" s="6" t="s">
        <v>1</v>
      </c>
      <c r="D1325" s="17">
        <v>109.4</v>
      </c>
      <c r="E1325" s="17">
        <v>0.25</v>
      </c>
      <c r="F1325" s="17"/>
      <c r="G1325" s="4">
        <v>1</v>
      </c>
      <c r="H1325" s="23">
        <f>D1325*E1325*G1325</f>
        <v>27.35</v>
      </c>
    </row>
    <row r="1326" spans="1:8" s="157" customFormat="1" x14ac:dyDescent="0.4">
      <c r="A1326" s="34"/>
      <c r="B1326" s="14"/>
      <c r="C1326" s="7"/>
      <c r="D1326" s="8"/>
      <c r="E1326" s="8"/>
      <c r="F1326" s="17"/>
      <c r="G1326" s="4"/>
      <c r="H1326" s="23"/>
    </row>
    <row r="1327" spans="1:8" ht="27.6" x14ac:dyDescent="0.4">
      <c r="A1327" s="132">
        <v>26</v>
      </c>
      <c r="B1327" s="19" t="s">
        <v>381</v>
      </c>
      <c r="C1327" s="7" t="s">
        <v>1</v>
      </c>
      <c r="D1327" s="17">
        <v>109.4</v>
      </c>
      <c r="E1327" s="17">
        <v>0.45</v>
      </c>
      <c r="F1327" s="17"/>
      <c r="G1327" s="4">
        <v>1</v>
      </c>
      <c r="H1327" s="23">
        <f>D1327*E1327*G1327</f>
        <v>49.230000000000004</v>
      </c>
    </row>
    <row r="1328" spans="1:8" x14ac:dyDescent="0.4">
      <c r="A1328" s="132"/>
      <c r="B1328" s="14"/>
      <c r="C1328" s="7"/>
      <c r="D1328" s="8"/>
      <c r="E1328" s="8"/>
      <c r="F1328" s="17"/>
      <c r="G1328" s="4"/>
      <c r="H1328" s="23"/>
    </row>
    <row r="1329" spans="1:8" ht="27.6" x14ac:dyDescent="0.4">
      <c r="A1329" s="132">
        <v>27</v>
      </c>
      <c r="B1329" s="19" t="s">
        <v>382</v>
      </c>
      <c r="C1329" s="7" t="s">
        <v>5</v>
      </c>
      <c r="D1329" s="17">
        <v>109.4</v>
      </c>
      <c r="E1329" s="8">
        <v>0.23</v>
      </c>
      <c r="F1329" s="17"/>
      <c r="G1329" s="4">
        <v>1</v>
      </c>
      <c r="H1329" s="23">
        <f>D1329*E1329*G1329</f>
        <v>25.162000000000003</v>
      </c>
    </row>
    <row r="1330" spans="1:8" x14ac:dyDescent="0.4">
      <c r="A1330" s="132"/>
      <c r="B1330" s="187"/>
      <c r="C1330" s="6"/>
      <c r="D1330" s="17"/>
      <c r="E1330" s="17"/>
      <c r="F1330" s="17"/>
      <c r="G1330" s="4"/>
      <c r="H1330" s="33"/>
    </row>
    <row r="1331" spans="1:8" x14ac:dyDescent="0.4">
      <c r="A1331" s="497">
        <v>28</v>
      </c>
      <c r="B1331" s="148" t="s">
        <v>433</v>
      </c>
      <c r="C1331" s="503" t="s">
        <v>1</v>
      </c>
      <c r="D1331" s="17"/>
      <c r="E1331" s="17"/>
      <c r="F1331" s="17"/>
      <c r="G1331" s="4"/>
      <c r="H1331" s="65"/>
    </row>
    <row r="1332" spans="1:8" x14ac:dyDescent="0.4">
      <c r="A1332" s="497"/>
      <c r="B1332" s="36" t="s">
        <v>432</v>
      </c>
      <c r="C1332" s="503"/>
      <c r="D1332" s="17">
        <f>(3.47+3.8+4.15+4.45+4.8+5.1+5.45)/7</f>
        <v>4.46</v>
      </c>
      <c r="E1332" s="33">
        <v>0.32</v>
      </c>
      <c r="F1332" s="33"/>
      <c r="G1332" s="32">
        <v>7</v>
      </c>
      <c r="H1332" s="24">
        <f>D1332*E1332*G1332</f>
        <v>9.9904000000000011</v>
      </c>
    </row>
    <row r="1333" spans="1:8" x14ac:dyDescent="0.4">
      <c r="A1333" s="497"/>
      <c r="B1333" s="14" t="s">
        <v>427</v>
      </c>
      <c r="C1333" s="503"/>
      <c r="D1333" s="17">
        <v>1.6</v>
      </c>
      <c r="E1333" s="17">
        <v>0.3</v>
      </c>
      <c r="F1333" s="17"/>
      <c r="G1333" s="4">
        <v>5</v>
      </c>
      <c r="H1333" s="24">
        <f>D1333*E1333*G1333</f>
        <v>2.4</v>
      </c>
    </row>
    <row r="1334" spans="1:8" x14ac:dyDescent="0.4">
      <c r="A1334" s="497"/>
      <c r="B1334" s="14" t="s">
        <v>426</v>
      </c>
      <c r="C1334" s="503"/>
      <c r="D1334" s="17">
        <f>(1.11+1.28+1.44+1.6)/4</f>
        <v>1.3574999999999999</v>
      </c>
      <c r="E1334" s="17">
        <v>0.3</v>
      </c>
      <c r="F1334" s="17"/>
      <c r="G1334" s="4">
        <v>5</v>
      </c>
      <c r="H1334" s="24">
        <f>D1334*E1334*G1334</f>
        <v>2.0362499999999999</v>
      </c>
    </row>
    <row r="1335" spans="1:8" x14ac:dyDescent="0.4">
      <c r="A1335" s="497"/>
      <c r="B1335" s="14" t="s">
        <v>428</v>
      </c>
      <c r="C1335" s="503"/>
      <c r="D1335" s="56"/>
      <c r="E1335" s="56"/>
      <c r="F1335" s="56"/>
      <c r="G1335" s="67"/>
      <c r="H1335" s="24">
        <v>29.1</v>
      </c>
    </row>
    <row r="1336" spans="1:8" x14ac:dyDescent="0.4">
      <c r="A1336" s="497"/>
      <c r="B1336" s="14" t="s">
        <v>429</v>
      </c>
      <c r="C1336" s="503"/>
      <c r="D1336" s="56"/>
      <c r="E1336" s="56"/>
      <c r="F1336" s="56"/>
      <c r="G1336" s="67"/>
      <c r="H1336" s="24">
        <v>20.5</v>
      </c>
    </row>
    <row r="1337" spans="1:8" x14ac:dyDescent="0.4">
      <c r="A1337" s="497"/>
      <c r="B1337" s="14" t="s">
        <v>430</v>
      </c>
      <c r="C1337" s="503"/>
      <c r="D1337" s="56"/>
      <c r="E1337" s="56"/>
      <c r="F1337" s="56"/>
      <c r="G1337" s="67"/>
      <c r="H1337" s="24">
        <v>14.3</v>
      </c>
    </row>
    <row r="1338" spans="1:8" x14ac:dyDescent="0.4">
      <c r="A1338" s="497"/>
      <c r="B1338" s="14" t="s">
        <v>431</v>
      </c>
      <c r="C1338" s="503"/>
      <c r="D1338" s="56"/>
      <c r="E1338" s="56"/>
      <c r="F1338" s="56"/>
      <c r="G1338" s="67"/>
      <c r="H1338" s="24">
        <v>3.33</v>
      </c>
    </row>
    <row r="1339" spans="1:8" x14ac:dyDescent="0.4">
      <c r="A1339" s="497"/>
      <c r="B1339" s="14" t="s">
        <v>434</v>
      </c>
      <c r="C1339" s="503"/>
      <c r="D1339" s="56"/>
      <c r="E1339" s="56"/>
      <c r="F1339" s="56"/>
      <c r="G1339" s="67"/>
      <c r="H1339" s="24">
        <f>3.14*(3.25*3.25-2.75*2.5)</f>
        <v>11.578750000000001</v>
      </c>
    </row>
    <row r="1340" spans="1:8" x14ac:dyDescent="0.4">
      <c r="A1340" s="497"/>
      <c r="B1340" s="19"/>
      <c r="C1340" s="503"/>
      <c r="D1340" s="56"/>
      <c r="E1340" s="56"/>
      <c r="F1340" s="56"/>
      <c r="G1340" s="94" t="s">
        <v>15</v>
      </c>
      <c r="H1340" s="23">
        <f>SUM(H1331:H1339)</f>
        <v>93.235399999999998</v>
      </c>
    </row>
    <row r="1341" spans="1:8" s="157" customFormat="1" x14ac:dyDescent="0.4">
      <c r="A1341" s="34"/>
      <c r="B1341" s="19"/>
      <c r="C1341" s="6"/>
      <c r="D1341" s="17"/>
      <c r="E1341" s="17"/>
      <c r="F1341" s="17"/>
      <c r="G1341" s="4"/>
      <c r="H1341" s="65"/>
    </row>
    <row r="1342" spans="1:8" ht="31.5" customHeight="1" x14ac:dyDescent="0.4">
      <c r="A1342" s="132">
        <v>29</v>
      </c>
      <c r="B1342" s="11" t="s">
        <v>424</v>
      </c>
      <c r="C1342" s="6" t="s">
        <v>5</v>
      </c>
      <c r="D1342" s="17">
        <v>109.4</v>
      </c>
      <c r="E1342" s="17"/>
      <c r="F1342" s="17"/>
      <c r="G1342" s="4">
        <v>2</v>
      </c>
      <c r="H1342" s="152">
        <f>D1342*G1342</f>
        <v>218.8</v>
      </c>
    </row>
    <row r="1343" spans="1:8" s="157" customFormat="1" x14ac:dyDescent="0.4">
      <c r="A1343" s="34"/>
      <c r="B1343" s="11"/>
      <c r="C1343" s="6"/>
      <c r="D1343" s="172"/>
      <c r="E1343" s="17"/>
      <c r="F1343" s="17"/>
      <c r="G1343" s="4"/>
      <c r="H1343" s="65"/>
    </row>
    <row r="1344" spans="1:8" s="157" customFormat="1" ht="41.4" x14ac:dyDescent="0.4">
      <c r="A1344" s="34">
        <v>30</v>
      </c>
      <c r="B1344" s="11" t="s">
        <v>423</v>
      </c>
      <c r="C1344" s="6" t="s">
        <v>5</v>
      </c>
      <c r="D1344" s="172"/>
      <c r="E1344" s="17"/>
      <c r="F1344" s="17"/>
      <c r="G1344" s="4"/>
      <c r="H1344" s="23">
        <v>109.4</v>
      </c>
    </row>
    <row r="1345" spans="1:8" x14ac:dyDescent="0.4">
      <c r="A1345" s="132"/>
      <c r="B1345" s="103"/>
      <c r="C1345" s="150"/>
      <c r="D1345" s="56"/>
      <c r="E1345" s="124"/>
      <c r="F1345" s="124"/>
      <c r="G1345" s="125"/>
      <c r="H1345" s="62"/>
    </row>
    <row r="1346" spans="1:8" x14ac:dyDescent="0.4">
      <c r="A1346" s="132">
        <v>31</v>
      </c>
      <c r="B1346" s="148" t="s">
        <v>316</v>
      </c>
      <c r="C1346" s="28" t="s">
        <v>4</v>
      </c>
      <c r="D1346" s="56"/>
      <c r="E1346" s="124"/>
      <c r="F1346" s="124"/>
      <c r="G1346" s="125"/>
      <c r="H1346" s="147">
        <v>6</v>
      </c>
    </row>
    <row r="1347" spans="1:8" x14ac:dyDescent="0.4">
      <c r="A1347" s="132"/>
      <c r="B1347" s="103"/>
      <c r="C1347" s="150"/>
      <c r="D1347" s="56"/>
      <c r="E1347" s="124"/>
      <c r="F1347" s="124"/>
      <c r="G1347" s="125"/>
      <c r="H1347" s="62"/>
    </row>
    <row r="1348" spans="1:8" ht="32.25" customHeight="1" x14ac:dyDescent="0.4">
      <c r="A1348" s="132">
        <v>32</v>
      </c>
      <c r="B1348" s="11" t="s">
        <v>343</v>
      </c>
      <c r="C1348" s="28" t="s">
        <v>4</v>
      </c>
      <c r="D1348" s="17"/>
      <c r="E1348" s="33"/>
      <c r="F1348" s="33"/>
      <c r="G1348" s="32"/>
      <c r="H1348" s="147">
        <v>4</v>
      </c>
    </row>
    <row r="1349" spans="1:8" x14ac:dyDescent="0.4">
      <c r="A1349" s="132"/>
      <c r="B1349" s="103"/>
      <c r="C1349" s="150"/>
      <c r="D1349" s="56"/>
      <c r="E1349" s="124"/>
      <c r="F1349" s="124"/>
      <c r="G1349" s="125"/>
      <c r="H1349" s="62"/>
    </row>
    <row r="1350" spans="1:8" ht="27.6" x14ac:dyDescent="0.4">
      <c r="A1350" s="132">
        <v>33</v>
      </c>
      <c r="B1350" s="11" t="s">
        <v>344</v>
      </c>
      <c r="C1350" s="28" t="s">
        <v>4</v>
      </c>
      <c r="D1350" s="17"/>
      <c r="E1350" s="33"/>
      <c r="F1350" s="33"/>
      <c r="G1350" s="32"/>
      <c r="H1350" s="147">
        <v>17</v>
      </c>
    </row>
    <row r="1351" spans="1:8" x14ac:dyDescent="0.4">
      <c r="A1351" s="132"/>
      <c r="B1351" s="103"/>
      <c r="C1351" s="150"/>
      <c r="D1351" s="56"/>
      <c r="E1351" s="124"/>
      <c r="F1351" s="124"/>
      <c r="G1351" s="125"/>
      <c r="H1351" s="62"/>
    </row>
    <row r="1352" spans="1:8" x14ac:dyDescent="0.4">
      <c r="A1352" s="132"/>
      <c r="B1352" s="103"/>
      <c r="C1352" s="150"/>
      <c r="D1352" s="56"/>
      <c r="E1352" s="124"/>
      <c r="F1352" s="124"/>
      <c r="G1352" s="125"/>
      <c r="H1352" s="62"/>
    </row>
    <row r="1353" spans="1:8" ht="25" customHeight="1" x14ac:dyDescent="0.4">
      <c r="A1353" s="122"/>
      <c r="B1353" s="154" t="s">
        <v>435</v>
      </c>
      <c r="C1353" s="150"/>
      <c r="D1353" s="56"/>
      <c r="E1353" s="124"/>
      <c r="F1353" s="124"/>
      <c r="G1353" s="125"/>
      <c r="H1353" s="62"/>
    </row>
    <row r="1354" spans="1:8" s="155" customFormat="1" ht="27.6" x14ac:dyDescent="0.4">
      <c r="A1354" s="132">
        <v>1</v>
      </c>
      <c r="B1354" s="31" t="s">
        <v>454</v>
      </c>
      <c r="C1354" s="28" t="s">
        <v>1</v>
      </c>
      <c r="D1354" s="17">
        <f>2*3.14*0.3</f>
        <v>1.8839999999999999</v>
      </c>
      <c r="E1354" s="33"/>
      <c r="F1354" s="33">
        <v>4.41</v>
      </c>
      <c r="G1354" s="32">
        <v>1</v>
      </c>
      <c r="H1354" s="23">
        <f>D1354*F1354*G1354</f>
        <v>8.3084399999999992</v>
      </c>
    </row>
    <row r="1355" spans="1:8" x14ac:dyDescent="0.4">
      <c r="A1355" s="132"/>
      <c r="B1355" s="121"/>
      <c r="C1355" s="123"/>
      <c r="D1355" s="56"/>
      <c r="E1355" s="124"/>
      <c r="F1355" s="124"/>
      <c r="G1355" s="125"/>
      <c r="H1355" s="62"/>
    </row>
    <row r="1356" spans="1:8" ht="27.6" x14ac:dyDescent="0.4">
      <c r="A1356" s="132">
        <v>2</v>
      </c>
      <c r="B1356" s="31" t="s">
        <v>478</v>
      </c>
      <c r="C1356" s="28" t="s">
        <v>1</v>
      </c>
      <c r="D1356" s="56"/>
      <c r="E1356" s="124"/>
      <c r="F1356" s="124"/>
      <c r="G1356" s="125"/>
      <c r="H1356" s="23">
        <f>3.14*4*4</f>
        <v>50.24</v>
      </c>
    </row>
    <row r="1357" spans="1:8" s="181" customFormat="1" x14ac:dyDescent="0.4">
      <c r="A1357" s="200"/>
      <c r="B1357" s="177"/>
      <c r="C1357" s="178"/>
      <c r="D1357" s="184"/>
      <c r="E1357" s="179"/>
      <c r="F1357" s="179"/>
      <c r="G1357" s="179"/>
      <c r="H1357" s="180"/>
    </row>
    <row r="1358" spans="1:8" s="181" customFormat="1" ht="27.6" x14ac:dyDescent="0.4">
      <c r="A1358" s="202">
        <v>3</v>
      </c>
      <c r="B1358" s="182" t="s">
        <v>436</v>
      </c>
      <c r="C1358" s="183" t="s">
        <v>4</v>
      </c>
      <c r="D1358" s="184"/>
      <c r="E1358" s="184"/>
      <c r="F1358" s="184"/>
      <c r="G1358" s="184"/>
      <c r="H1358" s="185">
        <v>6</v>
      </c>
    </row>
    <row r="1359" spans="1:8" x14ac:dyDescent="0.4">
      <c r="A1359" s="132"/>
      <c r="B1359" s="11"/>
      <c r="C1359" s="40"/>
      <c r="D1359" s="17"/>
      <c r="E1359" s="33"/>
      <c r="F1359" s="33"/>
      <c r="G1359" s="32"/>
      <c r="H1359" s="24"/>
    </row>
    <row r="1360" spans="1:8" ht="27.6" x14ac:dyDescent="0.4">
      <c r="A1360" s="132">
        <v>4</v>
      </c>
      <c r="B1360" s="31" t="s">
        <v>438</v>
      </c>
      <c r="C1360" s="28" t="s">
        <v>5</v>
      </c>
      <c r="D1360" s="17"/>
      <c r="E1360" s="33"/>
      <c r="F1360" s="33"/>
      <c r="G1360" s="32"/>
      <c r="H1360" s="23">
        <v>18.850000000000001</v>
      </c>
    </row>
    <row r="1361" spans="1:8" x14ac:dyDescent="0.4">
      <c r="A1361" s="132"/>
      <c r="B1361" s="148"/>
      <c r="C1361" s="28"/>
      <c r="D1361" s="17"/>
      <c r="E1361" s="33"/>
      <c r="F1361" s="33"/>
      <c r="G1361" s="32"/>
      <c r="H1361" s="24"/>
    </row>
    <row r="1362" spans="1:8" ht="27.6" x14ac:dyDescent="0.4">
      <c r="A1362" s="132">
        <v>5</v>
      </c>
      <c r="B1362" s="31" t="s">
        <v>437</v>
      </c>
      <c r="C1362" s="28" t="s">
        <v>5</v>
      </c>
      <c r="D1362" s="17"/>
      <c r="E1362" s="33"/>
      <c r="F1362" s="33"/>
      <c r="G1362" s="32"/>
      <c r="H1362" s="23">
        <v>20.61</v>
      </c>
    </row>
    <row r="1363" spans="1:8" x14ac:dyDescent="0.4">
      <c r="A1363" s="132"/>
      <c r="B1363" s="11"/>
      <c r="C1363" s="28"/>
      <c r="D1363" s="17"/>
      <c r="E1363" s="33"/>
      <c r="F1363" s="33"/>
      <c r="G1363" s="32"/>
      <c r="H1363" s="24"/>
    </row>
    <row r="1364" spans="1:8" x14ac:dyDescent="0.4">
      <c r="A1364" s="132">
        <v>6</v>
      </c>
      <c r="B1364" s="11" t="s">
        <v>317</v>
      </c>
      <c r="C1364" s="28" t="s">
        <v>1</v>
      </c>
      <c r="D1364" s="17"/>
      <c r="E1364" s="33"/>
      <c r="F1364" s="33"/>
      <c r="G1364" s="32"/>
      <c r="H1364" s="23">
        <v>6.1</v>
      </c>
    </row>
    <row r="1365" spans="1:8" x14ac:dyDescent="0.4">
      <c r="A1365" s="132"/>
      <c r="B1365" s="11"/>
      <c r="C1365" s="28"/>
      <c r="D1365" s="17"/>
      <c r="E1365" s="33"/>
      <c r="F1365" s="33"/>
      <c r="G1365" s="32"/>
      <c r="H1365" s="24"/>
    </row>
    <row r="1366" spans="1:8" x14ac:dyDescent="0.4">
      <c r="A1366" s="132">
        <v>7</v>
      </c>
      <c r="B1366" s="148" t="s">
        <v>318</v>
      </c>
      <c r="C1366" s="28" t="s">
        <v>4</v>
      </c>
      <c r="D1366" s="17"/>
      <c r="E1366" s="33"/>
      <c r="F1366" s="33"/>
      <c r="G1366" s="32"/>
      <c r="H1366" s="147">
        <v>12</v>
      </c>
    </row>
    <row r="1367" spans="1:8" x14ac:dyDescent="0.4">
      <c r="A1367" s="132"/>
      <c r="B1367" s="7"/>
      <c r="C1367" s="40"/>
      <c r="D1367" s="17"/>
      <c r="E1367" s="33"/>
      <c r="F1367" s="33"/>
      <c r="G1367" s="32"/>
      <c r="H1367" s="24"/>
    </row>
    <row r="1368" spans="1:8" ht="44.1" x14ac:dyDescent="0.4">
      <c r="A1368" s="132"/>
      <c r="B1368" s="106" t="s">
        <v>289</v>
      </c>
      <c r="C1368" s="7"/>
      <c r="D1368" s="8"/>
      <c r="E1368" s="8"/>
      <c r="F1368" s="8"/>
      <c r="G1368" s="9"/>
      <c r="H1368" s="13"/>
    </row>
    <row r="1369" spans="1:8" ht="14.7" x14ac:dyDescent="0.4">
      <c r="A1369" s="122"/>
      <c r="B1369" s="107"/>
      <c r="C1369" s="7"/>
      <c r="D1369" s="8"/>
      <c r="E1369" s="8"/>
      <c r="F1369" s="8"/>
      <c r="G1369" s="9"/>
      <c r="H1369" s="13"/>
    </row>
    <row r="1370" spans="1:8" x14ac:dyDescent="0.4">
      <c r="A1370" s="481">
        <v>1</v>
      </c>
      <c r="B1370" s="138" t="s">
        <v>195</v>
      </c>
      <c r="C1370" s="502" t="s">
        <v>2</v>
      </c>
      <c r="D1370" s="8">
        <v>120</v>
      </c>
      <c r="E1370" s="8"/>
      <c r="F1370" s="8">
        <v>0.15</v>
      </c>
      <c r="G1370" s="9">
        <v>1</v>
      </c>
      <c r="H1370" s="13">
        <f>D1370*F1370*G1370</f>
        <v>18</v>
      </c>
    </row>
    <row r="1371" spans="1:8" x14ac:dyDescent="0.4">
      <c r="A1371" s="482"/>
      <c r="B1371" s="138"/>
      <c r="C1371" s="502"/>
      <c r="D1371" s="8">
        <v>14.7</v>
      </c>
      <c r="E1371" s="8">
        <v>0.15</v>
      </c>
      <c r="F1371" s="8">
        <v>2.5</v>
      </c>
      <c r="G1371" s="9">
        <v>1</v>
      </c>
      <c r="H1371" s="13">
        <f>F1371*E1371*D1371*G1371</f>
        <v>5.5124999999999993</v>
      </c>
    </row>
    <row r="1372" spans="1:8" x14ac:dyDescent="0.4">
      <c r="A1372" s="482"/>
      <c r="B1372" s="138"/>
      <c r="C1372" s="502"/>
      <c r="D1372" s="8">
        <v>5.5</v>
      </c>
      <c r="E1372" s="8">
        <v>0.15</v>
      </c>
      <c r="F1372" s="8">
        <v>2.5</v>
      </c>
      <c r="G1372" s="9">
        <v>1</v>
      </c>
      <c r="H1372" s="13">
        <f>F1372*E1372*D1372*G1372</f>
        <v>2.0625</v>
      </c>
    </row>
    <row r="1373" spans="1:8" x14ac:dyDescent="0.4">
      <c r="A1373" s="482"/>
      <c r="B1373" s="138"/>
      <c r="C1373" s="502"/>
      <c r="D1373" s="8">
        <v>12</v>
      </c>
      <c r="E1373" s="8">
        <v>0.15</v>
      </c>
      <c r="F1373" s="8">
        <v>2.5</v>
      </c>
      <c r="G1373" s="9">
        <v>1</v>
      </c>
      <c r="H1373" s="13">
        <f>F1373*E1373*D1373*G1373</f>
        <v>4.5</v>
      </c>
    </row>
    <row r="1374" spans="1:8" x14ac:dyDescent="0.45">
      <c r="A1374" s="482"/>
      <c r="B1374" s="138"/>
      <c r="C1374" s="502"/>
      <c r="D1374" s="203">
        <v>6.11</v>
      </c>
      <c r="E1374" s="8">
        <v>0.15</v>
      </c>
      <c r="F1374" s="8">
        <v>2.5</v>
      </c>
      <c r="G1374" s="9">
        <v>1</v>
      </c>
      <c r="H1374" s="13">
        <f>F1374*E1374*D1374*G1374</f>
        <v>2.2912500000000002</v>
      </c>
    </row>
    <row r="1375" spans="1:8" x14ac:dyDescent="0.4">
      <c r="A1375" s="482"/>
      <c r="B1375" s="138"/>
      <c r="C1375" s="502"/>
      <c r="D1375" s="8">
        <v>7.17</v>
      </c>
      <c r="E1375" s="8">
        <v>0.15</v>
      </c>
      <c r="F1375" s="8">
        <v>2.5</v>
      </c>
      <c r="G1375" s="9">
        <v>2</v>
      </c>
      <c r="H1375" s="13">
        <f>F1375*E1375*D1375*G1375</f>
        <v>5.3774999999999995</v>
      </c>
    </row>
    <row r="1376" spans="1:8" x14ac:dyDescent="0.4">
      <c r="A1376" s="483"/>
      <c r="B1376" s="104"/>
      <c r="C1376" s="502"/>
      <c r="D1376" s="8"/>
      <c r="E1376" s="8"/>
      <c r="F1376" s="8"/>
      <c r="G1376" s="26" t="s">
        <v>15</v>
      </c>
      <c r="H1376" s="10">
        <f>SUM(H1370:H1375)</f>
        <v>37.743749999999999</v>
      </c>
    </row>
    <row r="1377" spans="1:8" x14ac:dyDescent="0.4">
      <c r="A1377" s="132"/>
      <c r="B1377" s="104"/>
      <c r="C1377" s="7"/>
      <c r="D1377" s="8"/>
      <c r="E1377" s="8"/>
      <c r="F1377" s="8"/>
      <c r="G1377" s="9"/>
      <c r="H1377" s="10"/>
    </row>
    <row r="1378" spans="1:8" x14ac:dyDescent="0.4">
      <c r="A1378" s="132">
        <v>2</v>
      </c>
      <c r="B1378" s="19" t="s">
        <v>196</v>
      </c>
      <c r="C1378" s="7" t="s">
        <v>1</v>
      </c>
      <c r="D1378" s="8"/>
      <c r="E1378" s="8"/>
      <c r="F1378" s="8"/>
      <c r="G1378" s="9"/>
      <c r="H1378" s="10">
        <v>120</v>
      </c>
    </row>
    <row r="1379" spans="1:8" x14ac:dyDescent="0.4">
      <c r="A1379" s="132"/>
      <c r="B1379" s="14"/>
      <c r="C1379" s="7"/>
      <c r="D1379" s="8"/>
      <c r="E1379" s="8"/>
      <c r="F1379" s="8"/>
      <c r="G1379" s="9"/>
      <c r="H1379" s="13"/>
    </row>
    <row r="1380" spans="1:8" x14ac:dyDescent="0.4">
      <c r="A1380" s="497">
        <v>3</v>
      </c>
      <c r="B1380" s="19" t="s">
        <v>197</v>
      </c>
      <c r="C1380" s="502" t="s">
        <v>1</v>
      </c>
      <c r="D1380" s="8"/>
      <c r="E1380" s="8"/>
      <c r="F1380" s="8"/>
      <c r="G1380" s="9"/>
      <c r="H1380" s="13"/>
    </row>
    <row r="1381" spans="1:8" x14ac:dyDescent="0.4">
      <c r="A1381" s="497"/>
      <c r="B1381" s="14" t="s">
        <v>286</v>
      </c>
      <c r="C1381" s="502"/>
      <c r="D1381" s="8"/>
      <c r="E1381" s="8"/>
      <c r="F1381" s="8"/>
      <c r="G1381" s="9"/>
      <c r="H1381" s="13">
        <v>58.52</v>
      </c>
    </row>
    <row r="1382" spans="1:8" x14ac:dyDescent="0.4">
      <c r="A1382" s="497"/>
      <c r="B1382" s="14" t="s">
        <v>287</v>
      </c>
      <c r="C1382" s="502"/>
      <c r="D1382" s="8"/>
      <c r="E1382" s="8"/>
      <c r="F1382" s="8"/>
      <c r="G1382" s="9"/>
      <c r="H1382" s="13">
        <v>6.36</v>
      </c>
    </row>
    <row r="1383" spans="1:8" x14ac:dyDescent="0.4">
      <c r="A1383" s="497"/>
      <c r="B1383" s="14" t="s">
        <v>200</v>
      </c>
      <c r="C1383" s="502"/>
      <c r="D1383" s="8"/>
      <c r="E1383" s="8"/>
      <c r="F1383" s="8"/>
      <c r="G1383" s="9"/>
      <c r="H1383" s="13">
        <v>44.08</v>
      </c>
    </row>
    <row r="1384" spans="1:8" x14ac:dyDescent="0.4">
      <c r="A1384" s="497"/>
      <c r="B1384" s="14"/>
      <c r="C1384" s="502"/>
      <c r="D1384" s="8"/>
      <c r="E1384" s="8"/>
      <c r="F1384" s="8"/>
      <c r="G1384" s="26" t="s">
        <v>15</v>
      </c>
      <c r="H1384" s="10">
        <f>SUM(H1380:H1383)</f>
        <v>108.96000000000001</v>
      </c>
    </row>
    <row r="1385" spans="1:8" x14ac:dyDescent="0.4">
      <c r="A1385" s="132"/>
      <c r="B1385" s="14"/>
      <c r="C1385" s="7"/>
      <c r="D1385" s="8"/>
      <c r="E1385" s="8"/>
      <c r="F1385" s="8"/>
      <c r="G1385" s="9"/>
      <c r="H1385" s="13"/>
    </row>
    <row r="1386" spans="1:8" ht="27.6" x14ac:dyDescent="0.4">
      <c r="A1386" s="481">
        <v>4</v>
      </c>
      <c r="B1386" s="31" t="s">
        <v>349</v>
      </c>
      <c r="C1386" s="502" t="s">
        <v>1</v>
      </c>
      <c r="D1386" s="56"/>
      <c r="E1386" s="124"/>
      <c r="F1386" s="124"/>
      <c r="G1386" s="125"/>
      <c r="H1386" s="62"/>
    </row>
    <row r="1387" spans="1:8" x14ac:dyDescent="0.4">
      <c r="A1387" s="482"/>
      <c r="B1387" s="163" t="s">
        <v>348</v>
      </c>
      <c r="C1387" s="502"/>
      <c r="D1387" s="56"/>
      <c r="E1387" s="8"/>
      <c r="F1387" s="8"/>
      <c r="G1387" s="9"/>
      <c r="H1387" s="165">
        <v>44.08</v>
      </c>
    </row>
    <row r="1388" spans="1:8" x14ac:dyDescent="0.45">
      <c r="A1388" s="482"/>
      <c r="B1388" s="163" t="s">
        <v>262</v>
      </c>
      <c r="C1388" s="502"/>
      <c r="D1388" s="203">
        <v>7.16</v>
      </c>
      <c r="E1388" s="162"/>
      <c r="F1388" s="8">
        <v>2.2999999999999998</v>
      </c>
      <c r="G1388" s="159">
        <v>1</v>
      </c>
      <c r="H1388" s="13">
        <f>D1388*F1388*G1388</f>
        <v>16.468</v>
      </c>
    </row>
    <row r="1389" spans="1:8" x14ac:dyDescent="0.45">
      <c r="A1389" s="482"/>
      <c r="B1389" s="31"/>
      <c r="C1389" s="502"/>
      <c r="D1389" s="8">
        <v>5.5</v>
      </c>
      <c r="E1389" s="8"/>
      <c r="F1389" s="8">
        <v>2.2999999999999998</v>
      </c>
      <c r="G1389" s="159">
        <v>1</v>
      </c>
      <c r="H1389" s="13">
        <f>D1389*F1389*G1389</f>
        <v>12.649999999999999</v>
      </c>
    </row>
    <row r="1390" spans="1:8" x14ac:dyDescent="0.45">
      <c r="A1390" s="482"/>
      <c r="B1390" s="31"/>
      <c r="C1390" s="502"/>
      <c r="D1390" s="8">
        <v>5.95</v>
      </c>
      <c r="E1390" s="8"/>
      <c r="F1390" s="8">
        <v>2.2999999999999998</v>
      </c>
      <c r="G1390" s="159">
        <v>1</v>
      </c>
      <c r="H1390" s="13">
        <f>D1390*F1390*G1390</f>
        <v>13.684999999999999</v>
      </c>
    </row>
    <row r="1391" spans="1:8" x14ac:dyDescent="0.45">
      <c r="A1391" s="482"/>
      <c r="B1391" s="31"/>
      <c r="C1391" s="502"/>
      <c r="D1391" s="8">
        <v>2.59</v>
      </c>
      <c r="E1391" s="8"/>
      <c r="F1391" s="8">
        <v>2.2999999999999998</v>
      </c>
      <c r="G1391" s="159">
        <v>1</v>
      </c>
      <c r="H1391" s="13">
        <f>D1391*F1391*G1391</f>
        <v>5.956999999999999</v>
      </c>
    </row>
    <row r="1392" spans="1:8" x14ac:dyDescent="0.45">
      <c r="A1392" s="482"/>
      <c r="B1392" s="31"/>
      <c r="C1392" s="502"/>
      <c r="D1392" s="8">
        <v>5.25</v>
      </c>
      <c r="E1392" s="8"/>
      <c r="F1392" s="8">
        <v>2.2999999999999998</v>
      </c>
      <c r="G1392" s="159">
        <v>1</v>
      </c>
      <c r="H1392" s="13">
        <f>D1392*F1392*G1392</f>
        <v>12.074999999999999</v>
      </c>
    </row>
    <row r="1393" spans="1:8" x14ac:dyDescent="0.4">
      <c r="A1393" s="483"/>
      <c r="B1393" s="31"/>
      <c r="C1393" s="7"/>
      <c r="D1393" s="8"/>
      <c r="E1393" s="8"/>
      <c r="F1393" s="8"/>
      <c r="G1393" s="26" t="s">
        <v>15</v>
      </c>
      <c r="H1393" s="10">
        <f>SUM(H1386:H1392)</f>
        <v>104.91500000000001</v>
      </c>
    </row>
    <row r="1394" spans="1:8" x14ac:dyDescent="0.4">
      <c r="A1394" s="132"/>
      <c r="B1394" s="14"/>
      <c r="C1394" s="7"/>
      <c r="D1394" s="8"/>
      <c r="E1394" s="8"/>
      <c r="F1394" s="8"/>
      <c r="G1394" s="9"/>
      <c r="H1394" s="13"/>
    </row>
    <row r="1395" spans="1:8" ht="27.6" x14ac:dyDescent="0.4">
      <c r="A1395" s="132">
        <v>5</v>
      </c>
      <c r="B1395" s="31" t="s">
        <v>355</v>
      </c>
      <c r="C1395" s="7" t="s">
        <v>1</v>
      </c>
      <c r="D1395" s="8"/>
      <c r="E1395" s="8"/>
      <c r="F1395" s="8"/>
      <c r="G1395" s="9"/>
      <c r="H1395" s="10">
        <f>H1393</f>
        <v>104.91500000000001</v>
      </c>
    </row>
    <row r="1396" spans="1:8" x14ac:dyDescent="0.4">
      <c r="A1396" s="132"/>
      <c r="B1396" s="14"/>
      <c r="C1396" s="7"/>
      <c r="D1396" s="8"/>
      <c r="E1396" s="8"/>
      <c r="F1396" s="8"/>
      <c r="G1396" s="9"/>
      <c r="H1396" s="13"/>
    </row>
    <row r="1397" spans="1:8" ht="27.6" x14ac:dyDescent="0.4">
      <c r="A1397" s="132">
        <v>6</v>
      </c>
      <c r="B1397" s="31" t="s">
        <v>350</v>
      </c>
      <c r="C1397" s="7" t="s">
        <v>1</v>
      </c>
      <c r="D1397" s="8"/>
      <c r="E1397" s="8"/>
      <c r="F1397" s="8"/>
      <c r="G1397" s="9"/>
      <c r="H1397" s="10">
        <f>H1393</f>
        <v>104.91500000000001</v>
      </c>
    </row>
    <row r="1398" spans="1:8" x14ac:dyDescent="0.4">
      <c r="A1398" s="132"/>
      <c r="B1398" s="14"/>
      <c r="C1398" s="7"/>
      <c r="D1398" s="8"/>
      <c r="E1398" s="8"/>
      <c r="F1398" s="8"/>
      <c r="G1398" s="9"/>
      <c r="H1398" s="13"/>
    </row>
    <row r="1399" spans="1:8" ht="55.2" x14ac:dyDescent="0.4">
      <c r="A1399" s="132">
        <v>7</v>
      </c>
      <c r="B1399" s="31" t="s">
        <v>352</v>
      </c>
      <c r="C1399" s="7" t="s">
        <v>1</v>
      </c>
      <c r="D1399" s="172"/>
      <c r="E1399" s="108"/>
      <c r="F1399" s="108"/>
      <c r="G1399" s="108"/>
      <c r="H1399" s="164">
        <f>H1393</f>
        <v>104.91500000000001</v>
      </c>
    </row>
    <row r="1400" spans="1:8" x14ac:dyDescent="0.4">
      <c r="A1400" s="132"/>
      <c r="B1400" s="14"/>
      <c r="C1400" s="108"/>
      <c r="D1400" s="172"/>
      <c r="E1400" s="108"/>
      <c r="F1400" s="108"/>
      <c r="G1400" s="108"/>
      <c r="H1400" s="108"/>
    </row>
    <row r="1401" spans="1:8" ht="41.4" x14ac:dyDescent="0.4">
      <c r="A1401" s="132">
        <v>8</v>
      </c>
      <c r="B1401" s="31" t="s">
        <v>353</v>
      </c>
      <c r="C1401" s="7" t="s">
        <v>1</v>
      </c>
      <c r="D1401" s="8"/>
      <c r="E1401" s="8"/>
      <c r="F1401" s="8"/>
      <c r="G1401" s="9"/>
      <c r="H1401" s="10">
        <f>H1393</f>
        <v>104.91500000000001</v>
      </c>
    </row>
    <row r="1402" spans="1:8" x14ac:dyDescent="0.4">
      <c r="A1402" s="132"/>
      <c r="B1402" s="14"/>
      <c r="C1402" s="7"/>
      <c r="D1402" s="8"/>
      <c r="E1402" s="8"/>
      <c r="F1402" s="8"/>
      <c r="G1402" s="9"/>
      <c r="H1402" s="13"/>
    </row>
    <row r="1403" spans="1:8" ht="55.2" x14ac:dyDescent="0.4">
      <c r="A1403" s="497">
        <v>9</v>
      </c>
      <c r="B1403" s="31" t="s">
        <v>354</v>
      </c>
      <c r="C1403" s="502" t="s">
        <v>5</v>
      </c>
      <c r="D1403" s="28">
        <v>7.16</v>
      </c>
      <c r="E1403" s="130"/>
      <c r="F1403" s="8"/>
      <c r="G1403" s="28">
        <v>1</v>
      </c>
      <c r="H1403" s="13">
        <f>D1403*G1403</f>
        <v>7.16</v>
      </c>
    </row>
    <row r="1404" spans="1:8" x14ac:dyDescent="0.4">
      <c r="A1404" s="497"/>
      <c r="B1404" s="14"/>
      <c r="C1404" s="502"/>
      <c r="D1404" s="8">
        <v>5.5</v>
      </c>
      <c r="E1404" s="8"/>
      <c r="F1404" s="8"/>
      <c r="G1404" s="28">
        <v>1</v>
      </c>
      <c r="H1404" s="13">
        <f>D1404*G1404</f>
        <v>5.5</v>
      </c>
    </row>
    <row r="1405" spans="1:8" x14ac:dyDescent="0.4">
      <c r="A1405" s="497"/>
      <c r="B1405" s="14"/>
      <c r="C1405" s="502"/>
      <c r="D1405" s="8">
        <v>5.95</v>
      </c>
      <c r="E1405" s="8"/>
      <c r="F1405" s="8"/>
      <c r="G1405" s="28">
        <v>1</v>
      </c>
      <c r="H1405" s="13">
        <f>D1405*G1405</f>
        <v>5.95</v>
      </c>
    </row>
    <row r="1406" spans="1:8" x14ac:dyDescent="0.4">
      <c r="A1406" s="497"/>
      <c r="B1406" s="14"/>
      <c r="C1406" s="502"/>
      <c r="D1406" s="8">
        <v>2.59</v>
      </c>
      <c r="E1406" s="8"/>
      <c r="F1406" s="8"/>
      <c r="G1406" s="28">
        <v>1</v>
      </c>
      <c r="H1406" s="13">
        <f>D1406*G1406</f>
        <v>2.59</v>
      </c>
    </row>
    <row r="1407" spans="1:8" x14ac:dyDescent="0.4">
      <c r="A1407" s="497"/>
      <c r="B1407" s="14"/>
      <c r="C1407" s="502"/>
      <c r="D1407" s="8">
        <v>5.25</v>
      </c>
      <c r="E1407" s="8"/>
      <c r="F1407" s="8"/>
      <c r="G1407" s="28">
        <v>1</v>
      </c>
      <c r="H1407" s="13">
        <f>D1407*G1407</f>
        <v>5.25</v>
      </c>
    </row>
    <row r="1408" spans="1:8" x14ac:dyDescent="0.4">
      <c r="A1408" s="497"/>
      <c r="B1408" s="14"/>
      <c r="C1408" s="502"/>
      <c r="D1408" s="8"/>
      <c r="E1408" s="8"/>
      <c r="F1408" s="8"/>
      <c r="G1408" s="26" t="s">
        <v>80</v>
      </c>
      <c r="H1408" s="10">
        <f>SUM(H1403:H1407)</f>
        <v>26.45</v>
      </c>
    </row>
    <row r="1409" spans="1:8" x14ac:dyDescent="0.4">
      <c r="A1409" s="122"/>
      <c r="B1409" s="14"/>
      <c r="C1409" s="7"/>
      <c r="D1409" s="8"/>
      <c r="E1409" s="8"/>
      <c r="F1409" s="8"/>
      <c r="G1409" s="26"/>
      <c r="H1409" s="10"/>
    </row>
    <row r="1410" spans="1:8" x14ac:dyDescent="0.4">
      <c r="A1410" s="132">
        <v>10</v>
      </c>
      <c r="B1410" s="19" t="s">
        <v>199</v>
      </c>
      <c r="C1410" s="7" t="s">
        <v>1</v>
      </c>
      <c r="D1410" s="8"/>
      <c r="E1410" s="8"/>
      <c r="F1410" s="8"/>
      <c r="G1410" s="9"/>
      <c r="H1410" s="10">
        <f>H1393</f>
        <v>104.91500000000001</v>
      </c>
    </row>
    <row r="1411" spans="1:8" x14ac:dyDescent="0.4">
      <c r="A1411" s="132"/>
      <c r="B1411" s="14"/>
      <c r="C1411" s="7"/>
      <c r="D1411" s="8"/>
      <c r="E1411" s="8"/>
      <c r="F1411" s="8"/>
      <c r="G1411" s="9"/>
      <c r="H1411" s="13"/>
    </row>
    <row r="1412" spans="1:8" ht="27.6" x14ac:dyDescent="0.4">
      <c r="A1412" s="497">
        <v>11</v>
      </c>
      <c r="B1412" s="19" t="s">
        <v>492</v>
      </c>
      <c r="C1412" s="502" t="s">
        <v>1</v>
      </c>
      <c r="D1412" s="8"/>
      <c r="E1412" s="8"/>
      <c r="F1412" s="8"/>
      <c r="G1412" s="9"/>
      <c r="H1412" s="13"/>
    </row>
    <row r="1413" spans="1:8" x14ac:dyDescent="0.4">
      <c r="A1413" s="497"/>
      <c r="B1413" s="14" t="s">
        <v>286</v>
      </c>
      <c r="C1413" s="502"/>
      <c r="D1413" s="124"/>
      <c r="E1413" s="8"/>
      <c r="F1413" s="8"/>
      <c r="G1413" s="9"/>
      <c r="H1413" s="13">
        <v>58.52</v>
      </c>
    </row>
    <row r="1414" spans="1:8" x14ac:dyDescent="0.4">
      <c r="A1414" s="497"/>
      <c r="B1414" s="14" t="s">
        <v>287</v>
      </c>
      <c r="C1414" s="502"/>
      <c r="D1414" s="8"/>
      <c r="E1414" s="8"/>
      <c r="F1414" s="8"/>
      <c r="G1414" s="9"/>
      <c r="H1414" s="13">
        <v>6.36</v>
      </c>
    </row>
    <row r="1415" spans="1:8" x14ac:dyDescent="0.4">
      <c r="A1415" s="497"/>
      <c r="B1415" s="14"/>
      <c r="C1415" s="502"/>
      <c r="D1415" s="8"/>
      <c r="E1415" s="8"/>
      <c r="F1415" s="8"/>
      <c r="G1415" s="26" t="s">
        <v>15</v>
      </c>
      <c r="H1415" s="10">
        <f>SUM(H1412:H1414)</f>
        <v>64.88000000000001</v>
      </c>
    </row>
    <row r="1416" spans="1:8" x14ac:dyDescent="0.4">
      <c r="A1416" s="132"/>
      <c r="B1416" s="14"/>
      <c r="C1416" s="7"/>
      <c r="D1416" s="8"/>
      <c r="E1416" s="8"/>
      <c r="F1416" s="8"/>
      <c r="G1416" s="9"/>
      <c r="H1416" s="13"/>
    </row>
    <row r="1417" spans="1:8" ht="27.6" x14ac:dyDescent="0.4">
      <c r="A1417" s="132">
        <v>12</v>
      </c>
      <c r="B1417" s="19" t="s">
        <v>288</v>
      </c>
      <c r="C1417" s="7" t="s">
        <v>4</v>
      </c>
      <c r="D1417" s="8"/>
      <c r="E1417" s="8"/>
      <c r="F1417" s="8"/>
      <c r="G1417" s="9"/>
      <c r="H1417" s="45">
        <v>1</v>
      </c>
    </row>
    <row r="1418" spans="1:8" x14ac:dyDescent="0.4">
      <c r="A1418" s="132"/>
      <c r="B1418" s="19"/>
      <c r="C1418" s="7"/>
      <c r="D1418" s="8"/>
      <c r="E1418" s="8"/>
      <c r="F1418" s="8"/>
      <c r="G1418" s="9"/>
      <c r="H1418" s="45"/>
    </row>
    <row r="1419" spans="1:8" ht="27.6" x14ac:dyDescent="0.4">
      <c r="A1419" s="132">
        <v>13</v>
      </c>
      <c r="B1419" s="19" t="s">
        <v>285</v>
      </c>
      <c r="C1419" s="7" t="s">
        <v>4</v>
      </c>
      <c r="D1419" s="8"/>
      <c r="E1419" s="8"/>
      <c r="F1419" s="8"/>
      <c r="G1419" s="9"/>
      <c r="H1419" s="45">
        <v>1</v>
      </c>
    </row>
    <row r="1420" spans="1:8" x14ac:dyDescent="0.4">
      <c r="A1420" s="132"/>
      <c r="B1420" s="19"/>
      <c r="C1420" s="7"/>
      <c r="D1420" s="8"/>
      <c r="E1420" s="8"/>
      <c r="F1420" s="8"/>
      <c r="G1420" s="9"/>
      <c r="H1420" s="45"/>
    </row>
    <row r="1421" spans="1:8" x14ac:dyDescent="0.4">
      <c r="A1421" s="132">
        <v>14</v>
      </c>
      <c r="B1421" s="19" t="s">
        <v>368</v>
      </c>
      <c r="C1421" s="7" t="s">
        <v>4</v>
      </c>
      <c r="D1421" s="8"/>
      <c r="E1421" s="8"/>
      <c r="F1421" s="8"/>
      <c r="G1421" s="9"/>
      <c r="H1421" s="45">
        <v>2</v>
      </c>
    </row>
    <row r="1422" spans="1:8" x14ac:dyDescent="0.4">
      <c r="A1422" s="132"/>
      <c r="B1422" s="7"/>
      <c r="C1422" s="40"/>
      <c r="D1422" s="33"/>
      <c r="E1422" s="33"/>
      <c r="F1422" s="33"/>
      <c r="G1422" s="32"/>
      <c r="H1422" s="24"/>
    </row>
    <row r="1423" spans="1:8" ht="27.6" x14ac:dyDescent="0.4">
      <c r="A1423" s="132">
        <v>15</v>
      </c>
      <c r="B1423" s="19" t="s">
        <v>337</v>
      </c>
      <c r="C1423" s="7" t="s">
        <v>4</v>
      </c>
      <c r="D1423" s="8"/>
      <c r="E1423" s="8"/>
      <c r="F1423" s="8"/>
      <c r="G1423" s="9"/>
      <c r="H1423" s="45">
        <v>1</v>
      </c>
    </row>
    <row r="1424" spans="1:8" x14ac:dyDescent="0.4">
      <c r="A1424" s="132"/>
      <c r="B1424" s="7"/>
      <c r="C1424" s="40"/>
      <c r="D1424" s="33"/>
      <c r="E1424" s="33"/>
      <c r="F1424" s="33"/>
      <c r="G1424" s="32"/>
      <c r="H1424" s="24"/>
    </row>
    <row r="1425" spans="1:8" ht="41.4" x14ac:dyDescent="0.4">
      <c r="A1425" s="132">
        <v>16</v>
      </c>
      <c r="B1425" s="11" t="s">
        <v>345</v>
      </c>
      <c r="C1425" s="28" t="s">
        <v>4</v>
      </c>
      <c r="D1425" s="33"/>
      <c r="E1425" s="33"/>
      <c r="F1425" s="33"/>
      <c r="G1425" s="32"/>
      <c r="H1425" s="147">
        <v>5</v>
      </c>
    </row>
    <row r="1426" spans="1:8" s="157" customFormat="1" x14ac:dyDescent="0.4">
      <c r="A1426" s="156"/>
      <c r="B1426" s="7"/>
      <c r="C1426" s="22"/>
      <c r="D1426" s="17"/>
      <c r="E1426" s="17"/>
      <c r="F1426" s="17"/>
      <c r="G1426" s="4"/>
      <c r="H1426" s="24"/>
    </row>
    <row r="1427" spans="1:8" s="157" customFormat="1" x14ac:dyDescent="0.4">
      <c r="A1427" s="156"/>
      <c r="B1427" s="7"/>
      <c r="C1427" s="22"/>
      <c r="D1427" s="17"/>
      <c r="E1427" s="17"/>
      <c r="F1427" s="17"/>
      <c r="G1427" s="4"/>
      <c r="H1427" s="24"/>
    </row>
    <row r="1428" spans="1:8" s="157" customFormat="1" ht="30" customHeight="1" x14ac:dyDescent="0.4">
      <c r="A1428" s="156"/>
      <c r="B1428" s="173" t="s">
        <v>346</v>
      </c>
      <c r="C1428" s="158"/>
      <c r="D1428" s="186"/>
      <c r="E1428" s="17"/>
      <c r="F1428" s="17"/>
      <c r="G1428" s="4"/>
      <c r="H1428" s="24"/>
    </row>
    <row r="1429" spans="1:8" x14ac:dyDescent="0.4">
      <c r="A1429" s="122"/>
      <c r="B1429" s="7"/>
      <c r="C1429" s="40"/>
      <c r="D1429" s="33"/>
      <c r="E1429" s="33"/>
      <c r="F1429" s="33"/>
      <c r="G1429" s="32"/>
      <c r="H1429" s="24"/>
    </row>
    <row r="1430" spans="1:8" ht="27.6" x14ac:dyDescent="0.4">
      <c r="A1430" s="132">
        <v>1</v>
      </c>
      <c r="B1430" s="11" t="s">
        <v>340</v>
      </c>
      <c r="C1430" s="6" t="s">
        <v>2</v>
      </c>
      <c r="D1430" s="17">
        <v>120.9</v>
      </c>
      <c r="E1430" s="17"/>
      <c r="F1430" s="17">
        <v>0.2</v>
      </c>
      <c r="G1430" s="4">
        <v>1</v>
      </c>
      <c r="H1430" s="23">
        <f>D1430*F1430*G1430</f>
        <v>24.180000000000003</v>
      </c>
    </row>
    <row r="1431" spans="1:8" s="157" customFormat="1" x14ac:dyDescent="0.4">
      <c r="A1431" s="34"/>
      <c r="B1431" s="5"/>
      <c r="C1431" s="6"/>
      <c r="D1431" s="17"/>
      <c r="E1431" s="17"/>
      <c r="F1431" s="17"/>
      <c r="G1431" s="4"/>
      <c r="H1431" s="24"/>
    </row>
    <row r="1432" spans="1:8" s="157" customFormat="1" x14ac:dyDescent="0.4">
      <c r="A1432" s="34">
        <v>2</v>
      </c>
      <c r="B1432" s="11" t="s">
        <v>193</v>
      </c>
      <c r="C1432" s="6" t="s">
        <v>1</v>
      </c>
      <c r="D1432" s="17"/>
      <c r="E1432" s="17"/>
      <c r="F1432" s="17"/>
      <c r="G1432" s="4"/>
      <c r="H1432" s="23">
        <v>120.9</v>
      </c>
    </row>
    <row r="1433" spans="1:8" s="157" customFormat="1" x14ac:dyDescent="0.4">
      <c r="A1433" s="34"/>
      <c r="B1433" s="11"/>
      <c r="C1433" s="6"/>
      <c r="D1433" s="17"/>
      <c r="E1433" s="17"/>
      <c r="F1433" s="17"/>
      <c r="G1433" s="4"/>
      <c r="H1433" s="23"/>
    </row>
    <row r="1434" spans="1:8" s="157" customFormat="1" ht="27.6" x14ac:dyDescent="0.4">
      <c r="A1434" s="34">
        <v>3</v>
      </c>
      <c r="B1434" s="11" t="s">
        <v>443</v>
      </c>
      <c r="C1434" s="28" t="s">
        <v>5</v>
      </c>
      <c r="D1434" s="17"/>
      <c r="E1434" s="17"/>
      <c r="F1434" s="17"/>
      <c r="G1434" s="4"/>
      <c r="H1434" s="23">
        <v>5.22</v>
      </c>
    </row>
    <row r="1435" spans="1:8" s="157" customFormat="1" x14ac:dyDescent="0.4">
      <c r="A1435" s="34"/>
      <c r="B1435" s="11"/>
      <c r="C1435" s="6"/>
      <c r="D1435" s="17"/>
      <c r="E1435" s="17"/>
      <c r="F1435" s="17"/>
      <c r="G1435" s="4"/>
      <c r="H1435" s="23"/>
    </row>
    <row r="1436" spans="1:8" s="157" customFormat="1" x14ac:dyDescent="0.4">
      <c r="A1436" s="34">
        <v>4</v>
      </c>
      <c r="B1436" s="19" t="s">
        <v>312</v>
      </c>
      <c r="C1436" s="6" t="s">
        <v>1</v>
      </c>
      <c r="D1436" s="17"/>
      <c r="E1436" s="17"/>
      <c r="F1436" s="17"/>
      <c r="G1436" s="4"/>
      <c r="H1436" s="23">
        <v>120.9</v>
      </c>
    </row>
    <row r="1437" spans="1:8" s="157" customFormat="1" x14ac:dyDescent="0.4">
      <c r="A1437" s="34"/>
      <c r="B1437" s="11"/>
      <c r="C1437" s="6"/>
      <c r="D1437" s="17"/>
      <c r="E1437" s="17"/>
      <c r="F1437" s="17"/>
      <c r="G1437" s="4"/>
      <c r="H1437" s="23"/>
    </row>
    <row r="1438" spans="1:8" s="157" customFormat="1" ht="27.6" x14ac:dyDescent="0.4">
      <c r="A1438" s="490">
        <v>5</v>
      </c>
      <c r="B1438" s="31" t="s">
        <v>448</v>
      </c>
      <c r="C1438" s="487" t="s">
        <v>1</v>
      </c>
      <c r="D1438" s="17"/>
      <c r="E1438" s="17"/>
      <c r="F1438" s="17"/>
      <c r="G1438" s="4"/>
      <c r="H1438" s="23"/>
    </row>
    <row r="1439" spans="1:8" s="157" customFormat="1" x14ac:dyDescent="0.4">
      <c r="A1439" s="491"/>
      <c r="B1439" s="5" t="s">
        <v>441</v>
      </c>
      <c r="C1439" s="488"/>
      <c r="D1439" s="17"/>
      <c r="E1439" s="17"/>
      <c r="F1439" s="17"/>
      <c r="G1439" s="4"/>
      <c r="H1439" s="24">
        <v>120.9</v>
      </c>
    </row>
    <row r="1440" spans="1:8" s="157" customFormat="1" x14ac:dyDescent="0.4">
      <c r="A1440" s="491"/>
      <c r="B1440" s="5" t="s">
        <v>446</v>
      </c>
      <c r="C1440" s="488"/>
      <c r="D1440" s="17">
        <v>17.2</v>
      </c>
      <c r="E1440" s="17"/>
      <c r="F1440" s="17">
        <v>0.2</v>
      </c>
      <c r="G1440" s="4">
        <v>1</v>
      </c>
      <c r="H1440" s="24">
        <f>D1440*F1440*G1440</f>
        <v>3.44</v>
      </c>
    </row>
    <row r="1441" spans="1:8" s="157" customFormat="1" ht="27.6" x14ac:dyDescent="0.4">
      <c r="A1441" s="491"/>
      <c r="B1441" s="5" t="s">
        <v>444</v>
      </c>
      <c r="C1441" s="488"/>
      <c r="D1441" s="17">
        <v>5.22</v>
      </c>
      <c r="E1441" s="17"/>
      <c r="F1441" s="17">
        <v>0.3</v>
      </c>
      <c r="G1441" s="4">
        <v>1</v>
      </c>
      <c r="H1441" s="24">
        <f>D1441*F1441*G1441</f>
        <v>1.5659999999999998</v>
      </c>
    </row>
    <row r="1442" spans="1:8" s="157" customFormat="1" x14ac:dyDescent="0.4">
      <c r="A1442" s="491"/>
      <c r="B1442" s="5" t="s">
        <v>445</v>
      </c>
      <c r="C1442" s="488"/>
      <c r="D1442" s="17">
        <v>70.67</v>
      </c>
      <c r="E1442" s="17"/>
      <c r="F1442" s="17">
        <v>0.5</v>
      </c>
      <c r="G1442" s="4">
        <v>1</v>
      </c>
      <c r="H1442" s="24">
        <f>D1442*F1442*G1442</f>
        <v>35.335000000000001</v>
      </c>
    </row>
    <row r="1443" spans="1:8" s="157" customFormat="1" x14ac:dyDescent="0.4">
      <c r="A1443" s="491"/>
      <c r="B1443" s="5" t="s">
        <v>411</v>
      </c>
      <c r="C1443" s="488"/>
      <c r="D1443" s="17">
        <v>70.849999999999994</v>
      </c>
      <c r="E1443" s="17">
        <v>0.18</v>
      </c>
      <c r="F1443" s="17"/>
      <c r="G1443" s="4">
        <v>1</v>
      </c>
      <c r="H1443" s="24">
        <f>D1443*E1443*G1443</f>
        <v>12.752999999999998</v>
      </c>
    </row>
    <row r="1444" spans="1:8" s="157" customFormat="1" x14ac:dyDescent="0.4">
      <c r="A1444" s="491"/>
      <c r="B1444" s="5" t="s">
        <v>414</v>
      </c>
      <c r="C1444" s="488"/>
      <c r="D1444" s="17">
        <v>70.849999999999994</v>
      </c>
      <c r="E1444" s="17"/>
      <c r="F1444" s="17">
        <v>0.45</v>
      </c>
      <c r="G1444" s="6">
        <v>2</v>
      </c>
      <c r="H1444" s="24">
        <f>D1444*F1444*G1444</f>
        <v>63.764999999999993</v>
      </c>
    </row>
    <row r="1445" spans="1:8" s="157" customFormat="1" x14ac:dyDescent="0.4">
      <c r="A1445" s="492"/>
      <c r="B1445" s="11"/>
      <c r="C1445" s="489"/>
      <c r="D1445" s="17"/>
      <c r="E1445" s="17"/>
      <c r="F1445" s="17"/>
      <c r="G1445" s="94" t="s">
        <v>15</v>
      </c>
      <c r="H1445" s="23">
        <f>SUM(H1439:H1444)</f>
        <v>237.75899999999999</v>
      </c>
    </row>
    <row r="1446" spans="1:8" s="157" customFormat="1" x14ac:dyDescent="0.4">
      <c r="A1446" s="34"/>
      <c r="B1446" s="11"/>
      <c r="C1446" s="6"/>
      <c r="D1446" s="17"/>
      <c r="E1446" s="17"/>
      <c r="F1446" s="17"/>
      <c r="G1446" s="4"/>
      <c r="H1446" s="24"/>
    </row>
    <row r="1447" spans="1:8" s="157" customFormat="1" ht="27.6" x14ac:dyDescent="0.4">
      <c r="A1447" s="34">
        <v>6</v>
      </c>
      <c r="B1447" s="31" t="s">
        <v>449</v>
      </c>
      <c r="C1447" s="39" t="s">
        <v>1</v>
      </c>
      <c r="D1447" s="17"/>
      <c r="E1447" s="17"/>
      <c r="F1447" s="17"/>
      <c r="G1447" s="4"/>
      <c r="H1447" s="23">
        <f>H1445</f>
        <v>237.75899999999999</v>
      </c>
    </row>
    <row r="1448" spans="1:8" s="157" customFormat="1" x14ac:dyDescent="0.4">
      <c r="A1448" s="34"/>
      <c r="B1448" s="5"/>
      <c r="C1448" s="39"/>
      <c r="D1448" s="17"/>
      <c r="E1448" s="17"/>
      <c r="F1448" s="17"/>
      <c r="G1448" s="4"/>
      <c r="H1448" s="23"/>
    </row>
    <row r="1449" spans="1:8" s="157" customFormat="1" ht="27.6" x14ac:dyDescent="0.4">
      <c r="A1449" s="34">
        <v>7</v>
      </c>
      <c r="B1449" s="31" t="s">
        <v>406</v>
      </c>
      <c r="C1449" s="39" t="s">
        <v>1</v>
      </c>
      <c r="D1449" s="17"/>
      <c r="E1449" s="17"/>
      <c r="F1449" s="17"/>
      <c r="G1449" s="4"/>
      <c r="H1449" s="23">
        <f>H1445</f>
        <v>237.75899999999999</v>
      </c>
    </row>
    <row r="1450" spans="1:8" s="157" customFormat="1" x14ac:dyDescent="0.4">
      <c r="A1450" s="34"/>
      <c r="B1450" s="5"/>
      <c r="C1450" s="39"/>
      <c r="D1450" s="17"/>
      <c r="E1450" s="17"/>
      <c r="F1450" s="17"/>
      <c r="G1450" s="4"/>
      <c r="H1450" s="23"/>
    </row>
    <row r="1451" spans="1:8" s="157" customFormat="1" ht="55.2" x14ac:dyDescent="0.4">
      <c r="A1451" s="34">
        <v>8</v>
      </c>
      <c r="B1451" s="31" t="s">
        <v>407</v>
      </c>
      <c r="C1451" s="39" t="s">
        <v>1</v>
      </c>
      <c r="D1451" s="17"/>
      <c r="E1451" s="17"/>
      <c r="F1451" s="17"/>
      <c r="G1451" s="4"/>
      <c r="H1451" s="23">
        <f>H1445</f>
        <v>237.75899999999999</v>
      </c>
    </row>
    <row r="1452" spans="1:8" s="157" customFormat="1" x14ac:dyDescent="0.4">
      <c r="A1452" s="34"/>
      <c r="B1452" s="5"/>
      <c r="C1452" s="39"/>
      <c r="D1452" s="17"/>
      <c r="E1452" s="17"/>
      <c r="F1452" s="17"/>
      <c r="G1452" s="4"/>
      <c r="H1452" s="23"/>
    </row>
    <row r="1453" spans="1:8" s="157" customFormat="1" ht="41.4" x14ac:dyDescent="0.4">
      <c r="A1453" s="34">
        <v>9</v>
      </c>
      <c r="B1453" s="31" t="s">
        <v>408</v>
      </c>
      <c r="C1453" s="39" t="s">
        <v>1</v>
      </c>
      <c r="D1453" s="17"/>
      <c r="E1453" s="17"/>
      <c r="F1453" s="17"/>
      <c r="G1453" s="4"/>
      <c r="H1453" s="23">
        <f>H1445</f>
        <v>237.75899999999999</v>
      </c>
    </row>
    <row r="1454" spans="1:8" s="157" customFormat="1" x14ac:dyDescent="0.4">
      <c r="A1454" s="34"/>
      <c r="B1454" s="11"/>
      <c r="C1454" s="6"/>
      <c r="D1454" s="17"/>
      <c r="E1454" s="17"/>
      <c r="F1454" s="17"/>
      <c r="G1454" s="4"/>
      <c r="H1454" s="23"/>
    </row>
    <row r="1455" spans="1:8" s="157" customFormat="1" ht="55.2" x14ac:dyDescent="0.4">
      <c r="A1455" s="490">
        <v>10</v>
      </c>
      <c r="B1455" s="31" t="s">
        <v>447</v>
      </c>
      <c r="C1455" s="487" t="s">
        <v>5</v>
      </c>
      <c r="D1455" s="17"/>
      <c r="E1455" s="17"/>
      <c r="F1455" s="17"/>
      <c r="G1455" s="4"/>
      <c r="H1455" s="23"/>
    </row>
    <row r="1456" spans="1:8" x14ac:dyDescent="0.4">
      <c r="A1456" s="491"/>
      <c r="B1456" s="5" t="s">
        <v>442</v>
      </c>
      <c r="C1456" s="488"/>
      <c r="D1456" s="17">
        <v>17.2</v>
      </c>
      <c r="E1456" s="17"/>
      <c r="F1456" s="17"/>
      <c r="G1456" s="4">
        <v>1</v>
      </c>
      <c r="H1456" s="24">
        <f>D1456*G1456</f>
        <v>17.2</v>
      </c>
    </row>
    <row r="1457" spans="1:8" ht="27.6" x14ac:dyDescent="0.4">
      <c r="A1457" s="491"/>
      <c r="B1457" s="5" t="s">
        <v>444</v>
      </c>
      <c r="C1457" s="488"/>
      <c r="D1457" s="17">
        <v>5.22</v>
      </c>
      <c r="E1457" s="17"/>
      <c r="F1457" s="17"/>
      <c r="G1457" s="4">
        <v>1</v>
      </c>
      <c r="H1457" s="24">
        <f>D1457*G1457</f>
        <v>5.22</v>
      </c>
    </row>
    <row r="1458" spans="1:8" x14ac:dyDescent="0.4">
      <c r="A1458" s="491"/>
      <c r="B1458" s="5" t="s">
        <v>450</v>
      </c>
      <c r="C1458" s="488"/>
      <c r="D1458" s="17">
        <v>70.67</v>
      </c>
      <c r="E1458" s="17"/>
      <c r="F1458" s="17"/>
      <c r="G1458" s="4">
        <v>1</v>
      </c>
      <c r="H1458" s="24">
        <f>D1458*G1458</f>
        <v>70.67</v>
      </c>
    </row>
    <row r="1459" spans="1:8" x14ac:dyDescent="0.4">
      <c r="A1459" s="491"/>
      <c r="B1459" s="5" t="s">
        <v>419</v>
      </c>
      <c r="C1459" s="488"/>
      <c r="D1459" s="17">
        <v>70.849999999999994</v>
      </c>
      <c r="E1459" s="17"/>
      <c r="F1459" s="17"/>
      <c r="G1459" s="6">
        <v>2</v>
      </c>
      <c r="H1459" s="24">
        <f>D1459*G1459</f>
        <v>141.69999999999999</v>
      </c>
    </row>
    <row r="1460" spans="1:8" x14ac:dyDescent="0.4">
      <c r="A1460" s="492"/>
      <c r="B1460" s="11"/>
      <c r="C1460" s="489"/>
      <c r="D1460" s="17"/>
      <c r="E1460" s="17"/>
      <c r="F1460" s="17"/>
      <c r="G1460" s="94" t="s">
        <v>15</v>
      </c>
      <c r="H1460" s="23">
        <f>SUM(H1455:H1459)</f>
        <v>234.79</v>
      </c>
    </row>
    <row r="1461" spans="1:8" x14ac:dyDescent="0.4">
      <c r="A1461" s="122"/>
      <c r="B1461" s="7"/>
      <c r="C1461" s="40"/>
      <c r="D1461" s="33"/>
      <c r="E1461" s="33"/>
      <c r="F1461" s="33"/>
      <c r="G1461" s="32"/>
      <c r="H1461" s="24"/>
    </row>
    <row r="1462" spans="1:8" x14ac:dyDescent="0.4">
      <c r="A1462" s="481">
        <v>11</v>
      </c>
      <c r="B1462" s="19" t="s">
        <v>313</v>
      </c>
      <c r="C1462" s="487" t="s">
        <v>1</v>
      </c>
      <c r="D1462" s="112"/>
      <c r="E1462" s="112"/>
      <c r="F1462" s="112"/>
      <c r="G1462" s="54"/>
      <c r="H1462" s="62"/>
    </row>
    <row r="1463" spans="1:8" x14ac:dyDescent="0.4">
      <c r="A1463" s="482"/>
      <c r="B1463" s="5" t="s">
        <v>409</v>
      </c>
      <c r="C1463" s="488"/>
      <c r="D1463" s="56"/>
      <c r="E1463" s="56"/>
      <c r="F1463" s="56"/>
      <c r="G1463" s="67"/>
      <c r="H1463" s="24">
        <v>120.9</v>
      </c>
    </row>
    <row r="1464" spans="1:8" x14ac:dyDescent="0.4">
      <c r="A1464" s="482"/>
      <c r="B1464" s="5" t="s">
        <v>446</v>
      </c>
      <c r="C1464" s="488"/>
      <c r="D1464" s="17">
        <v>17.2</v>
      </c>
      <c r="E1464" s="17"/>
      <c r="F1464" s="17">
        <v>0.2</v>
      </c>
      <c r="G1464" s="4">
        <v>1</v>
      </c>
      <c r="H1464" s="24">
        <f>D1464*F1464*G1464</f>
        <v>3.44</v>
      </c>
    </row>
    <row r="1465" spans="1:8" ht="27.6" x14ac:dyDescent="0.4">
      <c r="A1465" s="482"/>
      <c r="B1465" s="5" t="s">
        <v>444</v>
      </c>
      <c r="C1465" s="488"/>
      <c r="D1465" s="17">
        <v>5.22</v>
      </c>
      <c r="E1465" s="17"/>
      <c r="F1465" s="17">
        <v>0.3</v>
      </c>
      <c r="G1465" s="4">
        <v>1</v>
      </c>
      <c r="H1465" s="24">
        <f>D1465*F1465*G1465</f>
        <v>1.5659999999999998</v>
      </c>
    </row>
    <row r="1466" spans="1:8" x14ac:dyDescent="0.4">
      <c r="A1466" s="482"/>
      <c r="B1466" s="5" t="s">
        <v>445</v>
      </c>
      <c r="C1466" s="488"/>
      <c r="D1466" s="17">
        <v>70.67</v>
      </c>
      <c r="E1466" s="17"/>
      <c r="F1466" s="17">
        <v>0.5</v>
      </c>
      <c r="G1466" s="4">
        <v>1</v>
      </c>
      <c r="H1466" s="24">
        <f>D1466*F1466*G1466</f>
        <v>35.335000000000001</v>
      </c>
    </row>
    <row r="1467" spans="1:8" x14ac:dyDescent="0.4">
      <c r="A1467" s="483"/>
      <c r="B1467" s="11"/>
      <c r="C1467" s="489"/>
      <c r="D1467" s="17"/>
      <c r="E1467" s="17"/>
      <c r="F1467" s="17"/>
      <c r="G1467" s="94" t="s">
        <v>15</v>
      </c>
      <c r="H1467" s="23">
        <f>SUM(H1462:H1466)</f>
        <v>161.24100000000001</v>
      </c>
    </row>
    <row r="1468" spans="1:8" x14ac:dyDescent="0.4">
      <c r="A1468" s="132"/>
      <c r="B1468" s="5"/>
      <c r="C1468" s="40"/>
      <c r="D1468" s="33"/>
      <c r="E1468" s="33"/>
      <c r="F1468" s="33"/>
      <c r="G1468" s="32"/>
      <c r="H1468" s="24"/>
    </row>
    <row r="1469" spans="1:8" ht="27.6" x14ac:dyDescent="0.4">
      <c r="A1469" s="132">
        <v>12</v>
      </c>
      <c r="B1469" s="31" t="s">
        <v>421</v>
      </c>
      <c r="C1469" s="28" t="s">
        <v>1</v>
      </c>
      <c r="D1469" s="124"/>
      <c r="E1469" s="124"/>
      <c r="F1469" s="124"/>
      <c r="G1469" s="125"/>
      <c r="H1469" s="143">
        <f>H1467-H1473</f>
        <v>158.10900000000001</v>
      </c>
    </row>
    <row r="1470" spans="1:8" x14ac:dyDescent="0.4">
      <c r="A1470" s="132"/>
      <c r="B1470" s="5"/>
      <c r="C1470" s="40"/>
      <c r="D1470" s="33"/>
      <c r="E1470" s="33"/>
      <c r="F1470" s="33"/>
      <c r="G1470" s="32"/>
      <c r="H1470" s="24"/>
    </row>
    <row r="1471" spans="1:8" ht="41.4" x14ac:dyDescent="0.4">
      <c r="A1471" s="497">
        <v>13</v>
      </c>
      <c r="B1471" s="31" t="s">
        <v>422</v>
      </c>
      <c r="C1471" s="493" t="s">
        <v>1</v>
      </c>
      <c r="D1471" s="33"/>
      <c r="E1471" s="33"/>
      <c r="F1471" s="33"/>
      <c r="G1471" s="32"/>
      <c r="H1471" s="24"/>
    </row>
    <row r="1472" spans="1:8" x14ac:dyDescent="0.4">
      <c r="A1472" s="497"/>
      <c r="B1472" s="36" t="s">
        <v>425</v>
      </c>
      <c r="C1472" s="493"/>
      <c r="D1472" s="33">
        <v>87.87</v>
      </c>
      <c r="E1472" s="188"/>
      <c r="F1472" s="33">
        <v>0.25</v>
      </c>
      <c r="G1472" s="32">
        <v>1</v>
      </c>
      <c r="H1472" s="24">
        <f>D1472*F1472*G1472</f>
        <v>21.967500000000001</v>
      </c>
    </row>
    <row r="1473" spans="1:8" ht="27.6" x14ac:dyDescent="0.4">
      <c r="A1473" s="497"/>
      <c r="B1473" s="5" t="s">
        <v>444</v>
      </c>
      <c r="C1473" s="493"/>
      <c r="D1473" s="17">
        <v>5.22</v>
      </c>
      <c r="E1473" s="33"/>
      <c r="F1473" s="33">
        <v>0.3</v>
      </c>
      <c r="G1473" s="32">
        <v>2</v>
      </c>
      <c r="H1473" s="24">
        <f>D1473*F1473*G1473</f>
        <v>3.1319999999999997</v>
      </c>
    </row>
    <row r="1474" spans="1:8" x14ac:dyDescent="0.4">
      <c r="A1474" s="497"/>
      <c r="B1474" s="5"/>
      <c r="C1474" s="493"/>
      <c r="D1474" s="33"/>
      <c r="E1474" s="33"/>
      <c r="F1474" s="33"/>
      <c r="G1474" s="94" t="s">
        <v>15</v>
      </c>
      <c r="H1474" s="23">
        <f>SUM(H1471:H1473)</f>
        <v>25.099499999999999</v>
      </c>
    </row>
    <row r="1475" spans="1:8" x14ac:dyDescent="0.4">
      <c r="A1475" s="132"/>
      <c r="B1475" s="5"/>
      <c r="C1475" s="28"/>
      <c r="D1475" s="33"/>
      <c r="E1475" s="33"/>
      <c r="F1475" s="33"/>
      <c r="G1475" s="94"/>
      <c r="H1475" s="23"/>
    </row>
    <row r="1476" spans="1:8" ht="25" customHeight="1" x14ac:dyDescent="0.4">
      <c r="A1476" s="132"/>
      <c r="B1476" s="105" t="s">
        <v>451</v>
      </c>
      <c r="C1476" s="28"/>
      <c r="D1476" s="33"/>
      <c r="E1476" s="33"/>
      <c r="F1476" s="33"/>
      <c r="G1476" s="94"/>
      <c r="H1476" s="23"/>
    </row>
    <row r="1477" spans="1:8" x14ac:dyDescent="0.4">
      <c r="A1477" s="132">
        <v>14</v>
      </c>
      <c r="B1477" s="19" t="s">
        <v>380</v>
      </c>
      <c r="C1477" s="6" t="s">
        <v>1</v>
      </c>
      <c r="D1477" s="33">
        <v>70.849999999999994</v>
      </c>
      <c r="E1477" s="8">
        <v>0.25</v>
      </c>
      <c r="F1477" s="17"/>
      <c r="G1477" s="4">
        <v>1</v>
      </c>
      <c r="H1477" s="23">
        <f>D1477*E1477*G1477</f>
        <v>17.712499999999999</v>
      </c>
    </row>
    <row r="1478" spans="1:8" x14ac:dyDescent="0.4">
      <c r="A1478" s="132"/>
      <c r="B1478" s="5"/>
      <c r="C1478" s="28"/>
      <c r="D1478" s="33"/>
      <c r="E1478" s="17"/>
      <c r="F1478" s="33"/>
      <c r="G1478" s="94"/>
      <c r="H1478" s="23"/>
    </row>
    <row r="1479" spans="1:8" ht="27.6" x14ac:dyDescent="0.4">
      <c r="A1479" s="132">
        <v>15</v>
      </c>
      <c r="B1479" s="19" t="s">
        <v>381</v>
      </c>
      <c r="C1479" s="7" t="s">
        <v>1</v>
      </c>
      <c r="D1479" s="33">
        <v>70.849999999999994</v>
      </c>
      <c r="E1479" s="17">
        <v>0.35</v>
      </c>
      <c r="F1479" s="17"/>
      <c r="G1479" s="4">
        <v>1</v>
      </c>
      <c r="H1479" s="23">
        <f>D1479*E1479*G1479</f>
        <v>24.797499999999996</v>
      </c>
    </row>
    <row r="1480" spans="1:8" x14ac:dyDescent="0.4">
      <c r="A1480" s="132"/>
      <c r="B1480" s="5"/>
      <c r="C1480" s="6"/>
      <c r="D1480" s="33"/>
      <c r="E1480" s="17"/>
      <c r="F1480" s="33"/>
      <c r="G1480" s="94"/>
      <c r="H1480" s="23"/>
    </row>
    <row r="1481" spans="1:8" ht="27.6" x14ac:dyDescent="0.4">
      <c r="A1481" s="132">
        <v>16</v>
      </c>
      <c r="B1481" s="19" t="s">
        <v>382</v>
      </c>
      <c r="C1481" s="7" t="s">
        <v>5</v>
      </c>
      <c r="D1481" s="33">
        <v>70.849999999999994</v>
      </c>
      <c r="E1481" s="8">
        <v>0.18</v>
      </c>
      <c r="F1481" s="17"/>
      <c r="G1481" s="4">
        <v>1</v>
      </c>
      <c r="H1481" s="23">
        <f>D1481*E1481*G1481</f>
        <v>12.752999999999998</v>
      </c>
    </row>
    <row r="1482" spans="1:8" x14ac:dyDescent="0.4">
      <c r="A1482" s="132"/>
      <c r="B1482" s="5"/>
      <c r="C1482" s="28"/>
      <c r="D1482" s="33"/>
      <c r="E1482" s="33"/>
      <c r="F1482" s="33"/>
      <c r="G1482" s="94"/>
      <c r="H1482" s="23"/>
    </row>
    <row r="1483" spans="1:8" s="157" customFormat="1" ht="28.5" customHeight="1" x14ac:dyDescent="0.4">
      <c r="A1483" s="34">
        <v>17</v>
      </c>
      <c r="B1483" s="11" t="s">
        <v>424</v>
      </c>
      <c r="C1483" s="6" t="s">
        <v>5</v>
      </c>
      <c r="D1483" s="17">
        <v>70.849999999999994</v>
      </c>
      <c r="E1483" s="17"/>
      <c r="F1483" s="17"/>
      <c r="G1483" s="4">
        <v>2</v>
      </c>
      <c r="H1483" s="23">
        <f>D1483*G1483</f>
        <v>141.69999999999999</v>
      </c>
    </row>
    <row r="1484" spans="1:8" x14ac:dyDescent="0.4">
      <c r="A1484" s="132"/>
      <c r="B1484" s="5"/>
      <c r="C1484" s="28"/>
      <c r="D1484" s="33"/>
      <c r="E1484" s="33"/>
      <c r="F1484" s="33"/>
      <c r="G1484" s="94"/>
      <c r="H1484" s="23"/>
    </row>
    <row r="1485" spans="1:8" ht="41.4" x14ac:dyDescent="0.4">
      <c r="A1485" s="132">
        <v>18</v>
      </c>
      <c r="B1485" s="31" t="s">
        <v>452</v>
      </c>
      <c r="C1485" s="6" t="s">
        <v>5</v>
      </c>
      <c r="D1485" s="172"/>
      <c r="E1485" s="17"/>
      <c r="F1485" s="17"/>
      <c r="G1485" s="4"/>
      <c r="H1485" s="23">
        <v>70.849999999999994</v>
      </c>
    </row>
    <row r="1486" spans="1:8" x14ac:dyDescent="0.4">
      <c r="A1486" s="132"/>
      <c r="B1486" s="5"/>
      <c r="C1486" s="6"/>
      <c r="D1486" s="17"/>
      <c r="E1486" s="17"/>
      <c r="F1486" s="17"/>
      <c r="G1486" s="94"/>
      <c r="H1486" s="23"/>
    </row>
    <row r="1487" spans="1:8" ht="41.4" x14ac:dyDescent="0.4">
      <c r="A1487" s="132">
        <v>19</v>
      </c>
      <c r="B1487" s="11" t="s">
        <v>481</v>
      </c>
      <c r="C1487" s="28" t="s">
        <v>5</v>
      </c>
      <c r="D1487" s="33"/>
      <c r="E1487" s="33"/>
      <c r="F1487" s="33"/>
      <c r="G1487" s="32"/>
      <c r="H1487" s="23">
        <v>5.22</v>
      </c>
    </row>
    <row r="1488" spans="1:8" x14ac:dyDescent="0.4">
      <c r="A1488" s="132"/>
      <c r="B1488" s="5"/>
      <c r="C1488" s="40"/>
      <c r="D1488" s="33"/>
      <c r="E1488" s="33"/>
      <c r="F1488" s="33"/>
      <c r="G1488" s="32"/>
      <c r="H1488" s="188"/>
    </row>
    <row r="1489" spans="1:8" ht="41.4" x14ac:dyDescent="0.4">
      <c r="A1489" s="132">
        <v>20</v>
      </c>
      <c r="B1489" s="11" t="s">
        <v>439</v>
      </c>
      <c r="C1489" s="28" t="s">
        <v>4</v>
      </c>
      <c r="D1489" s="33"/>
      <c r="E1489" s="33"/>
      <c r="F1489" s="33"/>
      <c r="G1489" s="9"/>
      <c r="H1489" s="45">
        <v>2</v>
      </c>
    </row>
    <row r="1490" spans="1:8" x14ac:dyDescent="0.4">
      <c r="A1490" s="132"/>
      <c r="B1490" s="11"/>
      <c r="C1490" s="28"/>
      <c r="D1490" s="33"/>
      <c r="E1490" s="33"/>
      <c r="F1490" s="33"/>
      <c r="G1490" s="9"/>
      <c r="H1490" s="10"/>
    </row>
    <row r="1491" spans="1:8" ht="41.4" x14ac:dyDescent="0.4">
      <c r="A1491" s="132">
        <v>21</v>
      </c>
      <c r="B1491" s="11" t="s">
        <v>440</v>
      </c>
      <c r="C1491" s="28" t="s">
        <v>4</v>
      </c>
      <c r="D1491" s="33"/>
      <c r="E1491" s="33"/>
      <c r="F1491" s="33"/>
      <c r="G1491" s="9"/>
      <c r="H1491" s="45">
        <v>2</v>
      </c>
    </row>
    <row r="1492" spans="1:8" x14ac:dyDescent="0.4">
      <c r="A1492" s="122"/>
      <c r="B1492" s="7"/>
      <c r="C1492" s="40"/>
      <c r="D1492" s="33"/>
      <c r="E1492" s="33"/>
      <c r="F1492" s="33"/>
      <c r="G1492" s="32"/>
      <c r="H1492" s="24"/>
    </row>
    <row r="1493" spans="1:8" ht="29.4" x14ac:dyDescent="0.4">
      <c r="A1493" s="132"/>
      <c r="B1493" s="106" t="s">
        <v>290</v>
      </c>
      <c r="C1493" s="7"/>
      <c r="D1493" s="8"/>
      <c r="E1493" s="8"/>
      <c r="F1493" s="8"/>
      <c r="G1493" s="9"/>
      <c r="H1493" s="13"/>
    </row>
    <row r="1494" spans="1:8" ht="14.7" x14ac:dyDescent="0.4">
      <c r="A1494" s="132"/>
      <c r="B1494" s="107"/>
      <c r="C1494" s="7"/>
      <c r="D1494" s="8"/>
      <c r="E1494" s="8"/>
      <c r="F1494" s="8"/>
      <c r="G1494" s="9"/>
      <c r="H1494" s="13"/>
    </row>
    <row r="1495" spans="1:8" x14ac:dyDescent="0.4">
      <c r="A1495" s="497">
        <v>1</v>
      </c>
      <c r="B1495" s="138" t="s">
        <v>195</v>
      </c>
      <c r="C1495" s="502" t="s">
        <v>2</v>
      </c>
      <c r="D1495" s="8">
        <v>6.49</v>
      </c>
      <c r="E1495" s="8">
        <v>3.95</v>
      </c>
      <c r="F1495" s="8">
        <v>0.15</v>
      </c>
      <c r="G1495" s="9">
        <v>1</v>
      </c>
      <c r="H1495" s="13">
        <f>D1495*F1495*G1495</f>
        <v>0.97350000000000003</v>
      </c>
    </row>
    <row r="1496" spans="1:8" x14ac:dyDescent="0.4">
      <c r="A1496" s="497"/>
      <c r="B1496" s="138"/>
      <c r="C1496" s="502"/>
      <c r="D1496" s="8">
        <v>6.49</v>
      </c>
      <c r="E1496" s="8">
        <v>0.15</v>
      </c>
      <c r="F1496" s="8">
        <v>2.1</v>
      </c>
      <c r="G1496" s="9">
        <v>2</v>
      </c>
      <c r="H1496" s="13">
        <f>F1496*E1496*D1496*G1496</f>
        <v>4.0887000000000002</v>
      </c>
    </row>
    <row r="1497" spans="1:8" x14ac:dyDescent="0.4">
      <c r="A1497" s="497"/>
      <c r="B1497" s="138"/>
      <c r="C1497" s="502"/>
      <c r="D1497" s="8">
        <v>3.95</v>
      </c>
      <c r="E1497" s="8">
        <v>0.15</v>
      </c>
      <c r="F1497" s="8">
        <v>2.1</v>
      </c>
      <c r="G1497" s="9">
        <v>2</v>
      </c>
      <c r="H1497" s="13">
        <f>F1497*E1497*D1497*G1497</f>
        <v>2.4885000000000002</v>
      </c>
    </row>
    <row r="1498" spans="1:8" x14ac:dyDescent="0.4">
      <c r="A1498" s="497"/>
      <c r="B1498" s="104"/>
      <c r="C1498" s="502"/>
      <c r="D1498" s="8"/>
      <c r="E1498" s="8"/>
      <c r="F1498" s="8"/>
      <c r="G1498" s="26" t="s">
        <v>15</v>
      </c>
      <c r="H1498" s="10">
        <f>SUM(H1495:H1497)</f>
        <v>7.5507000000000009</v>
      </c>
    </row>
    <row r="1499" spans="1:8" x14ac:dyDescent="0.4">
      <c r="A1499" s="132"/>
      <c r="B1499" s="104"/>
      <c r="C1499" s="7"/>
      <c r="D1499" s="8"/>
      <c r="E1499" s="8"/>
      <c r="F1499" s="8"/>
      <c r="G1499" s="9"/>
      <c r="H1499" s="10"/>
    </row>
    <row r="1500" spans="1:8" x14ac:dyDescent="0.4">
      <c r="A1500" s="132">
        <v>2</v>
      </c>
      <c r="B1500" s="19" t="s">
        <v>196</v>
      </c>
      <c r="C1500" s="7" t="s">
        <v>1</v>
      </c>
      <c r="D1500" s="8">
        <v>6.49</v>
      </c>
      <c r="E1500" s="8">
        <v>3.95</v>
      </c>
      <c r="F1500" s="8"/>
      <c r="G1500" s="9">
        <v>1</v>
      </c>
      <c r="H1500" s="10">
        <f>D1500*E1500*G1500</f>
        <v>25.6355</v>
      </c>
    </row>
    <row r="1501" spans="1:8" x14ac:dyDescent="0.4">
      <c r="A1501" s="132"/>
      <c r="B1501" s="14"/>
      <c r="C1501" s="7"/>
      <c r="D1501" s="8"/>
      <c r="E1501" s="8"/>
      <c r="F1501" s="8"/>
      <c r="G1501" s="9"/>
      <c r="H1501" s="13"/>
    </row>
    <row r="1502" spans="1:8" x14ac:dyDescent="0.4">
      <c r="A1502" s="481">
        <v>3</v>
      </c>
      <c r="B1502" s="19" t="s">
        <v>197</v>
      </c>
      <c r="C1502" s="502" t="s">
        <v>1</v>
      </c>
      <c r="D1502" s="8"/>
      <c r="E1502" s="8"/>
      <c r="F1502" s="8"/>
      <c r="G1502" s="9"/>
      <c r="H1502" s="13"/>
    </row>
    <row r="1503" spans="1:8" x14ac:dyDescent="0.4">
      <c r="A1503" s="482"/>
      <c r="B1503" s="14" t="s">
        <v>286</v>
      </c>
      <c r="C1503" s="502"/>
      <c r="D1503" s="8"/>
      <c r="E1503" s="8"/>
      <c r="F1503" s="8"/>
      <c r="G1503" s="9"/>
      <c r="H1503" s="13">
        <v>8.35</v>
      </c>
    </row>
    <row r="1504" spans="1:8" x14ac:dyDescent="0.4">
      <c r="A1504" s="482"/>
      <c r="B1504" s="14" t="s">
        <v>200</v>
      </c>
      <c r="C1504" s="502"/>
      <c r="D1504" s="8"/>
      <c r="E1504" s="8"/>
      <c r="F1504" s="8"/>
      <c r="G1504" s="9"/>
      <c r="H1504" s="13">
        <v>8.42</v>
      </c>
    </row>
    <row r="1505" spans="1:8" x14ac:dyDescent="0.4">
      <c r="A1505" s="483"/>
      <c r="B1505" s="14"/>
      <c r="C1505" s="502"/>
      <c r="D1505" s="8"/>
      <c r="E1505" s="8"/>
      <c r="F1505" s="8"/>
      <c r="G1505" s="26" t="s">
        <v>15</v>
      </c>
      <c r="H1505" s="10">
        <f>SUM(H1502:H1504)</f>
        <v>16.77</v>
      </c>
    </row>
    <row r="1506" spans="1:8" x14ac:dyDescent="0.4">
      <c r="A1506" s="132"/>
      <c r="B1506" s="14"/>
      <c r="C1506" s="7"/>
      <c r="D1506" s="8"/>
      <c r="E1506" s="8"/>
      <c r="F1506" s="8"/>
      <c r="G1506" s="9"/>
      <c r="H1506" s="13"/>
    </row>
    <row r="1507" spans="1:8" ht="27.6" x14ac:dyDescent="0.4">
      <c r="A1507" s="497">
        <v>4</v>
      </c>
      <c r="B1507" s="19" t="s">
        <v>356</v>
      </c>
      <c r="C1507" s="502" t="s">
        <v>1</v>
      </c>
      <c r="D1507" s="124"/>
      <c r="E1507" s="124"/>
      <c r="F1507" s="124"/>
      <c r="G1507" s="125"/>
      <c r="H1507" s="62"/>
    </row>
    <row r="1508" spans="1:8" x14ac:dyDescent="0.4">
      <c r="A1508" s="497"/>
      <c r="B1508" s="14" t="s">
        <v>261</v>
      </c>
      <c r="C1508" s="502"/>
      <c r="D1508" s="124"/>
      <c r="E1508" s="124"/>
      <c r="F1508" s="124"/>
      <c r="G1508" s="125"/>
      <c r="H1508" s="13">
        <v>8.42</v>
      </c>
    </row>
    <row r="1509" spans="1:8" x14ac:dyDescent="0.4">
      <c r="A1509" s="497"/>
      <c r="B1509" s="14" t="s">
        <v>262</v>
      </c>
      <c r="C1509" s="502"/>
      <c r="D1509" s="8">
        <v>5.62</v>
      </c>
      <c r="E1509" s="130"/>
      <c r="F1509" s="8">
        <v>1.9</v>
      </c>
      <c r="G1509" s="28">
        <v>2</v>
      </c>
      <c r="H1509" s="13">
        <f>D1509*F1509*G1509</f>
        <v>21.355999999999998</v>
      </c>
    </row>
    <row r="1510" spans="1:8" x14ac:dyDescent="0.4">
      <c r="A1510" s="497"/>
      <c r="B1510" s="14"/>
      <c r="C1510" s="502"/>
      <c r="D1510" s="8">
        <v>1.5</v>
      </c>
      <c r="E1510" s="8"/>
      <c r="F1510" s="8">
        <v>1.9</v>
      </c>
      <c r="G1510" s="28">
        <v>2</v>
      </c>
      <c r="H1510" s="13">
        <f>D1510*F1510*G1510</f>
        <v>5.6999999999999993</v>
      </c>
    </row>
    <row r="1511" spans="1:8" x14ac:dyDescent="0.4">
      <c r="A1511" s="497"/>
      <c r="B1511" s="14"/>
      <c r="C1511" s="502"/>
      <c r="D1511" s="8"/>
      <c r="E1511" s="8"/>
      <c r="F1511" s="8"/>
      <c r="G1511" s="26" t="s">
        <v>15</v>
      </c>
      <c r="H1511" s="10">
        <f>SUM(H1507:H1510)</f>
        <v>35.475999999999999</v>
      </c>
    </row>
    <row r="1512" spans="1:8" x14ac:dyDescent="0.4">
      <c r="A1512" s="132"/>
      <c r="B1512" s="14"/>
      <c r="C1512" s="7"/>
      <c r="D1512" s="8"/>
      <c r="E1512" s="8"/>
      <c r="F1512" s="8"/>
      <c r="G1512" s="26"/>
      <c r="H1512" s="10"/>
    </row>
    <row r="1513" spans="1:8" ht="27.6" x14ac:dyDescent="0.4">
      <c r="A1513" s="132">
        <v>5</v>
      </c>
      <c r="B1513" s="31" t="s">
        <v>366</v>
      </c>
      <c r="C1513" s="7" t="s">
        <v>1</v>
      </c>
      <c r="D1513" s="8"/>
      <c r="E1513" s="8"/>
      <c r="F1513" s="8"/>
      <c r="G1513" s="26"/>
      <c r="H1513" s="10">
        <f>H1511</f>
        <v>35.475999999999999</v>
      </c>
    </row>
    <row r="1514" spans="1:8" x14ac:dyDescent="0.4">
      <c r="A1514" s="132"/>
      <c r="B1514" s="14"/>
      <c r="C1514" s="7"/>
      <c r="D1514" s="8"/>
      <c r="E1514" s="8"/>
      <c r="F1514" s="8"/>
      <c r="G1514" s="26"/>
      <c r="H1514" s="10"/>
    </row>
    <row r="1515" spans="1:8" ht="27.6" x14ac:dyDescent="0.4">
      <c r="A1515" s="132">
        <v>6</v>
      </c>
      <c r="B1515" s="31" t="s">
        <v>362</v>
      </c>
      <c r="C1515" s="7" t="s">
        <v>1</v>
      </c>
      <c r="D1515" s="8"/>
      <c r="E1515" s="8"/>
      <c r="F1515" s="8"/>
      <c r="G1515" s="26"/>
      <c r="H1515" s="10">
        <f>H1511</f>
        <v>35.475999999999999</v>
      </c>
    </row>
    <row r="1516" spans="1:8" x14ac:dyDescent="0.4">
      <c r="A1516" s="132"/>
      <c r="B1516" s="14"/>
      <c r="C1516" s="7"/>
      <c r="D1516" s="8"/>
      <c r="E1516" s="8"/>
      <c r="F1516" s="8"/>
      <c r="G1516" s="26"/>
      <c r="H1516" s="10"/>
    </row>
    <row r="1517" spans="1:8" ht="55.2" x14ac:dyDescent="0.4">
      <c r="A1517" s="132">
        <v>7</v>
      </c>
      <c r="B1517" s="31" t="s">
        <v>363</v>
      </c>
      <c r="C1517" s="7" t="s">
        <v>1</v>
      </c>
      <c r="D1517" s="8"/>
      <c r="E1517" s="8"/>
      <c r="F1517" s="8"/>
      <c r="G1517" s="26"/>
      <c r="H1517" s="10">
        <f>H1511</f>
        <v>35.475999999999999</v>
      </c>
    </row>
    <row r="1518" spans="1:8" x14ac:dyDescent="0.4">
      <c r="A1518" s="132"/>
      <c r="B1518" s="14"/>
      <c r="C1518" s="7"/>
      <c r="D1518" s="8"/>
      <c r="E1518" s="8"/>
      <c r="F1518" s="8"/>
      <c r="G1518" s="26"/>
      <c r="H1518" s="10"/>
    </row>
    <row r="1519" spans="1:8" ht="41.4" x14ac:dyDescent="0.4">
      <c r="A1519" s="132">
        <v>8</v>
      </c>
      <c r="B1519" s="31" t="s">
        <v>364</v>
      </c>
      <c r="C1519" s="7" t="s">
        <v>1</v>
      </c>
      <c r="D1519" s="8"/>
      <c r="E1519" s="8"/>
      <c r="F1519" s="8"/>
      <c r="G1519" s="26"/>
      <c r="H1519" s="10">
        <f>H1511</f>
        <v>35.475999999999999</v>
      </c>
    </row>
    <row r="1520" spans="1:8" x14ac:dyDescent="0.4">
      <c r="A1520" s="132"/>
      <c r="B1520" s="14"/>
      <c r="C1520" s="7"/>
      <c r="D1520" s="8"/>
      <c r="E1520" s="8"/>
      <c r="F1520" s="8"/>
      <c r="G1520" s="26"/>
      <c r="H1520" s="10"/>
    </row>
    <row r="1521" spans="1:8" ht="55.2" x14ac:dyDescent="0.4">
      <c r="A1521" s="497">
        <v>9</v>
      </c>
      <c r="B1521" s="31" t="s">
        <v>365</v>
      </c>
      <c r="C1521" s="502" t="s">
        <v>5</v>
      </c>
      <c r="D1521" s="8">
        <v>5.62</v>
      </c>
      <c r="E1521" s="130"/>
      <c r="F1521" s="8"/>
      <c r="G1521" s="28">
        <v>2</v>
      </c>
      <c r="H1521" s="13">
        <f>D1521*G1521</f>
        <v>11.24</v>
      </c>
    </row>
    <row r="1522" spans="1:8" x14ac:dyDescent="0.4">
      <c r="A1522" s="497"/>
      <c r="B1522" s="14"/>
      <c r="C1522" s="502"/>
      <c r="D1522" s="8">
        <v>1.5</v>
      </c>
      <c r="E1522" s="8"/>
      <c r="F1522" s="8"/>
      <c r="G1522" s="28">
        <v>2</v>
      </c>
      <c r="H1522" s="13">
        <f>D1522*G1522</f>
        <v>3</v>
      </c>
    </row>
    <row r="1523" spans="1:8" x14ac:dyDescent="0.4">
      <c r="A1523" s="497"/>
      <c r="B1523" s="14"/>
      <c r="C1523" s="502"/>
      <c r="D1523" s="8"/>
      <c r="E1523" s="8"/>
      <c r="F1523" s="8"/>
      <c r="G1523" s="26" t="s">
        <v>15</v>
      </c>
      <c r="H1523" s="10">
        <f>SUM(H1521:H1522)</f>
        <v>14.24</v>
      </c>
    </row>
    <row r="1524" spans="1:8" x14ac:dyDescent="0.4">
      <c r="A1524" s="132"/>
      <c r="B1524" s="14"/>
      <c r="C1524" s="7"/>
      <c r="D1524" s="8"/>
      <c r="E1524" s="8"/>
      <c r="F1524" s="8"/>
      <c r="G1524" s="26"/>
      <c r="H1524" s="10"/>
    </row>
    <row r="1525" spans="1:8" ht="27.6" x14ac:dyDescent="0.4">
      <c r="A1525" s="132">
        <v>10</v>
      </c>
      <c r="B1525" s="19" t="s">
        <v>367</v>
      </c>
      <c r="C1525" s="7" t="s">
        <v>1</v>
      </c>
      <c r="D1525" s="8"/>
      <c r="E1525" s="8"/>
      <c r="F1525" s="8"/>
      <c r="G1525" s="9"/>
      <c r="H1525" s="10">
        <f>H1511</f>
        <v>35.475999999999999</v>
      </c>
    </row>
    <row r="1526" spans="1:8" x14ac:dyDescent="0.4">
      <c r="A1526" s="132"/>
      <c r="B1526" s="14"/>
      <c r="C1526" s="7"/>
      <c r="D1526" s="8"/>
      <c r="E1526" s="8"/>
      <c r="F1526" s="8"/>
      <c r="G1526" s="9"/>
      <c r="H1526" s="13"/>
    </row>
    <row r="1527" spans="1:8" ht="27.6" x14ac:dyDescent="0.4">
      <c r="A1527" s="132">
        <v>11</v>
      </c>
      <c r="B1527" s="19" t="s">
        <v>361</v>
      </c>
      <c r="C1527" s="7" t="s">
        <v>1</v>
      </c>
      <c r="D1527" s="8"/>
      <c r="E1527" s="8"/>
      <c r="F1527" s="8"/>
      <c r="G1527" s="9"/>
      <c r="H1527" s="10">
        <v>8.35</v>
      </c>
    </row>
    <row r="1528" spans="1:8" x14ac:dyDescent="0.4">
      <c r="A1528" s="132"/>
      <c r="B1528" s="14"/>
      <c r="C1528" s="7"/>
      <c r="D1528" s="8"/>
      <c r="E1528" s="8"/>
      <c r="F1528" s="8"/>
      <c r="G1528" s="9"/>
      <c r="H1528" s="13"/>
    </row>
    <row r="1529" spans="1:8" ht="27.6" x14ac:dyDescent="0.4">
      <c r="A1529" s="132">
        <v>12</v>
      </c>
      <c r="B1529" s="19" t="s">
        <v>291</v>
      </c>
      <c r="C1529" s="7" t="s">
        <v>4</v>
      </c>
      <c r="D1529" s="8"/>
      <c r="E1529" s="8"/>
      <c r="F1529" s="8"/>
      <c r="G1529" s="9"/>
      <c r="H1529" s="45">
        <v>1</v>
      </c>
    </row>
    <row r="1530" spans="1:8" x14ac:dyDescent="0.4">
      <c r="A1530" s="132"/>
      <c r="B1530" s="19"/>
      <c r="C1530" s="7"/>
      <c r="D1530" s="8"/>
      <c r="E1530" s="8"/>
      <c r="F1530" s="8"/>
      <c r="G1530" s="9"/>
      <c r="H1530" s="45"/>
    </row>
    <row r="1531" spans="1:8" ht="27.6" x14ac:dyDescent="0.4">
      <c r="A1531" s="132">
        <v>13</v>
      </c>
      <c r="B1531" s="19" t="s">
        <v>285</v>
      </c>
      <c r="C1531" s="7" t="s">
        <v>4</v>
      </c>
      <c r="D1531" s="8"/>
      <c r="E1531" s="8"/>
      <c r="F1531" s="8"/>
      <c r="G1531" s="9"/>
      <c r="H1531" s="45">
        <v>1</v>
      </c>
    </row>
    <row r="1532" spans="1:8" x14ac:dyDescent="0.4">
      <c r="A1532" s="132"/>
      <c r="B1532" s="19"/>
      <c r="C1532" s="7"/>
      <c r="D1532" s="8"/>
      <c r="E1532" s="8"/>
      <c r="F1532" s="8"/>
      <c r="G1532" s="9"/>
      <c r="H1532" s="45"/>
    </row>
    <row r="1533" spans="1:8" ht="15" customHeight="1" x14ac:dyDescent="0.4">
      <c r="A1533" s="132">
        <v>14</v>
      </c>
      <c r="B1533" s="19" t="s">
        <v>368</v>
      </c>
      <c r="C1533" s="7" t="s">
        <v>4</v>
      </c>
      <c r="D1533" s="8"/>
      <c r="E1533" s="8"/>
      <c r="F1533" s="8"/>
      <c r="G1533" s="9"/>
      <c r="H1533" s="45">
        <v>2</v>
      </c>
    </row>
    <row r="1534" spans="1:8" x14ac:dyDescent="0.4">
      <c r="A1534" s="132"/>
      <c r="B1534" s="19"/>
      <c r="C1534" s="7"/>
      <c r="D1534" s="8"/>
      <c r="E1534" s="8"/>
      <c r="F1534" s="8"/>
      <c r="G1534" s="9"/>
      <c r="H1534" s="45"/>
    </row>
    <row r="1535" spans="1:8" ht="41.4" x14ac:dyDescent="0.4">
      <c r="A1535" s="132">
        <v>15</v>
      </c>
      <c r="B1535" s="11" t="s">
        <v>345</v>
      </c>
      <c r="C1535" s="28" t="s">
        <v>4</v>
      </c>
      <c r="D1535" s="33"/>
      <c r="E1535" s="33"/>
      <c r="F1535" s="33"/>
      <c r="G1535" s="9"/>
      <c r="H1535" s="45">
        <v>2</v>
      </c>
    </row>
    <row r="1536" spans="1:8" x14ac:dyDescent="0.4">
      <c r="A1536" s="132"/>
      <c r="B1536" s="121"/>
      <c r="C1536" s="123"/>
      <c r="D1536" s="124"/>
      <c r="E1536" s="124"/>
      <c r="F1536" s="124"/>
      <c r="G1536" s="125"/>
      <c r="H1536" s="62"/>
    </row>
    <row r="1537" spans="1:8" x14ac:dyDescent="0.4">
      <c r="A1537" s="132"/>
      <c r="B1537" s="11"/>
      <c r="C1537" s="28"/>
      <c r="D1537" s="33"/>
      <c r="E1537" s="33"/>
      <c r="F1537" s="33"/>
      <c r="G1537" s="9"/>
      <c r="H1537" s="10"/>
    </row>
    <row r="1538" spans="1:8" ht="25" customHeight="1" x14ac:dyDescent="0.4">
      <c r="A1538" s="122"/>
      <c r="B1538" s="139" t="s">
        <v>292</v>
      </c>
      <c r="C1538" s="7"/>
      <c r="D1538" s="8"/>
      <c r="E1538" s="8"/>
      <c r="F1538" s="8"/>
      <c r="G1538" s="9"/>
      <c r="H1538" s="10"/>
    </row>
    <row r="1539" spans="1:8" x14ac:dyDescent="0.4">
      <c r="A1539" s="481">
        <v>1</v>
      </c>
      <c r="B1539" s="138" t="s">
        <v>195</v>
      </c>
      <c r="C1539" s="484" t="s">
        <v>2</v>
      </c>
      <c r="D1539" s="8">
        <v>2.5</v>
      </c>
      <c r="E1539" s="8">
        <v>4.5</v>
      </c>
      <c r="F1539" s="8">
        <v>0.15</v>
      </c>
      <c r="G1539" s="9">
        <v>1</v>
      </c>
      <c r="H1539" s="13">
        <f>D1539*E1539*F1539*G1539</f>
        <v>1.6875</v>
      </c>
    </row>
    <row r="1540" spans="1:8" x14ac:dyDescent="0.4">
      <c r="A1540" s="482"/>
      <c r="B1540" s="104"/>
      <c r="C1540" s="485"/>
      <c r="D1540" s="8">
        <v>2.5</v>
      </c>
      <c r="E1540" s="8">
        <v>0.15</v>
      </c>
      <c r="F1540" s="8">
        <v>2</v>
      </c>
      <c r="G1540" s="9">
        <v>2</v>
      </c>
      <c r="H1540" s="13">
        <f>D1540*E1540*F1540*G1540</f>
        <v>1.5</v>
      </c>
    </row>
    <row r="1541" spans="1:8" x14ac:dyDescent="0.4">
      <c r="A1541" s="482"/>
      <c r="B1541" s="104"/>
      <c r="C1541" s="485"/>
      <c r="D1541" s="8">
        <v>4.5</v>
      </c>
      <c r="E1541" s="8">
        <v>0.15</v>
      </c>
      <c r="F1541" s="8">
        <v>2</v>
      </c>
      <c r="G1541" s="9">
        <v>2</v>
      </c>
      <c r="H1541" s="13">
        <f>D1541*E1541*F1541*G1541</f>
        <v>2.6999999999999997</v>
      </c>
    </row>
    <row r="1542" spans="1:8" x14ac:dyDescent="0.4">
      <c r="A1542" s="483"/>
      <c r="B1542" s="104"/>
      <c r="C1542" s="486"/>
      <c r="D1542" s="8"/>
      <c r="E1542" s="8"/>
      <c r="F1542" s="8"/>
      <c r="G1542" s="26" t="s">
        <v>80</v>
      </c>
      <c r="H1542" s="10">
        <f>SUM(H1539:H1541)</f>
        <v>5.8874999999999993</v>
      </c>
    </row>
    <row r="1543" spans="1:8" x14ac:dyDescent="0.4">
      <c r="A1543" s="132"/>
      <c r="B1543" s="104"/>
      <c r="C1543" s="7"/>
      <c r="D1543" s="8"/>
      <c r="E1543" s="8"/>
      <c r="F1543" s="8"/>
      <c r="G1543" s="9"/>
      <c r="H1543" s="10"/>
    </row>
    <row r="1544" spans="1:8" x14ac:dyDescent="0.4">
      <c r="A1544" s="132">
        <v>2</v>
      </c>
      <c r="B1544" s="19" t="s">
        <v>196</v>
      </c>
      <c r="C1544" s="7" t="s">
        <v>1</v>
      </c>
      <c r="D1544" s="8">
        <v>2.5</v>
      </c>
      <c r="E1544" s="8">
        <v>4.5</v>
      </c>
      <c r="F1544" s="8"/>
      <c r="G1544" s="9">
        <v>1</v>
      </c>
      <c r="H1544" s="10">
        <f>D1544*E1544*G1544</f>
        <v>11.25</v>
      </c>
    </row>
    <row r="1545" spans="1:8" x14ac:dyDescent="0.4">
      <c r="A1545" s="132"/>
      <c r="B1545" s="14"/>
      <c r="C1545" s="7"/>
      <c r="D1545" s="8"/>
      <c r="E1545" s="8"/>
      <c r="F1545" s="8"/>
      <c r="G1545" s="9"/>
      <c r="H1545" s="13"/>
    </row>
    <row r="1546" spans="1:8" x14ac:dyDescent="0.4">
      <c r="A1546" s="132">
        <v>3</v>
      </c>
      <c r="B1546" s="19" t="s">
        <v>197</v>
      </c>
      <c r="C1546" s="7" t="s">
        <v>1</v>
      </c>
      <c r="D1546" s="8">
        <v>2</v>
      </c>
      <c r="E1546" s="8">
        <v>4</v>
      </c>
      <c r="F1546" s="8"/>
      <c r="G1546" s="9">
        <v>1</v>
      </c>
      <c r="H1546" s="10">
        <f>D1546*E1546*G1546</f>
        <v>8</v>
      </c>
    </row>
    <row r="1547" spans="1:8" x14ac:dyDescent="0.4">
      <c r="A1547" s="132"/>
      <c r="B1547" s="14"/>
      <c r="C1547" s="7"/>
      <c r="D1547" s="8"/>
      <c r="E1547" s="8"/>
      <c r="F1547" s="8"/>
      <c r="G1547" s="9"/>
      <c r="H1547" s="13"/>
    </row>
    <row r="1548" spans="1:8" ht="27.6" x14ac:dyDescent="0.4">
      <c r="A1548" s="132">
        <v>4</v>
      </c>
      <c r="B1548" s="19" t="s">
        <v>453</v>
      </c>
      <c r="C1548" s="7" t="s">
        <v>1</v>
      </c>
      <c r="D1548" s="8"/>
      <c r="E1548" s="8"/>
      <c r="F1548" s="8"/>
      <c r="G1548" s="9"/>
      <c r="H1548" s="10">
        <f>H1546</f>
        <v>8</v>
      </c>
    </row>
    <row r="1549" spans="1:8" x14ac:dyDescent="0.4">
      <c r="A1549" s="132"/>
      <c r="B1549" s="14"/>
      <c r="C1549" s="7"/>
      <c r="D1549" s="8"/>
      <c r="E1549" s="8"/>
      <c r="F1549" s="8"/>
      <c r="G1549" s="9"/>
      <c r="H1549" s="13"/>
    </row>
    <row r="1550" spans="1:8" ht="27.6" x14ac:dyDescent="0.4">
      <c r="A1550" s="132">
        <v>5</v>
      </c>
      <c r="B1550" s="19" t="s">
        <v>198</v>
      </c>
      <c r="C1550" s="7" t="s">
        <v>4</v>
      </c>
      <c r="D1550" s="8"/>
      <c r="E1550" s="8"/>
      <c r="F1550" s="8"/>
      <c r="G1550" s="9"/>
      <c r="H1550" s="45">
        <v>1</v>
      </c>
    </row>
    <row r="1551" spans="1:8" x14ac:dyDescent="0.4">
      <c r="A1551" s="132"/>
      <c r="B1551" s="19"/>
      <c r="C1551" s="7"/>
      <c r="D1551" s="8"/>
      <c r="E1551" s="8"/>
      <c r="F1551" s="8"/>
      <c r="G1551" s="9"/>
      <c r="H1551" s="45"/>
    </row>
    <row r="1552" spans="1:8" ht="14.25" customHeight="1" x14ac:dyDescent="0.4">
      <c r="A1552" s="132">
        <v>6</v>
      </c>
      <c r="B1552" s="19" t="s">
        <v>368</v>
      </c>
      <c r="C1552" s="7" t="s">
        <v>4</v>
      </c>
      <c r="D1552" s="8"/>
      <c r="E1552" s="8"/>
      <c r="F1552" s="8"/>
      <c r="G1552" s="9"/>
      <c r="H1552" s="45">
        <v>1</v>
      </c>
    </row>
    <row r="1553" spans="1:8" x14ac:dyDescent="0.4">
      <c r="A1553" s="132"/>
      <c r="B1553" s="121"/>
      <c r="C1553" s="123"/>
      <c r="D1553" s="124"/>
      <c r="E1553" s="124"/>
      <c r="F1553" s="124"/>
      <c r="G1553" s="125"/>
      <c r="H1553" s="62"/>
    </row>
    <row r="1554" spans="1:8" x14ac:dyDescent="0.4">
      <c r="A1554" s="132"/>
      <c r="B1554" s="121"/>
      <c r="C1554" s="123"/>
      <c r="D1554" s="124"/>
      <c r="E1554" s="124"/>
      <c r="F1554" s="124"/>
      <c r="G1554" s="125"/>
      <c r="H1554" s="62"/>
    </row>
    <row r="1555" spans="1:8" ht="27.6" x14ac:dyDescent="0.4">
      <c r="A1555" s="132"/>
      <c r="B1555" s="135" t="s">
        <v>455</v>
      </c>
      <c r="C1555" s="137"/>
      <c r="D1555" s="33"/>
      <c r="E1555" s="33"/>
      <c r="F1555" s="33"/>
      <c r="G1555" s="32"/>
      <c r="H1555" s="24"/>
    </row>
    <row r="1556" spans="1:8" x14ac:dyDescent="0.4">
      <c r="A1556" s="132"/>
      <c r="B1556" s="18"/>
      <c r="C1556" s="137"/>
      <c r="D1556" s="33"/>
      <c r="E1556" s="33"/>
      <c r="F1556" s="33"/>
      <c r="G1556" s="32"/>
      <c r="H1556" s="24"/>
    </row>
    <row r="1557" spans="1:8" ht="27.6" x14ac:dyDescent="0.4">
      <c r="A1557" s="132">
        <v>1</v>
      </c>
      <c r="B1557" s="11" t="s">
        <v>279</v>
      </c>
      <c r="C1557" s="28" t="s">
        <v>1</v>
      </c>
      <c r="D1557" s="33"/>
      <c r="E1557" s="33"/>
      <c r="F1557" s="33"/>
      <c r="G1557" s="32"/>
      <c r="H1557" s="23">
        <v>56</v>
      </c>
    </row>
    <row r="1558" spans="1:8" x14ac:dyDescent="0.4">
      <c r="A1558" s="132"/>
      <c r="B1558" s="11"/>
      <c r="C1558" s="28"/>
      <c r="D1558" s="33"/>
      <c r="E1558" s="33"/>
      <c r="F1558" s="33"/>
      <c r="G1558" s="32"/>
      <c r="H1558" s="23"/>
    </row>
    <row r="1559" spans="1:8" x14ac:dyDescent="0.4">
      <c r="A1559" s="132">
        <v>2</v>
      </c>
      <c r="B1559" s="11" t="s">
        <v>280</v>
      </c>
      <c r="C1559" s="28" t="s">
        <v>2</v>
      </c>
      <c r="D1559" s="33">
        <v>56</v>
      </c>
      <c r="E1559" s="33"/>
      <c r="F1559" s="33">
        <v>0.3</v>
      </c>
      <c r="G1559" s="32"/>
      <c r="H1559" s="23">
        <f>D1559*F1559</f>
        <v>16.8</v>
      </c>
    </row>
    <row r="1560" spans="1:8" x14ac:dyDescent="0.4">
      <c r="A1560" s="132"/>
      <c r="B1560" s="11"/>
      <c r="C1560" s="28"/>
      <c r="D1560" s="33"/>
      <c r="E1560" s="33"/>
      <c r="F1560" s="33"/>
      <c r="G1560" s="32"/>
      <c r="H1560" s="23"/>
    </row>
    <row r="1561" spans="1:8" x14ac:dyDescent="0.4">
      <c r="A1561" s="132">
        <v>3</v>
      </c>
      <c r="B1561" s="11" t="s">
        <v>283</v>
      </c>
      <c r="C1561" s="28" t="s">
        <v>2</v>
      </c>
      <c r="D1561" s="33">
        <v>56</v>
      </c>
      <c r="E1561" s="33"/>
      <c r="F1561" s="33">
        <v>0.1</v>
      </c>
      <c r="G1561" s="32"/>
      <c r="H1561" s="23">
        <f>D1561*F1561</f>
        <v>5.6000000000000005</v>
      </c>
    </row>
    <row r="1562" spans="1:8" x14ac:dyDescent="0.4">
      <c r="A1562" s="132"/>
      <c r="B1562" s="11"/>
      <c r="C1562" s="28"/>
      <c r="D1562" s="33"/>
      <c r="E1562" s="33"/>
      <c r="F1562" s="33"/>
      <c r="G1562" s="32"/>
      <c r="H1562" s="23"/>
    </row>
    <row r="1563" spans="1:8" x14ac:dyDescent="0.4">
      <c r="A1563" s="132">
        <v>4</v>
      </c>
      <c r="B1563" s="11" t="s">
        <v>193</v>
      </c>
      <c r="C1563" s="28" t="s">
        <v>1</v>
      </c>
      <c r="D1563" s="33"/>
      <c r="E1563" s="33"/>
      <c r="F1563" s="33"/>
      <c r="G1563" s="32"/>
      <c r="H1563" s="23">
        <v>56</v>
      </c>
    </row>
    <row r="1564" spans="1:8" x14ac:dyDescent="0.4">
      <c r="A1564" s="132"/>
      <c r="B1564" s="11"/>
      <c r="C1564" s="28"/>
      <c r="D1564" s="33"/>
      <c r="E1564" s="33"/>
      <c r="F1564" s="33"/>
      <c r="G1564" s="32"/>
      <c r="H1564" s="23"/>
    </row>
    <row r="1565" spans="1:8" x14ac:dyDescent="0.4">
      <c r="A1565" s="132">
        <v>5</v>
      </c>
      <c r="B1565" s="11" t="s">
        <v>281</v>
      </c>
      <c r="C1565" s="28" t="s">
        <v>1</v>
      </c>
      <c r="D1565" s="33"/>
      <c r="E1565" s="33"/>
      <c r="F1565" s="33"/>
      <c r="G1565" s="32"/>
      <c r="H1565" s="23">
        <v>56</v>
      </c>
    </row>
    <row r="1566" spans="1:8" x14ac:dyDescent="0.4">
      <c r="A1566" s="132"/>
      <c r="B1566" s="11"/>
      <c r="C1566" s="28"/>
      <c r="D1566" s="33"/>
      <c r="E1566" s="33"/>
      <c r="F1566" s="33"/>
      <c r="G1566" s="32"/>
      <c r="H1566" s="23"/>
    </row>
    <row r="1567" spans="1:8" ht="27.6" x14ac:dyDescent="0.4">
      <c r="A1567" s="132">
        <v>6</v>
      </c>
      <c r="B1567" s="11" t="s">
        <v>282</v>
      </c>
      <c r="C1567" s="28" t="s">
        <v>1</v>
      </c>
      <c r="D1567" s="33"/>
      <c r="E1567" s="33"/>
      <c r="F1567" s="33"/>
      <c r="G1567" s="32"/>
      <c r="H1567" s="23">
        <v>56</v>
      </c>
    </row>
    <row r="1568" spans="1:8" x14ac:dyDescent="0.4">
      <c r="A1568" s="132"/>
      <c r="B1568" s="11"/>
      <c r="C1568" s="28"/>
      <c r="D1568" s="33"/>
      <c r="E1568" s="33"/>
      <c r="F1568" s="33"/>
      <c r="G1568" s="32"/>
      <c r="H1568" s="24"/>
    </row>
    <row r="1569" spans="1:8" ht="49.5" customHeight="1" x14ac:dyDescent="0.4">
      <c r="A1569" s="497">
        <v>7</v>
      </c>
      <c r="B1569" s="11" t="s">
        <v>284</v>
      </c>
      <c r="C1569" s="493" t="s">
        <v>5</v>
      </c>
      <c r="D1569" s="33"/>
      <c r="E1569" s="33"/>
      <c r="F1569" s="33"/>
      <c r="G1569" s="32"/>
      <c r="H1569" s="24">
        <v>12.9</v>
      </c>
    </row>
    <row r="1570" spans="1:8" x14ac:dyDescent="0.4">
      <c r="A1570" s="497"/>
      <c r="B1570" s="7"/>
      <c r="C1570" s="493"/>
      <c r="D1570" s="33"/>
      <c r="E1570" s="33"/>
      <c r="F1570" s="33"/>
      <c r="G1570" s="32"/>
      <c r="H1570" s="24">
        <v>12.9</v>
      </c>
    </row>
    <row r="1571" spans="1:8" x14ac:dyDescent="0.4">
      <c r="A1571" s="497"/>
      <c r="B1571" s="7"/>
      <c r="C1571" s="493"/>
      <c r="D1571" s="33"/>
      <c r="E1571" s="33"/>
      <c r="F1571" s="33"/>
      <c r="G1571" s="32"/>
      <c r="H1571" s="24">
        <v>2.4</v>
      </c>
    </row>
    <row r="1572" spans="1:8" x14ac:dyDescent="0.4">
      <c r="A1572" s="497"/>
      <c r="B1572" s="7"/>
      <c r="C1572" s="493"/>
      <c r="D1572" s="33"/>
      <c r="E1572" s="33"/>
      <c r="F1572" s="33"/>
      <c r="G1572" s="32"/>
      <c r="H1572" s="24">
        <v>13.7</v>
      </c>
    </row>
    <row r="1573" spans="1:8" x14ac:dyDescent="0.4">
      <c r="A1573" s="497"/>
      <c r="B1573" s="7"/>
      <c r="C1573" s="493"/>
      <c r="D1573" s="33"/>
      <c r="E1573" s="33"/>
      <c r="F1573" s="33"/>
      <c r="G1573" s="32"/>
      <c r="H1573" s="24">
        <v>15.1</v>
      </c>
    </row>
    <row r="1574" spans="1:8" x14ac:dyDescent="0.4">
      <c r="A1574" s="497"/>
      <c r="B1574" s="7"/>
      <c r="C1574" s="493"/>
      <c r="D1574" s="33"/>
      <c r="E1574" s="33"/>
      <c r="F1574" s="33"/>
      <c r="G1574" s="136" t="s">
        <v>15</v>
      </c>
      <c r="H1574" s="23">
        <f>SUM(H1569:H1573)</f>
        <v>57</v>
      </c>
    </row>
    <row r="1582" spans="1:8" x14ac:dyDescent="0.4">
      <c r="B1582" s="248" t="s">
        <v>804</v>
      </c>
    </row>
  </sheetData>
  <mergeCells count="174">
    <mergeCell ref="A1507:A1511"/>
    <mergeCell ref="C1507:C1511"/>
    <mergeCell ref="A1521:A1523"/>
    <mergeCell ref="C1521:C1523"/>
    <mergeCell ref="A1164:A1168"/>
    <mergeCell ref="C1164:C1168"/>
    <mergeCell ref="C1184:C1187"/>
    <mergeCell ref="A1331:A1340"/>
    <mergeCell ref="C1331:C1340"/>
    <mergeCell ref="C1495:C1498"/>
    <mergeCell ref="C489:C509"/>
    <mergeCell ref="A489:A509"/>
    <mergeCell ref="C511:C529"/>
    <mergeCell ref="A707:A720"/>
    <mergeCell ref="C726:C746"/>
    <mergeCell ref="C682:C703"/>
    <mergeCell ref="A511:A529"/>
    <mergeCell ref="C531:C535"/>
    <mergeCell ref="A645:A661"/>
    <mergeCell ref="C645:C661"/>
    <mergeCell ref="A1403:A1408"/>
    <mergeCell ref="C1137:C1139"/>
    <mergeCell ref="A1471:A1474"/>
    <mergeCell ref="A1184:A1187"/>
    <mergeCell ref="A1137:A1139"/>
    <mergeCell ref="A1250:A1253"/>
    <mergeCell ref="C1250:C1253"/>
    <mergeCell ref="C1462:C1467"/>
    <mergeCell ref="C1403:C1408"/>
    <mergeCell ref="A1176:A1182"/>
    <mergeCell ref="A1495:A1498"/>
    <mergeCell ref="C1273:C1276"/>
    <mergeCell ref="C1502:C1505"/>
    <mergeCell ref="A1412:A1415"/>
    <mergeCell ref="C1412:C1415"/>
    <mergeCell ref="A1462:A1467"/>
    <mergeCell ref="C1303:C1308"/>
    <mergeCell ref="A1303:A1308"/>
    <mergeCell ref="C1278:C1286"/>
    <mergeCell ref="C1386:C1392"/>
    <mergeCell ref="B1040:B1042"/>
    <mergeCell ref="A23:A26"/>
    <mergeCell ref="C23:C26"/>
    <mergeCell ref="C132:C134"/>
    <mergeCell ref="A132:A134"/>
    <mergeCell ref="A366:A377"/>
    <mergeCell ref="C560:C643"/>
    <mergeCell ref="A465:A470"/>
    <mergeCell ref="A142:A250"/>
    <mergeCell ref="A303:A307"/>
    <mergeCell ref="C982:C993"/>
    <mergeCell ref="A1569:A1574"/>
    <mergeCell ref="C1569:C1574"/>
    <mergeCell ref="C1370:C1376"/>
    <mergeCell ref="A1380:A1384"/>
    <mergeCell ref="C1380:C1384"/>
    <mergeCell ref="C995:C1000"/>
    <mergeCell ref="C1002:C1007"/>
    <mergeCell ref="C1117:C1121"/>
    <mergeCell ref="C1052:C1056"/>
    <mergeCell ref="A772:A787"/>
    <mergeCell ref="A811:A846"/>
    <mergeCell ref="C911:C961"/>
    <mergeCell ref="A895:A903"/>
    <mergeCell ref="C798:C807"/>
    <mergeCell ref="C754:C758"/>
    <mergeCell ref="A754:A758"/>
    <mergeCell ref="C772:C787"/>
    <mergeCell ref="C811:C846"/>
    <mergeCell ref="A798:A807"/>
    <mergeCell ref="C670:C679"/>
    <mergeCell ref="A663:A668"/>
    <mergeCell ref="C707:C720"/>
    <mergeCell ref="C397:C433"/>
    <mergeCell ref="A397:A433"/>
    <mergeCell ref="C290:C295"/>
    <mergeCell ref="A379:A393"/>
    <mergeCell ref="C379:C393"/>
    <mergeCell ref="C537:C546"/>
    <mergeCell ref="A670:A680"/>
    <mergeCell ref="A126:A130"/>
    <mergeCell ref="A309:A362"/>
    <mergeCell ref="C366:C377"/>
    <mergeCell ref="C126:C130"/>
    <mergeCell ref="C136:C140"/>
    <mergeCell ref="C303:C307"/>
    <mergeCell ref="C297:C301"/>
    <mergeCell ref="A290:A295"/>
    <mergeCell ref="A10:H10"/>
    <mergeCell ref="C465:C470"/>
    <mergeCell ref="C309:C362"/>
    <mergeCell ref="A20:H20"/>
    <mergeCell ref="A28:A31"/>
    <mergeCell ref="C28:C31"/>
    <mergeCell ref="A435:A463"/>
    <mergeCell ref="C435:C463"/>
    <mergeCell ref="A35:A64"/>
    <mergeCell ref="A66:A116"/>
    <mergeCell ref="A3:H3"/>
    <mergeCell ref="A5:H5"/>
    <mergeCell ref="C252:C286"/>
    <mergeCell ref="C35:C64"/>
    <mergeCell ref="C66:C116"/>
    <mergeCell ref="A252:A286"/>
    <mergeCell ref="A118:A124"/>
    <mergeCell ref="C118:C124"/>
    <mergeCell ref="A136:A140"/>
    <mergeCell ref="C142:C249"/>
    <mergeCell ref="A885:A893"/>
    <mergeCell ref="C885:C893"/>
    <mergeCell ref="C848:C861"/>
    <mergeCell ref="A848:A861"/>
    <mergeCell ref="A531:A535"/>
    <mergeCell ref="A297:A301"/>
    <mergeCell ref="A537:A546"/>
    <mergeCell ref="A560:A643"/>
    <mergeCell ref="A726:A746"/>
    <mergeCell ref="A548:A558"/>
    <mergeCell ref="A905:A909"/>
    <mergeCell ref="C905:C909"/>
    <mergeCell ref="C895:C903"/>
    <mergeCell ref="A1040:A1042"/>
    <mergeCell ref="A865:A877"/>
    <mergeCell ref="C865:C877"/>
    <mergeCell ref="A975:A979"/>
    <mergeCell ref="C975:C979"/>
    <mergeCell ref="A982:A993"/>
    <mergeCell ref="A911:A961"/>
    <mergeCell ref="A1052:A1056"/>
    <mergeCell ref="A1046:A1050"/>
    <mergeCell ref="C1046:C1050"/>
    <mergeCell ref="C1040:C1042"/>
    <mergeCell ref="A995:A1000"/>
    <mergeCell ref="C1238:C1242"/>
    <mergeCell ref="A1238:A1242"/>
    <mergeCell ref="A1123:A1127"/>
    <mergeCell ref="C1123:C1127"/>
    <mergeCell ref="A1002:A1007"/>
    <mergeCell ref="C1101:C1104"/>
    <mergeCell ref="A1147:A1154"/>
    <mergeCell ref="C663:C668"/>
    <mergeCell ref="C548:C558"/>
    <mergeCell ref="A682:A703"/>
    <mergeCell ref="A1058:A1061"/>
    <mergeCell ref="A1075:A1079"/>
    <mergeCell ref="A1081:A1085"/>
    <mergeCell ref="C1075:C1079"/>
    <mergeCell ref="C1081:C1085"/>
    <mergeCell ref="C1193:C1204"/>
    <mergeCell ref="A1193:A1204"/>
    <mergeCell ref="A1095:A1097"/>
    <mergeCell ref="C1065:C1072"/>
    <mergeCell ref="C1176:C1181"/>
    <mergeCell ref="C1147:C1151"/>
    <mergeCell ref="A1117:A1121"/>
    <mergeCell ref="A1065:A1072"/>
    <mergeCell ref="A1101:A1104"/>
    <mergeCell ref="C1095:C1097"/>
    <mergeCell ref="A1312:A1322"/>
    <mergeCell ref="C1312:C1322"/>
    <mergeCell ref="A1278:A1286"/>
    <mergeCell ref="C1296:C1301"/>
    <mergeCell ref="A1296:A1301"/>
    <mergeCell ref="A1273:A1276"/>
    <mergeCell ref="A1502:A1505"/>
    <mergeCell ref="A1539:A1542"/>
    <mergeCell ref="C1539:C1542"/>
    <mergeCell ref="A1370:A1376"/>
    <mergeCell ref="A1386:A1393"/>
    <mergeCell ref="C1438:C1445"/>
    <mergeCell ref="A1438:A1445"/>
    <mergeCell ref="A1455:A1460"/>
    <mergeCell ref="C1455:C1460"/>
    <mergeCell ref="C1471:C1474"/>
  </mergeCells>
  <phoneticPr fontId="0" type="noConversion"/>
  <pageMargins left="0.51181102362204722" right="0.19685039370078741" top="0.19685039370078741" bottom="0.19685039370078741" header="0.35433070866141736" footer="0.51181102362204722"/>
  <pageSetup paperSize="9" scale="9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3CCD-A4EA-477E-892F-D39ED3C9C324}">
  <dimension ref="A1:I48"/>
  <sheetViews>
    <sheetView workbookViewId="0">
      <selection activeCell="I28" sqref="I28"/>
    </sheetView>
  </sheetViews>
  <sheetFormatPr defaultRowHeight="13.8" x14ac:dyDescent="0.45"/>
  <cols>
    <col min="1" max="1" width="6.609375" customWidth="1"/>
    <col min="2" max="6" width="9.109375" style="208" customWidth="1"/>
    <col min="9" max="9" width="24.609375" customWidth="1"/>
  </cols>
  <sheetData>
    <row r="1" spans="1:9" ht="14.7" x14ac:dyDescent="0.4">
      <c r="A1" s="41" t="s">
        <v>267</v>
      </c>
      <c r="B1" s="48"/>
      <c r="C1" s="89"/>
      <c r="D1" s="49"/>
      <c r="E1" s="49"/>
      <c r="F1" s="49"/>
      <c r="G1" s="93"/>
      <c r="H1" s="50"/>
    </row>
    <row r="2" spans="1:9" ht="14.7" x14ac:dyDescent="0.4">
      <c r="A2" s="51"/>
      <c r="B2" s="48"/>
      <c r="C2" s="89"/>
      <c r="D2" s="49"/>
      <c r="E2" s="49"/>
      <c r="F2" s="49"/>
      <c r="G2" s="93"/>
      <c r="H2" s="50"/>
    </row>
    <row r="3" spans="1:9" s="272" customFormat="1" ht="65.25" customHeight="1" x14ac:dyDescent="0.5">
      <c r="A3" s="452" t="s">
        <v>493</v>
      </c>
      <c r="B3" s="452"/>
      <c r="C3" s="452"/>
      <c r="D3" s="452"/>
      <c r="E3" s="452"/>
      <c r="F3" s="452"/>
      <c r="G3" s="452"/>
      <c r="H3" s="452"/>
      <c r="I3" s="452"/>
    </row>
    <row r="4" spans="1:9" s="272" customFormat="1" ht="15" x14ac:dyDescent="0.5">
      <c r="A4" s="276"/>
      <c r="B4" s="277"/>
      <c r="C4" s="276"/>
      <c r="D4" s="276"/>
      <c r="E4" s="271"/>
      <c r="F4" s="271"/>
      <c r="G4" s="271"/>
      <c r="H4" s="271"/>
    </row>
    <row r="5" spans="1:9" s="272" customFormat="1" ht="15" x14ac:dyDescent="0.5">
      <c r="A5" s="276"/>
      <c r="B5" s="277"/>
      <c r="C5" s="276"/>
      <c r="D5" s="276"/>
      <c r="E5" s="271"/>
      <c r="F5" s="271"/>
      <c r="G5" s="271"/>
      <c r="H5" s="271"/>
    </row>
    <row r="6" spans="1:9" ht="19.5" x14ac:dyDescent="0.4">
      <c r="A6" s="509" t="s">
        <v>1083</v>
      </c>
      <c r="B6" s="509"/>
      <c r="C6" s="509"/>
      <c r="D6" s="509"/>
      <c r="E6" s="509"/>
      <c r="F6" s="509"/>
      <c r="G6" s="509"/>
      <c r="H6" s="509"/>
      <c r="I6" s="509"/>
    </row>
    <row r="8" spans="1:9" ht="15" x14ac:dyDescent="0.5">
      <c r="B8" s="368" t="s">
        <v>1288</v>
      </c>
      <c r="C8" s="367"/>
      <c r="D8" s="367"/>
      <c r="E8" s="367"/>
      <c r="F8" s="367"/>
      <c r="G8" s="214"/>
      <c r="H8" s="214"/>
      <c r="I8" s="214"/>
    </row>
    <row r="9" spans="1:9" ht="15" x14ac:dyDescent="0.5">
      <c r="B9" s="367"/>
      <c r="C9" s="367"/>
      <c r="D9" s="367"/>
      <c r="E9" s="367"/>
      <c r="F9" s="367"/>
      <c r="G9" s="214"/>
      <c r="H9" s="214"/>
      <c r="I9" s="214"/>
    </row>
    <row r="10" spans="1:9" ht="15" x14ac:dyDescent="0.5">
      <c r="B10" s="368" t="s">
        <v>1289</v>
      </c>
      <c r="C10" s="367"/>
      <c r="D10" s="367"/>
      <c r="E10" s="367"/>
      <c r="F10" s="367"/>
      <c r="G10" s="214"/>
      <c r="H10" s="214"/>
      <c r="I10" s="214"/>
    </row>
    <row r="11" spans="1:9" ht="15" x14ac:dyDescent="0.5">
      <c r="B11" s="367"/>
      <c r="C11" s="367"/>
      <c r="D11" s="367"/>
      <c r="E11" s="367"/>
      <c r="F11" s="367"/>
      <c r="G11" s="214"/>
      <c r="H11" s="214"/>
      <c r="I11" s="214"/>
    </row>
    <row r="12" spans="1:9" ht="15" x14ac:dyDescent="0.5">
      <c r="B12" s="367"/>
      <c r="C12" s="367"/>
      <c r="D12" s="367"/>
      <c r="E12" s="367"/>
      <c r="F12" s="367"/>
      <c r="G12" s="214"/>
      <c r="H12" s="214"/>
      <c r="I12" s="214"/>
    </row>
    <row r="13" spans="1:9" ht="15" x14ac:dyDescent="0.5">
      <c r="B13" s="367" t="s">
        <v>1290</v>
      </c>
      <c r="C13" s="367"/>
      <c r="D13" s="367"/>
      <c r="E13" s="367"/>
      <c r="F13" s="367"/>
      <c r="G13" s="214"/>
      <c r="H13" s="214"/>
      <c r="I13" s="214"/>
    </row>
    <row r="14" spans="1:9" ht="15" x14ac:dyDescent="0.5">
      <c r="B14" s="367" t="s">
        <v>1291</v>
      </c>
      <c r="C14" s="367"/>
      <c r="D14" s="367"/>
      <c r="E14" s="367"/>
      <c r="F14" s="367"/>
      <c r="G14" s="214"/>
      <c r="H14" s="214"/>
      <c r="I14" s="214"/>
    </row>
    <row r="15" spans="1:9" ht="15" x14ac:dyDescent="0.5">
      <c r="B15" s="367" t="s">
        <v>1292</v>
      </c>
      <c r="C15" s="367"/>
      <c r="D15" s="367"/>
      <c r="E15" s="367"/>
      <c r="F15" s="367"/>
      <c r="G15" s="214"/>
      <c r="H15" s="214"/>
      <c r="I15" s="214"/>
    </row>
    <row r="16" spans="1:9" ht="15" x14ac:dyDescent="0.5">
      <c r="B16" s="367" t="s">
        <v>1293</v>
      </c>
      <c r="C16" s="367"/>
      <c r="D16" s="367"/>
      <c r="E16" s="367"/>
      <c r="F16" s="367"/>
      <c r="G16" s="214"/>
      <c r="H16" s="214"/>
      <c r="I16" s="214"/>
    </row>
    <row r="17" spans="2:9" ht="15" x14ac:dyDescent="0.5">
      <c r="B17" s="367" t="s">
        <v>1294</v>
      </c>
      <c r="C17" s="367"/>
      <c r="D17" s="367"/>
      <c r="E17" s="367"/>
      <c r="F17" s="367"/>
      <c r="G17" s="214"/>
      <c r="H17" s="214"/>
      <c r="I17" s="214"/>
    </row>
    <row r="18" spans="2:9" ht="15" x14ac:dyDescent="0.5">
      <c r="B18" s="367" t="s">
        <v>1295</v>
      </c>
      <c r="C18" s="367"/>
      <c r="D18" s="367"/>
      <c r="E18" s="367"/>
      <c r="F18" s="367"/>
      <c r="G18" s="214"/>
      <c r="H18" s="214"/>
      <c r="I18" s="214"/>
    </row>
    <row r="19" spans="2:9" ht="15" x14ac:dyDescent="0.5">
      <c r="B19" s="367" t="s">
        <v>1296</v>
      </c>
      <c r="C19" s="367"/>
      <c r="D19" s="367"/>
      <c r="E19" s="367"/>
      <c r="F19" s="367"/>
      <c r="G19" s="214"/>
      <c r="H19" s="214"/>
      <c r="I19" s="214"/>
    </row>
    <row r="20" spans="2:9" ht="15" x14ac:dyDescent="0.5">
      <c r="B20" s="367" t="s">
        <v>1297</v>
      </c>
      <c r="C20" s="367"/>
      <c r="D20" s="367"/>
      <c r="E20" s="367"/>
      <c r="F20" s="367"/>
      <c r="G20" s="214"/>
      <c r="H20" s="214"/>
      <c r="I20" s="214"/>
    </row>
    <row r="21" spans="2:9" ht="15" x14ac:dyDescent="0.5">
      <c r="B21" s="367" t="s">
        <v>1298</v>
      </c>
      <c r="C21" s="367"/>
      <c r="D21" s="367"/>
      <c r="E21" s="367"/>
      <c r="F21" s="367"/>
      <c r="G21" s="214"/>
      <c r="H21" s="214"/>
      <c r="I21" s="214"/>
    </row>
    <row r="22" spans="2:9" ht="15" x14ac:dyDescent="0.5">
      <c r="B22" s="367" t="s">
        <v>1299</v>
      </c>
      <c r="C22" s="367"/>
      <c r="D22" s="367"/>
      <c r="E22" s="367"/>
      <c r="F22" s="367"/>
      <c r="G22" s="214"/>
      <c r="H22" s="214"/>
      <c r="I22" s="214"/>
    </row>
    <row r="23" spans="2:9" ht="15" x14ac:dyDescent="0.5">
      <c r="B23" s="367" t="s">
        <v>1300</v>
      </c>
      <c r="C23" s="367"/>
      <c r="D23" s="367"/>
      <c r="E23" s="367"/>
      <c r="F23" s="367"/>
      <c r="G23" s="214"/>
      <c r="H23" s="214"/>
      <c r="I23" s="214"/>
    </row>
    <row r="24" spans="2:9" ht="15" x14ac:dyDescent="0.5">
      <c r="B24" s="367" t="s">
        <v>1293</v>
      </c>
      <c r="C24" s="367"/>
      <c r="D24" s="367"/>
      <c r="E24" s="367"/>
      <c r="F24" s="367"/>
      <c r="G24" s="214"/>
      <c r="H24" s="214"/>
      <c r="I24" s="214"/>
    </row>
    <row r="25" spans="2:9" ht="15" x14ac:dyDescent="0.5">
      <c r="B25" s="367" t="s">
        <v>1301</v>
      </c>
      <c r="C25" s="367"/>
      <c r="D25" s="367"/>
      <c r="E25" s="367"/>
      <c r="F25" s="367"/>
      <c r="G25" s="214"/>
      <c r="H25" s="214"/>
      <c r="I25" s="214"/>
    </row>
    <row r="26" spans="2:9" ht="15" x14ac:dyDescent="0.5">
      <c r="B26" s="367" t="s">
        <v>1302</v>
      </c>
      <c r="C26" s="367"/>
      <c r="D26" s="367"/>
      <c r="E26" s="367"/>
      <c r="F26" s="367"/>
      <c r="G26" s="214"/>
      <c r="H26" s="214"/>
      <c r="I26" s="214"/>
    </row>
    <row r="27" spans="2:9" ht="15" x14ac:dyDescent="0.5">
      <c r="B27" s="367" t="s">
        <v>1303</v>
      </c>
      <c r="C27" s="367"/>
      <c r="D27" s="367"/>
      <c r="E27" s="367"/>
      <c r="F27" s="367"/>
      <c r="G27" s="214"/>
      <c r="H27" s="214"/>
      <c r="I27" s="214"/>
    </row>
    <row r="28" spans="2:9" ht="15" x14ac:dyDescent="0.5">
      <c r="B28" s="367" t="s">
        <v>1304</v>
      </c>
      <c r="C28" s="367"/>
      <c r="D28" s="367"/>
      <c r="E28" s="367"/>
      <c r="F28" s="367"/>
      <c r="G28" s="214"/>
      <c r="H28" s="214"/>
      <c r="I28" s="214"/>
    </row>
    <row r="29" spans="2:9" ht="15" x14ac:dyDescent="0.5">
      <c r="B29" s="367" t="s">
        <v>1305</v>
      </c>
      <c r="C29" s="367"/>
      <c r="D29" s="367"/>
      <c r="E29" s="367"/>
      <c r="F29" s="367"/>
      <c r="G29" s="214"/>
      <c r="H29" s="214"/>
      <c r="I29" s="214"/>
    </row>
    <row r="30" spans="2:9" ht="15" x14ac:dyDescent="0.5">
      <c r="B30" s="367" t="s">
        <v>1293</v>
      </c>
      <c r="C30" s="367"/>
      <c r="D30" s="367"/>
      <c r="E30" s="367"/>
      <c r="F30" s="367"/>
      <c r="G30" s="214"/>
      <c r="H30" s="214"/>
      <c r="I30" s="214"/>
    </row>
    <row r="31" spans="2:9" ht="15" x14ac:dyDescent="0.5">
      <c r="B31" s="367" t="s">
        <v>1306</v>
      </c>
      <c r="C31" s="367"/>
      <c r="D31" s="367"/>
      <c r="E31" s="367"/>
      <c r="F31" s="367"/>
      <c r="G31" s="214"/>
      <c r="H31" s="214"/>
      <c r="I31" s="214"/>
    </row>
    <row r="32" spans="2:9" ht="15" x14ac:dyDescent="0.5">
      <c r="B32" s="367"/>
      <c r="C32" s="367"/>
      <c r="D32" s="367"/>
      <c r="E32" s="367"/>
      <c r="F32" s="367"/>
      <c r="G32" s="214"/>
      <c r="H32" s="214"/>
      <c r="I32" s="214"/>
    </row>
    <row r="33" spans="2:9" ht="15" x14ac:dyDescent="0.5">
      <c r="B33" s="367"/>
      <c r="C33" s="367"/>
      <c r="D33" s="367"/>
      <c r="E33" s="367"/>
      <c r="F33" s="367"/>
      <c r="G33" s="214"/>
      <c r="H33" s="214"/>
      <c r="I33" s="214"/>
    </row>
    <row r="34" spans="2:9" ht="15" x14ac:dyDescent="0.5">
      <c r="B34" s="367"/>
      <c r="C34" s="367"/>
      <c r="D34" s="367"/>
      <c r="E34" s="367"/>
      <c r="F34" s="367"/>
      <c r="G34" s="214"/>
      <c r="H34" s="214"/>
      <c r="I34" s="214"/>
    </row>
    <row r="35" spans="2:9" ht="15" x14ac:dyDescent="0.5">
      <c r="B35" s="368" t="s">
        <v>1307</v>
      </c>
      <c r="C35" s="367"/>
      <c r="D35" s="367"/>
      <c r="E35" s="367"/>
      <c r="F35" s="367"/>
      <c r="G35" s="214"/>
      <c r="H35" s="214"/>
      <c r="I35" s="214"/>
    </row>
    <row r="36" spans="2:9" ht="15" x14ac:dyDescent="0.5">
      <c r="B36" s="368"/>
      <c r="C36" s="367"/>
      <c r="D36" s="367"/>
      <c r="E36" s="367"/>
      <c r="F36" s="367"/>
      <c r="G36" s="214"/>
      <c r="H36" s="214"/>
      <c r="I36" s="214"/>
    </row>
    <row r="37" spans="2:9" ht="15" x14ac:dyDescent="0.5">
      <c r="B37" s="367" t="s">
        <v>1308</v>
      </c>
      <c r="C37" s="367"/>
      <c r="D37" s="367"/>
      <c r="E37" s="367"/>
      <c r="F37" s="367"/>
      <c r="G37" s="214"/>
      <c r="H37" s="214"/>
      <c r="I37" s="214"/>
    </row>
    <row r="38" spans="2:9" ht="15" x14ac:dyDescent="0.5">
      <c r="B38" s="367" t="s">
        <v>1309</v>
      </c>
      <c r="C38" s="367"/>
      <c r="D38" s="367"/>
      <c r="E38" s="367"/>
      <c r="F38" s="367"/>
      <c r="G38" s="214"/>
      <c r="H38" s="214"/>
      <c r="I38" s="214"/>
    </row>
    <row r="39" spans="2:9" ht="15" x14ac:dyDescent="0.5">
      <c r="B39" s="367" t="s">
        <v>1310</v>
      </c>
      <c r="C39" s="367"/>
      <c r="D39" s="367"/>
      <c r="E39" s="367"/>
      <c r="F39" s="367"/>
      <c r="G39" s="214"/>
      <c r="H39" s="214"/>
      <c r="I39" s="214"/>
    </row>
    <row r="40" spans="2:9" ht="15" x14ac:dyDescent="0.5">
      <c r="B40" s="367" t="s">
        <v>1311</v>
      </c>
      <c r="C40" s="367"/>
      <c r="D40" s="367"/>
      <c r="E40" s="367"/>
      <c r="F40" s="367"/>
      <c r="G40" s="214"/>
      <c r="H40" s="214"/>
      <c r="I40" s="214"/>
    </row>
    <row r="41" spans="2:9" ht="15" x14ac:dyDescent="0.5">
      <c r="B41" s="367" t="s">
        <v>1312</v>
      </c>
      <c r="C41" s="367"/>
      <c r="D41" s="367"/>
      <c r="E41" s="367"/>
      <c r="F41" s="367"/>
      <c r="G41" s="214"/>
      <c r="H41" s="214"/>
      <c r="I41" s="214"/>
    </row>
    <row r="42" spans="2:9" ht="15" x14ac:dyDescent="0.5">
      <c r="B42" s="367" t="s">
        <v>1313</v>
      </c>
      <c r="C42" s="367"/>
      <c r="D42" s="367"/>
      <c r="E42" s="367"/>
      <c r="F42" s="367"/>
      <c r="G42" s="214"/>
      <c r="H42" s="214"/>
      <c r="I42" s="214"/>
    </row>
    <row r="43" spans="2:9" ht="15" x14ac:dyDescent="0.5">
      <c r="B43" s="367" t="s">
        <v>1314</v>
      </c>
      <c r="C43" s="367"/>
      <c r="D43" s="367"/>
      <c r="E43" s="367"/>
      <c r="F43" s="367"/>
      <c r="G43" s="214"/>
      <c r="H43" s="214"/>
      <c r="I43" s="214"/>
    </row>
    <row r="44" spans="2:9" ht="15" x14ac:dyDescent="0.5">
      <c r="B44" s="367" t="s">
        <v>1315</v>
      </c>
      <c r="C44" s="367"/>
      <c r="D44" s="367"/>
      <c r="E44" s="367"/>
      <c r="F44" s="367"/>
      <c r="G44" s="214"/>
      <c r="H44" s="214"/>
      <c r="I44" s="214"/>
    </row>
    <row r="45" spans="2:9" ht="15" x14ac:dyDescent="0.5">
      <c r="B45" s="367" t="s">
        <v>1316</v>
      </c>
      <c r="C45" s="367"/>
      <c r="D45" s="367"/>
      <c r="E45" s="367"/>
      <c r="F45" s="367"/>
      <c r="G45" s="214"/>
      <c r="H45" s="214"/>
      <c r="I45" s="214"/>
    </row>
    <row r="46" spans="2:9" ht="15" x14ac:dyDescent="0.5">
      <c r="B46" s="367" t="s">
        <v>1293</v>
      </c>
      <c r="C46" s="367"/>
      <c r="D46" s="367"/>
      <c r="E46" s="367"/>
      <c r="F46" s="367"/>
      <c r="G46" s="214"/>
      <c r="H46" s="214"/>
      <c r="I46" s="214"/>
    </row>
    <row r="47" spans="2:9" ht="15" x14ac:dyDescent="0.5">
      <c r="B47" s="367" t="s">
        <v>1317</v>
      </c>
      <c r="C47" s="367"/>
      <c r="D47" s="367"/>
      <c r="E47" s="367"/>
      <c r="F47" s="367"/>
      <c r="G47" s="214"/>
      <c r="H47" s="214"/>
      <c r="I47" s="214"/>
    </row>
    <row r="48" spans="2:9" ht="15" x14ac:dyDescent="0.5">
      <c r="B48" s="367" t="s">
        <v>1318</v>
      </c>
      <c r="C48" s="367"/>
      <c r="D48" s="367"/>
      <c r="E48" s="367"/>
      <c r="F48" s="367"/>
      <c r="G48" s="214"/>
      <c r="H48" s="214"/>
      <c r="I48" s="214"/>
    </row>
  </sheetData>
  <mergeCells count="2">
    <mergeCell ref="A3:I3"/>
    <mergeCell ref="A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B2E6-92E0-4098-836B-F0D4C421234A}">
  <dimension ref="A1:H235"/>
  <sheetViews>
    <sheetView workbookViewId="0">
      <selection activeCell="H24" sqref="H24"/>
    </sheetView>
  </sheetViews>
  <sheetFormatPr defaultRowHeight="13.8" x14ac:dyDescent="0.4"/>
  <cols>
    <col min="1" max="1" width="3.38671875" style="264" customWidth="1"/>
    <col min="2" max="2" width="44.88671875" style="224" customWidth="1"/>
    <col min="3" max="3" width="6.71875" style="249" customWidth="1"/>
    <col min="4" max="4" width="10.27734375" style="224" customWidth="1"/>
    <col min="5" max="5" width="7.71875" style="224" customWidth="1"/>
    <col min="6" max="6" width="9.27734375" style="224" customWidth="1"/>
    <col min="7" max="7" width="8.609375" style="224" customWidth="1"/>
    <col min="8" max="8" width="11.88671875" style="224" customWidth="1"/>
  </cols>
  <sheetData>
    <row r="1" spans="1:8" ht="19.5" x14ac:dyDescent="0.4">
      <c r="A1" s="509" t="s">
        <v>1083</v>
      </c>
      <c r="B1" s="509"/>
      <c r="C1" s="509"/>
      <c r="D1" s="509"/>
      <c r="E1" s="509"/>
      <c r="F1" s="509"/>
    </row>
    <row r="3" spans="1:8" s="272" customFormat="1" ht="15" x14ac:dyDescent="0.5">
      <c r="A3" s="276" t="s">
        <v>1084</v>
      </c>
      <c r="B3" s="277"/>
      <c r="C3" s="276"/>
      <c r="D3" s="276"/>
      <c r="E3" s="271"/>
      <c r="F3" s="271"/>
      <c r="G3" s="271"/>
      <c r="H3" s="271"/>
    </row>
    <row r="4" spans="1:8" s="272" customFormat="1" ht="15" x14ac:dyDescent="0.5">
      <c r="A4" s="276" t="s">
        <v>1085</v>
      </c>
      <c r="B4" s="277"/>
      <c r="C4" s="276"/>
      <c r="D4" s="276"/>
      <c r="E4" s="271"/>
      <c r="F4" s="271"/>
      <c r="G4" s="271"/>
      <c r="H4" s="271"/>
    </row>
    <row r="5" spans="1:8" s="272" customFormat="1" ht="15" x14ac:dyDescent="0.5">
      <c r="A5" s="276" t="s">
        <v>1086</v>
      </c>
      <c r="B5" s="277"/>
      <c r="C5" s="276"/>
      <c r="D5" s="276"/>
      <c r="E5" s="271"/>
      <c r="F5" s="271"/>
      <c r="G5" s="271"/>
      <c r="H5" s="271"/>
    </row>
    <row r="6" spans="1:8" s="272" customFormat="1" ht="15" x14ac:dyDescent="0.5">
      <c r="A6" s="271"/>
      <c r="B6" s="276"/>
      <c r="C6" s="276"/>
      <c r="D6" s="276"/>
      <c r="E6" s="271"/>
      <c r="F6" s="271"/>
      <c r="G6" s="271"/>
      <c r="H6" s="271"/>
    </row>
    <row r="7" spans="1:8" s="272" customFormat="1" ht="15" x14ac:dyDescent="0.5">
      <c r="A7" s="271"/>
      <c r="B7" s="278" t="s">
        <v>1087</v>
      </c>
      <c r="C7" s="276"/>
      <c r="D7" s="276"/>
      <c r="E7" s="271"/>
      <c r="F7" s="271"/>
      <c r="G7" s="271"/>
      <c r="H7" s="271"/>
    </row>
    <row r="8" spans="1:8" s="214" customFormat="1" ht="15" x14ac:dyDescent="0.5">
      <c r="A8" s="269"/>
      <c r="B8" s="279" t="s">
        <v>1088</v>
      </c>
      <c r="C8" s="280"/>
      <c r="D8" s="279"/>
      <c r="E8" s="269"/>
      <c r="F8" s="269"/>
      <c r="G8" s="269"/>
      <c r="H8" s="269"/>
    </row>
    <row r="9" spans="1:8" s="214" customFormat="1" ht="15" x14ac:dyDescent="0.5">
      <c r="A9" s="264"/>
      <c r="B9" s="269"/>
      <c r="C9" s="270"/>
      <c r="D9" s="269"/>
      <c r="E9" s="269"/>
      <c r="F9" s="269"/>
      <c r="G9" s="269"/>
      <c r="H9" s="269"/>
    </row>
    <row r="10" spans="1:8" s="214" customFormat="1" ht="15" x14ac:dyDescent="0.5">
      <c r="A10" s="264"/>
      <c r="B10" s="269"/>
      <c r="C10" s="270"/>
      <c r="D10" s="269"/>
      <c r="E10" s="269"/>
      <c r="F10" s="269"/>
      <c r="G10" s="269"/>
      <c r="H10" s="269"/>
    </row>
    <row r="11" spans="1:8" s="214" customFormat="1" ht="15" x14ac:dyDescent="0.5">
      <c r="A11" s="264"/>
      <c r="B11" s="269"/>
      <c r="C11" s="270"/>
      <c r="D11" s="269"/>
      <c r="E11" s="269"/>
      <c r="F11" s="269"/>
      <c r="G11" s="269"/>
      <c r="H11" s="269"/>
    </row>
    <row r="12" spans="1:8" s="214" customFormat="1" ht="15" x14ac:dyDescent="0.5">
      <c r="A12" s="264"/>
      <c r="B12" s="278" t="s">
        <v>1089</v>
      </c>
      <c r="C12" s="270"/>
      <c r="D12" s="269"/>
      <c r="E12" s="269"/>
      <c r="F12" s="269"/>
      <c r="G12" s="269"/>
      <c r="H12" s="269"/>
    </row>
    <row r="14" spans="1:8" ht="27.75" customHeight="1" x14ac:dyDescent="0.4">
      <c r="A14" s="308" t="s">
        <v>1090</v>
      </c>
      <c r="B14" s="281" t="s">
        <v>1091</v>
      </c>
      <c r="C14" s="281" t="s">
        <v>1092</v>
      </c>
      <c r="D14" s="281" t="s">
        <v>1093</v>
      </c>
      <c r="E14" s="281" t="s">
        <v>1094</v>
      </c>
      <c r="F14" s="281" t="s">
        <v>1095</v>
      </c>
      <c r="G14" s="281" t="s">
        <v>1096</v>
      </c>
      <c r="H14" s="281" t="s">
        <v>1097</v>
      </c>
    </row>
    <row r="15" spans="1:8" x14ac:dyDescent="0.4">
      <c r="A15" s="307" t="s">
        <v>1098</v>
      </c>
      <c r="B15" s="309" t="s">
        <v>1099</v>
      </c>
      <c r="C15" s="281" t="s">
        <v>2</v>
      </c>
      <c r="D15" s="283">
        <v>5</v>
      </c>
      <c r="E15" s="283">
        <v>0.9</v>
      </c>
      <c r="F15" s="281">
        <v>1.1499999999999999</v>
      </c>
      <c r="G15" s="281">
        <v>1</v>
      </c>
      <c r="H15" s="310">
        <f>D15*E15*F15*G15</f>
        <v>5.1749999999999998</v>
      </c>
    </row>
    <row r="16" spans="1:8" ht="27.6" x14ac:dyDescent="0.4">
      <c r="A16" s="307" t="s">
        <v>1100</v>
      </c>
      <c r="B16" s="309" t="s">
        <v>1101</v>
      </c>
      <c r="C16" s="281" t="s">
        <v>1102</v>
      </c>
      <c r="D16" s="283">
        <v>5</v>
      </c>
      <c r="E16" s="283">
        <v>0.9</v>
      </c>
      <c r="F16" s="281">
        <v>0.1</v>
      </c>
      <c r="G16" s="281">
        <v>1</v>
      </c>
      <c r="H16" s="310">
        <f>D16*E16*F16*G16</f>
        <v>0.45</v>
      </c>
    </row>
    <row r="17" spans="1:8" ht="27.6" x14ac:dyDescent="0.4">
      <c r="A17" s="307" t="s">
        <v>1103</v>
      </c>
      <c r="B17" s="309" t="s">
        <v>1104</v>
      </c>
      <c r="C17" s="281" t="s">
        <v>1102</v>
      </c>
      <c r="D17" s="283">
        <v>5</v>
      </c>
      <c r="E17" s="283">
        <v>0.65</v>
      </c>
      <c r="F17" s="281">
        <v>0.2</v>
      </c>
      <c r="G17" s="281">
        <v>1</v>
      </c>
      <c r="H17" s="310">
        <f>D17*E17*F17*G17</f>
        <v>0.65</v>
      </c>
    </row>
    <row r="18" spans="1:8" ht="15" customHeight="1" x14ac:dyDescent="0.4">
      <c r="A18" s="307" t="s">
        <v>1105</v>
      </c>
      <c r="B18" s="309" t="s">
        <v>1106</v>
      </c>
      <c r="C18" s="281" t="s">
        <v>1102</v>
      </c>
      <c r="D18" s="281"/>
      <c r="E18" s="283"/>
      <c r="F18" s="281"/>
      <c r="G18" s="281"/>
      <c r="H18" s="310">
        <v>4.08</v>
      </c>
    </row>
    <row r="19" spans="1:8" ht="27.6" x14ac:dyDescent="0.4">
      <c r="A19" s="307" t="s">
        <v>1107</v>
      </c>
      <c r="B19" s="309" t="s">
        <v>1108</v>
      </c>
      <c r="C19" s="281" t="s">
        <v>557</v>
      </c>
      <c r="D19" s="285"/>
      <c r="E19" s="285"/>
      <c r="F19" s="285"/>
      <c r="G19" s="285"/>
      <c r="H19" s="311">
        <v>1</v>
      </c>
    </row>
    <row r="20" spans="1:8" ht="27.6" x14ac:dyDescent="0.4">
      <c r="A20" s="307" t="s">
        <v>1109</v>
      </c>
      <c r="B20" s="309" t="s">
        <v>1110</v>
      </c>
      <c r="C20" s="281" t="s">
        <v>557</v>
      </c>
      <c r="D20" s="285"/>
      <c r="E20" s="283"/>
      <c r="F20" s="281"/>
      <c r="G20" s="281"/>
      <c r="H20" s="311">
        <v>1</v>
      </c>
    </row>
    <row r="21" spans="1:8" ht="27.6" x14ac:dyDescent="0.4">
      <c r="A21" s="307" t="s">
        <v>1111</v>
      </c>
      <c r="B21" s="309" t="s">
        <v>1112</v>
      </c>
      <c r="C21" s="281" t="s">
        <v>557</v>
      </c>
      <c r="D21" s="285"/>
      <c r="E21" s="283"/>
      <c r="F21" s="281"/>
      <c r="G21" s="281"/>
      <c r="H21" s="311">
        <v>1</v>
      </c>
    </row>
    <row r="22" spans="1:8" ht="14.25" customHeight="1" x14ac:dyDescent="0.4">
      <c r="A22" s="307" t="s">
        <v>1113</v>
      </c>
      <c r="B22" s="309" t="s">
        <v>1114</v>
      </c>
      <c r="C22" s="281" t="s">
        <v>557</v>
      </c>
      <c r="D22" s="285"/>
      <c r="E22" s="283"/>
      <c r="F22" s="281"/>
      <c r="G22" s="281"/>
      <c r="H22" s="311">
        <v>1</v>
      </c>
    </row>
    <row r="23" spans="1:8" ht="27.6" x14ac:dyDescent="0.4">
      <c r="A23" s="307" t="s">
        <v>1115</v>
      </c>
      <c r="B23" s="309" t="s">
        <v>1116</v>
      </c>
      <c r="C23" s="281" t="s">
        <v>1102</v>
      </c>
      <c r="D23" s="285"/>
      <c r="E23" s="283"/>
      <c r="F23" s="281"/>
      <c r="G23" s="281"/>
      <c r="H23" s="311">
        <v>5</v>
      </c>
    </row>
    <row r="24" spans="1:8" ht="27.6" x14ac:dyDescent="0.4">
      <c r="A24" s="307" t="s">
        <v>1117</v>
      </c>
      <c r="B24" s="309" t="s">
        <v>1118</v>
      </c>
      <c r="C24" s="281" t="s">
        <v>1102</v>
      </c>
      <c r="D24" s="285"/>
      <c r="E24" s="283"/>
      <c r="F24" s="281"/>
      <c r="G24" s="281"/>
      <c r="H24" s="311">
        <v>1</v>
      </c>
    </row>
    <row r="25" spans="1:8" ht="27.6" x14ac:dyDescent="0.4">
      <c r="A25" s="307" t="s">
        <v>1119</v>
      </c>
      <c r="B25" s="309" t="s">
        <v>1120</v>
      </c>
      <c r="C25" s="281" t="s">
        <v>1121</v>
      </c>
      <c r="D25" s="285"/>
      <c r="E25" s="283"/>
      <c r="F25" s="281"/>
      <c r="G25" s="281"/>
      <c r="H25" s="310">
        <v>5</v>
      </c>
    </row>
    <row r="27" spans="1:8" x14ac:dyDescent="0.4">
      <c r="B27" s="290" t="s">
        <v>1122</v>
      </c>
    </row>
    <row r="29" spans="1:8" ht="24" customHeight="1" x14ac:dyDescent="0.4">
      <c r="A29" s="216" t="s">
        <v>7</v>
      </c>
      <c r="B29" s="39" t="s">
        <v>1123</v>
      </c>
      <c r="C29" s="39" t="s">
        <v>1124</v>
      </c>
      <c r="D29" s="130"/>
      <c r="E29" s="130"/>
      <c r="F29" s="130"/>
      <c r="G29" s="130"/>
      <c r="H29" s="39" t="s">
        <v>1125</v>
      </c>
    </row>
    <row r="30" spans="1:8" x14ac:dyDescent="0.4">
      <c r="A30" s="307" t="s">
        <v>1098</v>
      </c>
      <c r="B30" s="36" t="s">
        <v>1126</v>
      </c>
      <c r="C30" s="28" t="s">
        <v>2</v>
      </c>
      <c r="D30" s="130"/>
      <c r="E30" s="130"/>
      <c r="F30" s="130"/>
      <c r="G30" s="130"/>
      <c r="H30" s="165">
        <v>8.56</v>
      </c>
    </row>
    <row r="31" spans="1:8" x14ac:dyDescent="0.4">
      <c r="A31" s="307" t="s">
        <v>1100</v>
      </c>
      <c r="B31" s="306" t="s">
        <v>1127</v>
      </c>
      <c r="C31" s="28" t="s">
        <v>1128</v>
      </c>
      <c r="D31" s="130"/>
      <c r="E31" s="130"/>
      <c r="F31" s="130"/>
      <c r="G31" s="130"/>
      <c r="H31" s="291">
        <v>11.2</v>
      </c>
    </row>
    <row r="32" spans="1:8" x14ac:dyDescent="0.4">
      <c r="A32" s="307" t="s">
        <v>1103</v>
      </c>
      <c r="B32" s="306" t="s">
        <v>1129</v>
      </c>
      <c r="C32" s="292" t="s">
        <v>2</v>
      </c>
      <c r="D32" s="130"/>
      <c r="E32" s="130"/>
      <c r="F32" s="130"/>
      <c r="G32" s="130"/>
      <c r="H32" s="165">
        <v>0.26</v>
      </c>
    </row>
    <row r="33" spans="1:8" x14ac:dyDescent="0.4">
      <c r="A33" s="307" t="s">
        <v>1105</v>
      </c>
      <c r="B33" s="306" t="s">
        <v>1130</v>
      </c>
      <c r="C33" s="292" t="s">
        <v>2</v>
      </c>
      <c r="D33" s="130"/>
      <c r="E33" s="130"/>
      <c r="F33" s="130"/>
      <c r="G33" s="130"/>
      <c r="H33" s="165">
        <v>0.4</v>
      </c>
    </row>
    <row r="34" spans="1:8" x14ac:dyDescent="0.4">
      <c r="A34" s="307" t="s">
        <v>1107</v>
      </c>
      <c r="B34" s="306" t="s">
        <v>1131</v>
      </c>
      <c r="C34" s="292" t="s">
        <v>2</v>
      </c>
      <c r="D34" s="130"/>
      <c r="E34" s="130"/>
      <c r="F34" s="130"/>
      <c r="G34" s="130"/>
      <c r="H34" s="165">
        <v>1</v>
      </c>
    </row>
    <row r="35" spans="1:8" x14ac:dyDescent="0.4">
      <c r="A35" s="307" t="s">
        <v>1109</v>
      </c>
      <c r="B35" s="306" t="s">
        <v>1132</v>
      </c>
      <c r="C35" s="28" t="s">
        <v>1</v>
      </c>
      <c r="D35" s="130"/>
      <c r="E35" s="130"/>
      <c r="F35" s="130"/>
      <c r="G35" s="130"/>
      <c r="H35" s="165">
        <v>4.2</v>
      </c>
    </row>
    <row r="36" spans="1:8" x14ac:dyDescent="0.4">
      <c r="A36" s="307" t="s">
        <v>1111</v>
      </c>
      <c r="B36" s="306" t="s">
        <v>1133</v>
      </c>
      <c r="C36" s="292" t="s">
        <v>557</v>
      </c>
      <c r="D36" s="130"/>
      <c r="E36" s="130"/>
      <c r="F36" s="130"/>
      <c r="G36" s="130"/>
      <c r="H36" s="291">
        <v>3</v>
      </c>
    </row>
    <row r="37" spans="1:8" x14ac:dyDescent="0.4">
      <c r="A37" s="307" t="s">
        <v>1113</v>
      </c>
      <c r="B37" s="36" t="s">
        <v>1134</v>
      </c>
      <c r="C37" s="28" t="s">
        <v>1135</v>
      </c>
      <c r="D37" s="130"/>
      <c r="E37" s="130"/>
      <c r="F37" s="130"/>
      <c r="G37" s="130"/>
      <c r="H37" s="291">
        <v>185</v>
      </c>
    </row>
    <row r="38" spans="1:8" x14ac:dyDescent="0.4">
      <c r="A38" s="307" t="s">
        <v>1115</v>
      </c>
      <c r="B38" s="36" t="s">
        <v>1136</v>
      </c>
      <c r="C38" s="28" t="s">
        <v>557</v>
      </c>
      <c r="D38" s="130"/>
      <c r="E38" s="130"/>
      <c r="F38" s="130"/>
      <c r="G38" s="130"/>
      <c r="H38" s="291">
        <v>1</v>
      </c>
    </row>
    <row r="39" spans="1:8" x14ac:dyDescent="0.4">
      <c r="A39" s="307" t="s">
        <v>1117</v>
      </c>
      <c r="B39" s="36" t="s">
        <v>1137</v>
      </c>
      <c r="C39" s="28" t="s">
        <v>557</v>
      </c>
      <c r="D39" s="130"/>
      <c r="E39" s="130"/>
      <c r="F39" s="130"/>
      <c r="G39" s="130"/>
      <c r="H39" s="291">
        <v>1</v>
      </c>
    </row>
    <row r="40" spans="1:8" x14ac:dyDescent="0.4">
      <c r="A40" s="307" t="s">
        <v>1119</v>
      </c>
      <c r="B40" s="36" t="s">
        <v>1138</v>
      </c>
      <c r="C40" s="28" t="s">
        <v>557</v>
      </c>
      <c r="D40" s="130"/>
      <c r="E40" s="130"/>
      <c r="F40" s="130"/>
      <c r="G40" s="130"/>
      <c r="H40" s="291">
        <v>1</v>
      </c>
    </row>
    <row r="41" spans="1:8" x14ac:dyDescent="0.4">
      <c r="A41" s="307" t="s">
        <v>1139</v>
      </c>
      <c r="B41" s="36" t="s">
        <v>1140</v>
      </c>
      <c r="C41" s="28" t="s">
        <v>557</v>
      </c>
      <c r="D41" s="130"/>
      <c r="E41" s="130"/>
      <c r="F41" s="130"/>
      <c r="G41" s="130"/>
      <c r="H41" s="291">
        <v>1</v>
      </c>
    </row>
    <row r="42" spans="1:8" ht="41.4" x14ac:dyDescent="0.4">
      <c r="A42" s="307" t="s">
        <v>1141</v>
      </c>
      <c r="B42" s="306" t="s">
        <v>1264</v>
      </c>
      <c r="C42" s="28" t="s">
        <v>557</v>
      </c>
      <c r="D42" s="130"/>
      <c r="E42" s="130"/>
      <c r="F42" s="130"/>
      <c r="G42" s="130"/>
      <c r="H42" s="291">
        <v>1</v>
      </c>
    </row>
    <row r="43" spans="1:8" ht="27.6" x14ac:dyDescent="0.4">
      <c r="A43" s="307" t="s">
        <v>1142</v>
      </c>
      <c r="B43" s="306" t="s">
        <v>1143</v>
      </c>
      <c r="C43" s="28" t="s">
        <v>557</v>
      </c>
      <c r="D43" s="130"/>
      <c r="E43" s="130"/>
      <c r="F43" s="130"/>
      <c r="G43" s="130"/>
      <c r="H43" s="291">
        <v>1</v>
      </c>
    </row>
    <row r="44" spans="1:8" x14ac:dyDescent="0.4">
      <c r="A44" s="307" t="s">
        <v>1144</v>
      </c>
      <c r="B44" s="306" t="s">
        <v>1145</v>
      </c>
      <c r="C44" s="28" t="s">
        <v>557</v>
      </c>
      <c r="D44" s="130"/>
      <c r="E44" s="130"/>
      <c r="F44" s="130"/>
      <c r="G44" s="130"/>
      <c r="H44" s="291">
        <v>1</v>
      </c>
    </row>
    <row r="45" spans="1:8" x14ac:dyDescent="0.4">
      <c r="A45" s="307" t="s">
        <v>1146</v>
      </c>
      <c r="B45" s="306" t="s">
        <v>1147</v>
      </c>
      <c r="C45" s="28" t="s">
        <v>1121</v>
      </c>
      <c r="D45" s="130"/>
      <c r="E45" s="130"/>
      <c r="F45" s="130"/>
      <c r="G45" s="130"/>
      <c r="H45" s="291">
        <v>1</v>
      </c>
    </row>
    <row r="46" spans="1:8" ht="27.6" x14ac:dyDescent="0.4">
      <c r="A46" s="307" t="s">
        <v>1148</v>
      </c>
      <c r="B46" s="306" t="s">
        <v>1149</v>
      </c>
      <c r="C46" s="28" t="s">
        <v>557</v>
      </c>
      <c r="D46" s="130"/>
      <c r="E46" s="130"/>
      <c r="F46" s="130"/>
      <c r="G46" s="130"/>
      <c r="H46" s="291">
        <v>1</v>
      </c>
    </row>
    <row r="49" spans="1:8" ht="14.7" x14ac:dyDescent="0.4">
      <c r="B49" s="278" t="s">
        <v>1150</v>
      </c>
    </row>
    <row r="50" spans="1:8" ht="14.7" x14ac:dyDescent="0.4">
      <c r="B50" s="271"/>
    </row>
    <row r="51" spans="1:8" ht="14.7" x14ac:dyDescent="0.4">
      <c r="B51" s="278" t="s">
        <v>1151</v>
      </c>
      <c r="C51" s="224"/>
    </row>
    <row r="53" spans="1:8" ht="28.5" customHeight="1" x14ac:dyDescent="0.4">
      <c r="A53" s="216" t="s">
        <v>7</v>
      </c>
      <c r="B53" s="39" t="s">
        <v>1123</v>
      </c>
      <c r="C53" s="39" t="s">
        <v>1124</v>
      </c>
      <c r="D53" s="130"/>
      <c r="E53" s="130"/>
      <c r="F53" s="130"/>
      <c r="G53" s="130"/>
      <c r="H53" s="39" t="s">
        <v>1125</v>
      </c>
    </row>
    <row r="54" spans="1:8" x14ac:dyDescent="0.4">
      <c r="A54" s="307" t="s">
        <v>1098</v>
      </c>
      <c r="B54" s="36" t="s">
        <v>1152</v>
      </c>
      <c r="C54" s="28" t="s">
        <v>5</v>
      </c>
      <c r="D54" s="130"/>
      <c r="E54" s="130"/>
      <c r="F54" s="130"/>
      <c r="G54" s="130"/>
      <c r="H54" s="291">
        <v>35</v>
      </c>
    </row>
    <row r="55" spans="1:8" x14ac:dyDescent="0.4">
      <c r="A55" s="307" t="s">
        <v>1100</v>
      </c>
      <c r="B55" s="36" t="s">
        <v>1153</v>
      </c>
      <c r="C55" s="28" t="s">
        <v>5</v>
      </c>
      <c r="D55" s="130"/>
      <c r="E55" s="130"/>
      <c r="F55" s="130"/>
      <c r="G55" s="130"/>
      <c r="H55" s="291">
        <v>16</v>
      </c>
    </row>
    <row r="56" spans="1:8" x14ac:dyDescent="0.4">
      <c r="A56" s="307" t="s">
        <v>1103</v>
      </c>
      <c r="B56" s="36" t="s">
        <v>1154</v>
      </c>
      <c r="C56" s="28" t="s">
        <v>5</v>
      </c>
      <c r="D56" s="130"/>
      <c r="E56" s="130"/>
      <c r="F56" s="130"/>
      <c r="G56" s="130"/>
      <c r="H56" s="291">
        <v>20</v>
      </c>
    </row>
    <row r="57" spans="1:8" x14ac:dyDescent="0.4">
      <c r="A57" s="307" t="s">
        <v>1103</v>
      </c>
      <c r="B57" s="36" t="s">
        <v>1155</v>
      </c>
      <c r="C57" s="28" t="s">
        <v>5</v>
      </c>
      <c r="D57" s="130"/>
      <c r="E57" s="130"/>
      <c r="F57" s="130"/>
      <c r="G57" s="130"/>
      <c r="H57" s="291">
        <v>20</v>
      </c>
    </row>
    <row r="58" spans="1:8" ht="27.6" x14ac:dyDescent="0.4">
      <c r="A58" s="307" t="s">
        <v>1105</v>
      </c>
      <c r="B58" s="36" t="s">
        <v>1156</v>
      </c>
      <c r="C58" s="28" t="s">
        <v>5</v>
      </c>
      <c r="D58" s="130"/>
      <c r="E58" s="130"/>
      <c r="F58" s="130"/>
      <c r="G58" s="130"/>
      <c r="H58" s="291">
        <v>35</v>
      </c>
    </row>
    <row r="59" spans="1:8" ht="27.6" x14ac:dyDescent="0.4">
      <c r="A59" s="307" t="s">
        <v>1107</v>
      </c>
      <c r="B59" s="36" t="s">
        <v>1157</v>
      </c>
      <c r="C59" s="28" t="s">
        <v>5</v>
      </c>
      <c r="D59" s="130"/>
      <c r="E59" s="130"/>
      <c r="F59" s="130"/>
      <c r="G59" s="130"/>
      <c r="H59" s="291">
        <v>16</v>
      </c>
    </row>
    <row r="60" spans="1:8" ht="27.6" x14ac:dyDescent="0.4">
      <c r="A60" s="307" t="s">
        <v>1109</v>
      </c>
      <c r="B60" s="36" t="s">
        <v>1158</v>
      </c>
      <c r="C60" s="28" t="s">
        <v>5</v>
      </c>
      <c r="D60" s="130"/>
      <c r="E60" s="130"/>
      <c r="F60" s="130"/>
      <c r="G60" s="130"/>
      <c r="H60" s="291">
        <v>20</v>
      </c>
    </row>
    <row r="61" spans="1:8" ht="27.6" x14ac:dyDescent="0.4">
      <c r="A61" s="307" t="s">
        <v>1111</v>
      </c>
      <c r="B61" s="36" t="s">
        <v>1159</v>
      </c>
      <c r="C61" s="28" t="s">
        <v>5</v>
      </c>
      <c r="D61" s="130"/>
      <c r="E61" s="130"/>
      <c r="F61" s="130"/>
      <c r="G61" s="130"/>
      <c r="H61" s="291">
        <v>20</v>
      </c>
    </row>
    <row r="62" spans="1:8" x14ac:dyDescent="0.4">
      <c r="A62" s="307" t="s">
        <v>1113</v>
      </c>
      <c r="B62" s="36" t="s">
        <v>1160</v>
      </c>
      <c r="C62" s="28" t="s">
        <v>5</v>
      </c>
      <c r="D62" s="130"/>
      <c r="E62" s="130"/>
      <c r="F62" s="130"/>
      <c r="G62" s="130"/>
      <c r="H62" s="291">
        <v>25</v>
      </c>
    </row>
    <row r="63" spans="1:8" x14ac:dyDescent="0.4">
      <c r="A63" s="307" t="s">
        <v>1115</v>
      </c>
      <c r="B63" s="36" t="s">
        <v>1161</v>
      </c>
      <c r="C63" s="28" t="s">
        <v>5</v>
      </c>
      <c r="D63" s="130"/>
      <c r="E63" s="130"/>
      <c r="F63" s="130"/>
      <c r="G63" s="130"/>
      <c r="H63" s="291">
        <v>25</v>
      </c>
    </row>
    <row r="64" spans="1:8" ht="27.6" x14ac:dyDescent="0.4">
      <c r="A64" s="307" t="s">
        <v>1117</v>
      </c>
      <c r="B64" s="306" t="s">
        <v>1162</v>
      </c>
      <c r="C64" s="28" t="s">
        <v>557</v>
      </c>
      <c r="D64" s="130"/>
      <c r="E64" s="130"/>
      <c r="F64" s="130"/>
      <c r="G64" s="130"/>
      <c r="H64" s="291">
        <v>3</v>
      </c>
    </row>
    <row r="65" spans="1:8" x14ac:dyDescent="0.4">
      <c r="A65" s="307" t="s">
        <v>1119</v>
      </c>
      <c r="B65" s="306" t="s">
        <v>1163</v>
      </c>
      <c r="C65" s="28" t="s">
        <v>557</v>
      </c>
      <c r="D65" s="130"/>
      <c r="E65" s="130"/>
      <c r="F65" s="130"/>
      <c r="G65" s="130"/>
      <c r="H65" s="291">
        <v>1</v>
      </c>
    </row>
    <row r="66" spans="1:8" x14ac:dyDescent="0.4">
      <c r="A66" s="307" t="s">
        <v>1139</v>
      </c>
      <c r="B66" s="306" t="s">
        <v>1164</v>
      </c>
      <c r="C66" s="28" t="s">
        <v>557</v>
      </c>
      <c r="D66" s="130"/>
      <c r="E66" s="130"/>
      <c r="F66" s="130"/>
      <c r="G66" s="130"/>
      <c r="H66" s="291">
        <v>1</v>
      </c>
    </row>
    <row r="67" spans="1:8" x14ac:dyDescent="0.4">
      <c r="A67" s="307" t="s">
        <v>1141</v>
      </c>
      <c r="B67" s="36" t="s">
        <v>1165</v>
      </c>
      <c r="C67" s="28" t="s">
        <v>557</v>
      </c>
      <c r="D67" s="130"/>
      <c r="E67" s="130"/>
      <c r="F67" s="130"/>
      <c r="G67" s="130"/>
      <c r="H67" s="291">
        <v>3</v>
      </c>
    </row>
    <row r="68" spans="1:8" x14ac:dyDescent="0.4">
      <c r="A68" s="307" t="s">
        <v>1142</v>
      </c>
      <c r="B68" s="36" t="s">
        <v>1166</v>
      </c>
      <c r="C68" s="28" t="s">
        <v>557</v>
      </c>
      <c r="D68" s="130"/>
      <c r="E68" s="130"/>
      <c r="F68" s="130"/>
      <c r="G68" s="130"/>
      <c r="H68" s="291">
        <v>4</v>
      </c>
    </row>
    <row r="69" spans="1:8" x14ac:dyDescent="0.4">
      <c r="A69" s="307" t="s">
        <v>1144</v>
      </c>
      <c r="B69" s="36" t="s">
        <v>1167</v>
      </c>
      <c r="C69" s="28" t="s">
        <v>557</v>
      </c>
      <c r="D69" s="130"/>
      <c r="E69" s="130"/>
      <c r="F69" s="130"/>
      <c r="G69" s="130"/>
      <c r="H69" s="291">
        <v>1</v>
      </c>
    </row>
    <row r="70" spans="1:8" x14ac:dyDescent="0.4">
      <c r="A70" s="307" t="s">
        <v>1146</v>
      </c>
      <c r="B70" s="36" t="s">
        <v>1168</v>
      </c>
      <c r="C70" s="28" t="s">
        <v>557</v>
      </c>
      <c r="D70" s="130"/>
      <c r="E70" s="130"/>
      <c r="F70" s="130"/>
      <c r="G70" s="130"/>
      <c r="H70" s="291">
        <v>1</v>
      </c>
    </row>
    <row r="71" spans="1:8" ht="27.6" x14ac:dyDescent="0.4">
      <c r="A71" s="307" t="s">
        <v>1148</v>
      </c>
      <c r="B71" s="36" t="s">
        <v>1169</v>
      </c>
      <c r="C71" s="28" t="s">
        <v>557</v>
      </c>
      <c r="D71" s="130"/>
      <c r="E71" s="130"/>
      <c r="F71" s="130"/>
      <c r="G71" s="130"/>
      <c r="H71" s="291">
        <v>13</v>
      </c>
    </row>
    <row r="72" spans="1:8" x14ac:dyDescent="0.4">
      <c r="A72" s="307" t="s">
        <v>1170</v>
      </c>
      <c r="B72" s="36" t="s">
        <v>1171</v>
      </c>
      <c r="C72" s="28" t="s">
        <v>557</v>
      </c>
      <c r="D72" s="130"/>
      <c r="E72" s="130"/>
      <c r="F72" s="130"/>
      <c r="G72" s="130"/>
      <c r="H72" s="291">
        <v>1</v>
      </c>
    </row>
    <row r="74" spans="1:8" ht="14.7" x14ac:dyDescent="0.4">
      <c r="B74" s="278" t="s">
        <v>1172</v>
      </c>
      <c r="C74" s="224"/>
    </row>
    <row r="76" spans="1:8" ht="24.75" customHeight="1" x14ac:dyDescent="0.4">
      <c r="A76" s="216" t="s">
        <v>7</v>
      </c>
      <c r="B76" s="39" t="s">
        <v>1123</v>
      </c>
      <c r="C76" s="39" t="s">
        <v>1124</v>
      </c>
      <c r="D76" s="36"/>
      <c r="E76" s="36"/>
      <c r="F76" s="36"/>
      <c r="G76" s="36"/>
      <c r="H76" s="39" t="s">
        <v>1125</v>
      </c>
    </row>
    <row r="77" spans="1:8" x14ac:dyDescent="0.4">
      <c r="A77" s="312" t="s">
        <v>1098</v>
      </c>
      <c r="B77" s="36" t="s">
        <v>1152</v>
      </c>
      <c r="C77" s="39" t="s">
        <v>5</v>
      </c>
      <c r="D77" s="36"/>
      <c r="E77" s="36"/>
      <c r="F77" s="36"/>
      <c r="G77" s="36"/>
      <c r="H77" s="313">
        <v>78</v>
      </c>
    </row>
    <row r="78" spans="1:8" x14ac:dyDescent="0.4">
      <c r="A78" s="312" t="s">
        <v>1100</v>
      </c>
      <c r="B78" s="36" t="s">
        <v>1153</v>
      </c>
      <c r="C78" s="39" t="s">
        <v>5</v>
      </c>
      <c r="D78" s="36"/>
      <c r="E78" s="36"/>
      <c r="F78" s="36"/>
      <c r="G78" s="36"/>
      <c r="H78" s="313">
        <v>52</v>
      </c>
    </row>
    <row r="79" spans="1:8" x14ac:dyDescent="0.4">
      <c r="A79" s="312" t="s">
        <v>1103</v>
      </c>
      <c r="B79" s="36" t="s">
        <v>1154</v>
      </c>
      <c r="C79" s="39" t="s">
        <v>5</v>
      </c>
      <c r="D79" s="36"/>
      <c r="E79" s="36"/>
      <c r="F79" s="36"/>
      <c r="G79" s="36"/>
      <c r="H79" s="313">
        <v>58</v>
      </c>
    </row>
    <row r="80" spans="1:8" x14ac:dyDescent="0.4">
      <c r="A80" s="312" t="s">
        <v>1105</v>
      </c>
      <c r="B80" s="36" t="s">
        <v>1173</v>
      </c>
      <c r="C80" s="39" t="s">
        <v>5</v>
      </c>
      <c r="D80" s="36"/>
      <c r="E80" s="36"/>
      <c r="F80" s="36"/>
      <c r="G80" s="36"/>
      <c r="H80" s="313">
        <v>30</v>
      </c>
    </row>
    <row r="81" spans="1:8" x14ac:dyDescent="0.4">
      <c r="A81" s="312" t="s">
        <v>1107</v>
      </c>
      <c r="B81" s="36" t="s">
        <v>1174</v>
      </c>
      <c r="C81" s="39" t="s">
        <v>5</v>
      </c>
      <c r="D81" s="36"/>
      <c r="E81" s="36"/>
      <c r="F81" s="36"/>
      <c r="G81" s="36"/>
      <c r="H81" s="313">
        <v>35</v>
      </c>
    </row>
    <row r="82" spans="1:8" x14ac:dyDescent="0.4">
      <c r="A82" s="312" t="s">
        <v>1109</v>
      </c>
      <c r="B82" s="36" t="s">
        <v>1155</v>
      </c>
      <c r="C82" s="39" t="s">
        <v>5</v>
      </c>
      <c r="D82" s="36"/>
      <c r="E82" s="36"/>
      <c r="F82" s="36"/>
      <c r="G82" s="36"/>
      <c r="H82" s="313">
        <v>12</v>
      </c>
    </row>
    <row r="83" spans="1:8" x14ac:dyDescent="0.4">
      <c r="A83" s="312" t="s">
        <v>1111</v>
      </c>
      <c r="B83" s="36" t="s">
        <v>1175</v>
      </c>
      <c r="C83" s="39" t="s">
        <v>5</v>
      </c>
      <c r="D83" s="36"/>
      <c r="E83" s="36"/>
      <c r="F83" s="36"/>
      <c r="G83" s="36"/>
      <c r="H83" s="313">
        <v>20</v>
      </c>
    </row>
    <row r="84" spans="1:8" ht="27.6" x14ac:dyDescent="0.4">
      <c r="A84" s="312" t="s">
        <v>1113</v>
      </c>
      <c r="B84" s="36" t="s">
        <v>1156</v>
      </c>
      <c r="C84" s="39" t="s">
        <v>5</v>
      </c>
      <c r="D84" s="36"/>
      <c r="E84" s="36"/>
      <c r="F84" s="36"/>
      <c r="G84" s="36"/>
      <c r="H84" s="313">
        <v>78</v>
      </c>
    </row>
    <row r="85" spans="1:8" ht="27.6" x14ac:dyDescent="0.4">
      <c r="A85" s="312" t="s">
        <v>1115</v>
      </c>
      <c r="B85" s="36" t="s">
        <v>1157</v>
      </c>
      <c r="C85" s="39" t="s">
        <v>5</v>
      </c>
      <c r="D85" s="36"/>
      <c r="E85" s="36"/>
      <c r="F85" s="36"/>
      <c r="G85" s="36"/>
      <c r="H85" s="313">
        <v>52</v>
      </c>
    </row>
    <row r="86" spans="1:8" ht="27.6" x14ac:dyDescent="0.4">
      <c r="A86" s="312" t="s">
        <v>1117</v>
      </c>
      <c r="B86" s="36" t="s">
        <v>1158</v>
      </c>
      <c r="C86" s="39" t="s">
        <v>5</v>
      </c>
      <c r="D86" s="36"/>
      <c r="E86" s="36"/>
      <c r="F86" s="36"/>
      <c r="G86" s="36"/>
      <c r="H86" s="313">
        <v>58</v>
      </c>
    </row>
    <row r="87" spans="1:8" ht="27.6" x14ac:dyDescent="0.4">
      <c r="A87" s="312" t="s">
        <v>1119</v>
      </c>
      <c r="B87" s="36" t="s">
        <v>1176</v>
      </c>
      <c r="C87" s="39" t="s">
        <v>5</v>
      </c>
      <c r="D87" s="36"/>
      <c r="E87" s="36"/>
      <c r="F87" s="36"/>
      <c r="G87" s="36"/>
      <c r="H87" s="313">
        <v>30</v>
      </c>
    </row>
    <row r="88" spans="1:8" ht="27.6" x14ac:dyDescent="0.4">
      <c r="A88" s="312" t="s">
        <v>1139</v>
      </c>
      <c r="B88" s="36" t="s">
        <v>1177</v>
      </c>
      <c r="C88" s="39" t="s">
        <v>5</v>
      </c>
      <c r="D88" s="36"/>
      <c r="E88" s="36"/>
      <c r="F88" s="36"/>
      <c r="G88" s="36"/>
      <c r="H88" s="313">
        <v>35</v>
      </c>
    </row>
    <row r="89" spans="1:8" ht="27.6" x14ac:dyDescent="0.4">
      <c r="A89" s="312" t="s">
        <v>1141</v>
      </c>
      <c r="B89" s="36" t="s">
        <v>1159</v>
      </c>
      <c r="C89" s="39" t="s">
        <v>5</v>
      </c>
      <c r="D89" s="36"/>
      <c r="E89" s="36"/>
      <c r="F89" s="36"/>
      <c r="G89" s="36"/>
      <c r="H89" s="313">
        <v>12</v>
      </c>
    </row>
    <row r="90" spans="1:8" ht="27.6" x14ac:dyDescent="0.4">
      <c r="A90" s="312" t="s">
        <v>1142</v>
      </c>
      <c r="B90" s="36" t="s">
        <v>1178</v>
      </c>
      <c r="C90" s="39" t="s">
        <v>5</v>
      </c>
      <c r="D90" s="36"/>
      <c r="E90" s="36"/>
      <c r="F90" s="36"/>
      <c r="G90" s="36"/>
      <c r="H90" s="313">
        <v>20</v>
      </c>
    </row>
    <row r="91" spans="1:8" x14ac:dyDescent="0.4">
      <c r="A91" s="312" t="s">
        <v>1144</v>
      </c>
      <c r="B91" s="36" t="s">
        <v>1160</v>
      </c>
      <c r="C91" s="39" t="s">
        <v>5</v>
      </c>
      <c r="D91" s="36"/>
      <c r="E91" s="36"/>
      <c r="F91" s="36"/>
      <c r="G91" s="36"/>
      <c r="H91" s="313">
        <v>65</v>
      </c>
    </row>
    <row r="92" spans="1:8" x14ac:dyDescent="0.4">
      <c r="A92" s="312" t="s">
        <v>1146</v>
      </c>
      <c r="B92" s="36" t="s">
        <v>1161</v>
      </c>
      <c r="C92" s="39" t="s">
        <v>5</v>
      </c>
      <c r="D92" s="36"/>
      <c r="E92" s="36"/>
      <c r="F92" s="36"/>
      <c r="G92" s="36"/>
      <c r="H92" s="313">
        <v>65</v>
      </c>
    </row>
    <row r="93" spans="1:8" x14ac:dyDescent="0.4">
      <c r="A93" s="312" t="s">
        <v>1148</v>
      </c>
      <c r="B93" s="306" t="s">
        <v>1179</v>
      </c>
      <c r="C93" s="314" t="s">
        <v>557</v>
      </c>
      <c r="D93" s="36"/>
      <c r="E93" s="36"/>
      <c r="F93" s="36"/>
      <c r="G93" s="36"/>
      <c r="H93" s="313">
        <v>6</v>
      </c>
    </row>
    <row r="94" spans="1:8" x14ac:dyDescent="0.4">
      <c r="A94" s="312" t="s">
        <v>1170</v>
      </c>
      <c r="B94" s="306" t="s">
        <v>1180</v>
      </c>
      <c r="C94" s="314" t="s">
        <v>557</v>
      </c>
      <c r="D94" s="36"/>
      <c r="E94" s="36"/>
      <c r="F94" s="36"/>
      <c r="G94" s="36"/>
      <c r="H94" s="313">
        <v>40</v>
      </c>
    </row>
    <row r="95" spans="1:8" ht="27.6" x14ac:dyDescent="0.4">
      <c r="A95" s="312" t="s">
        <v>1181</v>
      </c>
      <c r="B95" s="306" t="s">
        <v>1182</v>
      </c>
      <c r="C95" s="314" t="s">
        <v>557</v>
      </c>
      <c r="D95" s="36"/>
      <c r="E95" s="36"/>
      <c r="F95" s="36"/>
      <c r="G95" s="36"/>
      <c r="H95" s="313">
        <v>1</v>
      </c>
    </row>
    <row r="96" spans="1:8" x14ac:dyDescent="0.4">
      <c r="A96" s="312" t="s">
        <v>1183</v>
      </c>
      <c r="B96" s="306" t="s">
        <v>1184</v>
      </c>
      <c r="C96" s="314" t="s">
        <v>557</v>
      </c>
      <c r="D96" s="36"/>
      <c r="E96" s="36"/>
      <c r="F96" s="36"/>
      <c r="G96" s="36"/>
      <c r="H96" s="313">
        <v>1</v>
      </c>
    </row>
    <row r="97" spans="1:8" x14ac:dyDescent="0.4">
      <c r="A97" s="312" t="s">
        <v>1185</v>
      </c>
      <c r="B97" s="306" t="s">
        <v>1186</v>
      </c>
      <c r="C97" s="314" t="s">
        <v>557</v>
      </c>
      <c r="D97" s="36"/>
      <c r="E97" s="36"/>
      <c r="F97" s="36"/>
      <c r="G97" s="36"/>
      <c r="H97" s="313">
        <v>20</v>
      </c>
    </row>
    <row r="98" spans="1:8" ht="27.6" x14ac:dyDescent="0.4">
      <c r="A98" s="312" t="s">
        <v>1187</v>
      </c>
      <c r="B98" s="306" t="s">
        <v>1188</v>
      </c>
      <c r="C98" s="39" t="s">
        <v>557</v>
      </c>
      <c r="D98" s="36"/>
      <c r="E98" s="36"/>
      <c r="F98" s="36"/>
      <c r="G98" s="36"/>
      <c r="H98" s="313">
        <v>1</v>
      </c>
    </row>
    <row r="99" spans="1:8" x14ac:dyDescent="0.4">
      <c r="A99" s="312" t="s">
        <v>1189</v>
      </c>
      <c r="B99" s="36" t="s">
        <v>1165</v>
      </c>
      <c r="C99" s="39" t="s">
        <v>557</v>
      </c>
      <c r="D99" s="36"/>
      <c r="E99" s="36"/>
      <c r="F99" s="36"/>
      <c r="G99" s="36"/>
      <c r="H99" s="313">
        <v>35</v>
      </c>
    </row>
    <row r="100" spans="1:8" x14ac:dyDescent="0.4">
      <c r="A100" s="312" t="s">
        <v>1190</v>
      </c>
      <c r="B100" s="36" t="s">
        <v>1191</v>
      </c>
      <c r="C100" s="39" t="s">
        <v>557</v>
      </c>
      <c r="D100" s="36"/>
      <c r="E100" s="36"/>
      <c r="F100" s="36"/>
      <c r="G100" s="36"/>
      <c r="H100" s="313">
        <v>1</v>
      </c>
    </row>
    <row r="101" spans="1:8" x14ac:dyDescent="0.4">
      <c r="A101" s="312" t="s">
        <v>1192</v>
      </c>
      <c r="B101" s="36" t="s">
        <v>1193</v>
      </c>
      <c r="C101" s="39" t="s">
        <v>557</v>
      </c>
      <c r="D101" s="36"/>
      <c r="E101" s="36"/>
      <c r="F101" s="36"/>
      <c r="G101" s="36"/>
      <c r="H101" s="313">
        <v>1</v>
      </c>
    </row>
    <row r="102" spans="1:8" x14ac:dyDescent="0.4">
      <c r="A102" s="312" t="s">
        <v>1194</v>
      </c>
      <c r="B102" s="36" t="s">
        <v>1195</v>
      </c>
      <c r="C102" s="39" t="s">
        <v>557</v>
      </c>
      <c r="D102" s="36"/>
      <c r="E102" s="36"/>
      <c r="F102" s="36"/>
      <c r="G102" s="36"/>
      <c r="H102" s="313">
        <v>5</v>
      </c>
    </row>
    <row r="103" spans="1:8" x14ac:dyDescent="0.4">
      <c r="A103" s="312" t="s">
        <v>1196</v>
      </c>
      <c r="B103" s="36" t="s">
        <v>1197</v>
      </c>
      <c r="C103" s="39" t="s">
        <v>557</v>
      </c>
      <c r="D103" s="36"/>
      <c r="E103" s="36"/>
      <c r="F103" s="36"/>
      <c r="G103" s="36"/>
      <c r="H103" s="313">
        <v>4</v>
      </c>
    </row>
    <row r="104" spans="1:8" x14ac:dyDescent="0.4">
      <c r="A104" s="312" t="s">
        <v>1198</v>
      </c>
      <c r="B104" s="36" t="s">
        <v>1199</v>
      </c>
      <c r="C104" s="39" t="s">
        <v>557</v>
      </c>
      <c r="D104" s="36"/>
      <c r="E104" s="36"/>
      <c r="F104" s="36"/>
      <c r="G104" s="36"/>
      <c r="H104" s="313">
        <v>1</v>
      </c>
    </row>
    <row r="105" spans="1:8" x14ac:dyDescent="0.4">
      <c r="A105" s="312" t="s">
        <v>1200</v>
      </c>
      <c r="B105" s="36" t="s">
        <v>1201</v>
      </c>
      <c r="C105" s="39" t="s">
        <v>557</v>
      </c>
      <c r="D105" s="36"/>
      <c r="E105" s="36"/>
      <c r="F105" s="36"/>
      <c r="G105" s="36"/>
      <c r="H105" s="313">
        <v>2</v>
      </c>
    </row>
    <row r="106" spans="1:8" x14ac:dyDescent="0.4">
      <c r="A106" s="312" t="s">
        <v>1202</v>
      </c>
      <c r="B106" s="36" t="s">
        <v>1203</v>
      </c>
      <c r="C106" s="39" t="s">
        <v>557</v>
      </c>
      <c r="D106" s="36"/>
      <c r="E106" s="36"/>
      <c r="F106" s="36"/>
      <c r="G106" s="36"/>
      <c r="H106" s="313">
        <v>1</v>
      </c>
    </row>
    <row r="107" spans="1:8" x14ac:dyDescent="0.4">
      <c r="A107" s="312" t="s">
        <v>1204</v>
      </c>
      <c r="B107" s="36" t="s">
        <v>1205</v>
      </c>
      <c r="C107" s="39" t="s">
        <v>557</v>
      </c>
      <c r="D107" s="36"/>
      <c r="E107" s="36"/>
      <c r="F107" s="36"/>
      <c r="G107" s="36"/>
      <c r="H107" s="313">
        <v>3</v>
      </c>
    </row>
    <row r="108" spans="1:8" x14ac:dyDescent="0.4">
      <c r="A108" s="312" t="s">
        <v>1206</v>
      </c>
      <c r="B108" s="36" t="s">
        <v>1207</v>
      </c>
      <c r="C108" s="39" t="s">
        <v>557</v>
      </c>
      <c r="D108" s="36"/>
      <c r="E108" s="36"/>
      <c r="F108" s="36"/>
      <c r="G108" s="36"/>
      <c r="H108" s="313">
        <v>2</v>
      </c>
    </row>
    <row r="109" spans="1:8" x14ac:dyDescent="0.4">
      <c r="A109" s="312" t="s">
        <v>1208</v>
      </c>
      <c r="B109" s="36" t="s">
        <v>1209</v>
      </c>
      <c r="C109" s="39" t="s">
        <v>557</v>
      </c>
      <c r="D109" s="36"/>
      <c r="E109" s="36"/>
      <c r="F109" s="36"/>
      <c r="G109" s="36"/>
      <c r="H109" s="313">
        <v>1</v>
      </c>
    </row>
    <row r="110" spans="1:8" x14ac:dyDescent="0.4">
      <c r="A110" s="312" t="s">
        <v>1210</v>
      </c>
      <c r="B110" s="36" t="s">
        <v>1211</v>
      </c>
      <c r="C110" s="39" t="s">
        <v>557</v>
      </c>
      <c r="D110" s="36"/>
      <c r="E110" s="36"/>
      <c r="F110" s="36"/>
      <c r="G110" s="36"/>
      <c r="H110" s="313">
        <v>1</v>
      </c>
    </row>
    <row r="111" spans="1:8" ht="27.6" x14ac:dyDescent="0.4">
      <c r="A111" s="312" t="s">
        <v>1212</v>
      </c>
      <c r="B111" s="36" t="s">
        <v>1169</v>
      </c>
      <c r="C111" s="39" t="s">
        <v>557</v>
      </c>
      <c r="D111" s="36"/>
      <c r="E111" s="36"/>
      <c r="F111" s="36"/>
      <c r="G111" s="36"/>
      <c r="H111" s="313">
        <v>20</v>
      </c>
    </row>
    <row r="112" spans="1:8" x14ac:dyDescent="0.4">
      <c r="A112" s="312" t="s">
        <v>1213</v>
      </c>
      <c r="B112" s="36" t="s">
        <v>1171</v>
      </c>
      <c r="C112" s="39" t="s">
        <v>557</v>
      </c>
      <c r="D112" s="36"/>
      <c r="E112" s="36"/>
      <c r="F112" s="36"/>
      <c r="G112" s="36"/>
      <c r="H112" s="313">
        <v>21</v>
      </c>
    </row>
    <row r="114" spans="1:8" x14ac:dyDescent="0.4">
      <c r="B114" s="290" t="s">
        <v>1214</v>
      </c>
      <c r="C114" s="224"/>
    </row>
    <row r="115" spans="1:8" x14ac:dyDescent="0.4">
      <c r="C115" s="224"/>
    </row>
    <row r="116" spans="1:8" ht="29.25" customHeight="1" x14ac:dyDescent="0.4">
      <c r="A116" s="315" t="s">
        <v>1090</v>
      </c>
      <c r="B116" s="281" t="s">
        <v>1091</v>
      </c>
      <c r="C116" s="285" t="s">
        <v>1092</v>
      </c>
      <c r="D116" s="285" t="s">
        <v>1093</v>
      </c>
      <c r="E116" s="285" t="s">
        <v>1094</v>
      </c>
      <c r="F116" s="285" t="s">
        <v>1095</v>
      </c>
      <c r="G116" s="316" t="s">
        <v>1096</v>
      </c>
      <c r="H116" s="285" t="s">
        <v>1097</v>
      </c>
    </row>
    <row r="117" spans="1:8" ht="27.6" x14ac:dyDescent="0.4">
      <c r="A117" s="307" t="s">
        <v>1098</v>
      </c>
      <c r="B117" s="317" t="s">
        <v>1215</v>
      </c>
      <c r="C117" s="281" t="s">
        <v>2</v>
      </c>
      <c r="D117" s="282">
        <v>140</v>
      </c>
      <c r="E117" s="283">
        <v>0.95</v>
      </c>
      <c r="F117" s="281">
        <v>1.4</v>
      </c>
      <c r="G117" s="281">
        <v>1</v>
      </c>
      <c r="H117" s="310">
        <f>D117*E117*F117*G117</f>
        <v>186.2</v>
      </c>
    </row>
    <row r="118" spans="1:8" ht="27.6" x14ac:dyDescent="0.4">
      <c r="A118" s="307" t="s">
        <v>1100</v>
      </c>
      <c r="B118" s="317" t="s">
        <v>1101</v>
      </c>
      <c r="C118" s="281" t="s">
        <v>1102</v>
      </c>
      <c r="D118" s="282">
        <v>140</v>
      </c>
      <c r="E118" s="283">
        <v>0.95</v>
      </c>
      <c r="F118" s="281">
        <v>0.1</v>
      </c>
      <c r="G118" s="281">
        <v>1</v>
      </c>
      <c r="H118" s="310">
        <f>D118*E118*F118*G118</f>
        <v>13.3</v>
      </c>
    </row>
    <row r="119" spans="1:8" ht="27.6" x14ac:dyDescent="0.4">
      <c r="A119" s="307" t="s">
        <v>1103</v>
      </c>
      <c r="B119" s="317" t="s">
        <v>1104</v>
      </c>
      <c r="C119" s="281" t="s">
        <v>1102</v>
      </c>
      <c r="D119" s="282">
        <v>140</v>
      </c>
      <c r="E119" s="283">
        <v>0.68</v>
      </c>
      <c r="F119" s="281">
        <v>0.2</v>
      </c>
      <c r="G119" s="281">
        <v>1</v>
      </c>
      <c r="H119" s="310">
        <f>D119*E119*F119*G119</f>
        <v>19.040000000000003</v>
      </c>
    </row>
    <row r="120" spans="1:8" x14ac:dyDescent="0.4">
      <c r="A120" s="307" t="s">
        <v>1105</v>
      </c>
      <c r="B120" s="317" t="s">
        <v>1106</v>
      </c>
      <c r="C120" s="281" t="s">
        <v>1102</v>
      </c>
      <c r="D120" s="281"/>
      <c r="E120" s="283"/>
      <c r="F120" s="281"/>
      <c r="G120" s="281"/>
      <c r="H120" s="310">
        <v>153.66</v>
      </c>
    </row>
    <row r="121" spans="1:8" ht="27.6" x14ac:dyDescent="0.4">
      <c r="A121" s="307" t="s">
        <v>1107</v>
      </c>
      <c r="B121" s="317" t="s">
        <v>1216</v>
      </c>
      <c r="C121" s="281" t="s">
        <v>1102</v>
      </c>
      <c r="D121" s="281"/>
      <c r="E121" s="283"/>
      <c r="F121" s="281"/>
      <c r="G121" s="281"/>
      <c r="H121" s="310">
        <v>32.340000000000003</v>
      </c>
    </row>
    <row r="122" spans="1:8" x14ac:dyDescent="0.4">
      <c r="A122" s="307" t="s">
        <v>1109</v>
      </c>
      <c r="B122" s="36" t="s">
        <v>1217</v>
      </c>
      <c r="C122" s="281" t="s">
        <v>1121</v>
      </c>
      <c r="D122" s="285"/>
      <c r="E122" s="283"/>
      <c r="F122" s="281"/>
      <c r="G122" s="281"/>
      <c r="H122" s="310">
        <v>117</v>
      </c>
    </row>
    <row r="123" spans="1:8" x14ac:dyDescent="0.4">
      <c r="A123" s="307" t="s">
        <v>1111</v>
      </c>
      <c r="B123" s="36" t="s">
        <v>1218</v>
      </c>
      <c r="C123" s="281" t="s">
        <v>1121</v>
      </c>
      <c r="D123" s="285"/>
      <c r="E123" s="283"/>
      <c r="F123" s="281"/>
      <c r="G123" s="281"/>
      <c r="H123" s="310">
        <v>5</v>
      </c>
    </row>
    <row r="124" spans="1:8" x14ac:dyDescent="0.4">
      <c r="A124" s="307" t="s">
        <v>1113</v>
      </c>
      <c r="B124" s="36" t="s">
        <v>1219</v>
      </c>
      <c r="C124" s="281" t="s">
        <v>1121</v>
      </c>
      <c r="D124" s="285"/>
      <c r="E124" s="283"/>
      <c r="F124" s="281"/>
      <c r="G124" s="281"/>
      <c r="H124" s="310">
        <v>127</v>
      </c>
    </row>
    <row r="125" spans="1:8" x14ac:dyDescent="0.4">
      <c r="A125" s="307" t="s">
        <v>1115</v>
      </c>
      <c r="B125" s="36" t="s">
        <v>1220</v>
      </c>
      <c r="C125" s="281" t="s">
        <v>1121</v>
      </c>
      <c r="D125" s="285"/>
      <c r="E125" s="283"/>
      <c r="F125" s="281"/>
      <c r="G125" s="281"/>
      <c r="H125" s="310">
        <v>127</v>
      </c>
    </row>
    <row r="126" spans="1:8" ht="27.6" x14ac:dyDescent="0.4">
      <c r="A126" s="307" t="s">
        <v>1117</v>
      </c>
      <c r="B126" s="36" t="s">
        <v>1221</v>
      </c>
      <c r="C126" s="281" t="s">
        <v>557</v>
      </c>
      <c r="D126" s="285"/>
      <c r="E126" s="283"/>
      <c r="F126" s="281"/>
      <c r="G126" s="281"/>
      <c r="H126" s="310">
        <v>1</v>
      </c>
    </row>
    <row r="127" spans="1:8" ht="27.6" x14ac:dyDescent="0.4">
      <c r="A127" s="307" t="s">
        <v>1119</v>
      </c>
      <c r="B127" s="317" t="s">
        <v>1222</v>
      </c>
      <c r="C127" s="281" t="s">
        <v>1121</v>
      </c>
      <c r="D127" s="285"/>
      <c r="E127" s="283"/>
      <c r="F127" s="281"/>
      <c r="G127" s="281"/>
      <c r="H127" s="310">
        <v>140</v>
      </c>
    </row>
    <row r="130" spans="1:8" ht="14.7" x14ac:dyDescent="0.4">
      <c r="B130" s="278" t="s">
        <v>1265</v>
      </c>
      <c r="C130" s="224"/>
    </row>
    <row r="132" spans="1:8" ht="27.75" customHeight="1" x14ac:dyDescent="0.4">
      <c r="A132" s="216" t="s">
        <v>7</v>
      </c>
      <c r="B132" s="39" t="s">
        <v>1123</v>
      </c>
      <c r="C132" s="39" t="s">
        <v>1124</v>
      </c>
      <c r="D132" s="130"/>
      <c r="E132" s="130"/>
      <c r="F132" s="130"/>
      <c r="G132" s="130"/>
      <c r="H132" s="39" t="s">
        <v>1125</v>
      </c>
    </row>
    <row r="133" spans="1:8" x14ac:dyDescent="0.4">
      <c r="A133" s="307" t="s">
        <v>1098</v>
      </c>
      <c r="B133" s="306" t="s">
        <v>1223</v>
      </c>
      <c r="C133" s="28" t="s">
        <v>1121</v>
      </c>
      <c r="D133" s="130"/>
      <c r="E133" s="130"/>
      <c r="F133" s="130"/>
      <c r="G133" s="130"/>
      <c r="H133" s="291">
        <v>20</v>
      </c>
    </row>
    <row r="134" spans="1:8" x14ac:dyDescent="0.4">
      <c r="A134" s="307" t="s">
        <v>1100</v>
      </c>
      <c r="B134" s="306" t="s">
        <v>1224</v>
      </c>
      <c r="C134" s="28" t="s">
        <v>1121</v>
      </c>
      <c r="D134" s="130"/>
      <c r="E134" s="130"/>
      <c r="F134" s="130"/>
      <c r="G134" s="130"/>
      <c r="H134" s="291">
        <v>35</v>
      </c>
    </row>
    <row r="135" spans="1:8" x14ac:dyDescent="0.4">
      <c r="A135" s="307" t="s">
        <v>1103</v>
      </c>
      <c r="B135" s="306" t="s">
        <v>1225</v>
      </c>
      <c r="C135" s="28" t="s">
        <v>1121</v>
      </c>
      <c r="D135" s="130"/>
      <c r="E135" s="130"/>
      <c r="F135" s="130"/>
      <c r="G135" s="130"/>
      <c r="H135" s="291">
        <v>30</v>
      </c>
    </row>
    <row r="136" spans="1:8" x14ac:dyDescent="0.4">
      <c r="A136" s="307" t="s">
        <v>1105</v>
      </c>
      <c r="B136" s="36" t="s">
        <v>1226</v>
      </c>
      <c r="C136" s="28" t="s">
        <v>5</v>
      </c>
      <c r="D136" s="130"/>
      <c r="E136" s="130"/>
      <c r="F136" s="130"/>
      <c r="G136" s="130"/>
      <c r="H136" s="291">
        <v>8</v>
      </c>
    </row>
    <row r="137" spans="1:8" x14ac:dyDescent="0.4">
      <c r="A137" s="307" t="s">
        <v>1107</v>
      </c>
      <c r="B137" s="36" t="s">
        <v>1161</v>
      </c>
      <c r="C137" s="28" t="s">
        <v>5</v>
      </c>
      <c r="D137" s="130"/>
      <c r="E137" s="130"/>
      <c r="F137" s="130"/>
      <c r="G137" s="130"/>
      <c r="H137" s="291">
        <v>8</v>
      </c>
    </row>
    <row r="138" spans="1:8" x14ac:dyDescent="0.4">
      <c r="A138" s="307" t="s">
        <v>1109</v>
      </c>
      <c r="B138" s="306" t="s">
        <v>1227</v>
      </c>
      <c r="C138" s="28" t="s">
        <v>557</v>
      </c>
      <c r="D138" s="130"/>
      <c r="E138" s="130"/>
      <c r="F138" s="130"/>
      <c r="G138" s="130"/>
      <c r="H138" s="291">
        <v>6</v>
      </c>
    </row>
    <row r="139" spans="1:8" x14ac:dyDescent="0.4">
      <c r="A139" s="307" t="s">
        <v>1111</v>
      </c>
      <c r="B139" s="306" t="s">
        <v>1228</v>
      </c>
      <c r="C139" s="28" t="s">
        <v>557</v>
      </c>
      <c r="D139" s="130"/>
      <c r="E139" s="130"/>
      <c r="F139" s="130"/>
      <c r="G139" s="130"/>
      <c r="H139" s="291">
        <v>1</v>
      </c>
    </row>
    <row r="140" spans="1:8" ht="27.6" x14ac:dyDescent="0.4">
      <c r="A140" s="307" t="s">
        <v>1113</v>
      </c>
      <c r="B140" s="306" t="s">
        <v>1229</v>
      </c>
      <c r="C140" s="28" t="s">
        <v>557</v>
      </c>
      <c r="D140" s="130"/>
      <c r="E140" s="130"/>
      <c r="F140" s="130"/>
      <c r="G140" s="130"/>
      <c r="H140" s="291">
        <v>2</v>
      </c>
    </row>
    <row r="141" spans="1:8" ht="27.6" x14ac:dyDescent="0.4">
      <c r="A141" s="307" t="s">
        <v>1115</v>
      </c>
      <c r="B141" s="306" t="s">
        <v>1230</v>
      </c>
      <c r="C141" s="28" t="s">
        <v>557</v>
      </c>
      <c r="D141" s="130"/>
      <c r="E141" s="130"/>
      <c r="F141" s="130"/>
      <c r="G141" s="130"/>
      <c r="H141" s="291">
        <v>2</v>
      </c>
    </row>
    <row r="142" spans="1:8" x14ac:dyDescent="0.4">
      <c r="A142" s="307" t="s">
        <v>1117</v>
      </c>
      <c r="B142" s="306" t="s">
        <v>1231</v>
      </c>
      <c r="C142" s="28" t="s">
        <v>557</v>
      </c>
      <c r="D142" s="130"/>
      <c r="E142" s="130"/>
      <c r="F142" s="130"/>
      <c r="G142" s="130"/>
      <c r="H142" s="291">
        <v>4</v>
      </c>
    </row>
    <row r="143" spans="1:8" x14ac:dyDescent="0.4">
      <c r="A143" s="307" t="s">
        <v>1119</v>
      </c>
      <c r="B143" s="306" t="s">
        <v>1232</v>
      </c>
      <c r="C143" s="28" t="s">
        <v>557</v>
      </c>
      <c r="D143" s="130"/>
      <c r="E143" s="130"/>
      <c r="F143" s="130"/>
      <c r="G143" s="130"/>
      <c r="H143" s="291">
        <v>2</v>
      </c>
    </row>
    <row r="144" spans="1:8" x14ac:dyDescent="0.4">
      <c r="A144" s="307" t="s">
        <v>1139</v>
      </c>
      <c r="B144" s="306" t="s">
        <v>1233</v>
      </c>
      <c r="C144" s="28" t="s">
        <v>557</v>
      </c>
      <c r="D144" s="130"/>
      <c r="E144" s="130"/>
      <c r="F144" s="130"/>
      <c r="G144" s="130"/>
      <c r="H144" s="291">
        <v>1</v>
      </c>
    </row>
    <row r="145" spans="1:8" ht="27.6" x14ac:dyDescent="0.4">
      <c r="A145" s="307" t="s">
        <v>1141</v>
      </c>
      <c r="B145" s="306" t="s">
        <v>1234</v>
      </c>
      <c r="C145" s="28" t="s">
        <v>557</v>
      </c>
      <c r="D145" s="130"/>
      <c r="E145" s="130"/>
      <c r="F145" s="130"/>
      <c r="G145" s="130"/>
      <c r="H145" s="291">
        <v>1</v>
      </c>
    </row>
    <row r="146" spans="1:8" x14ac:dyDescent="0.4">
      <c r="A146" s="307" t="s">
        <v>1142</v>
      </c>
      <c r="B146" s="306" t="s">
        <v>1235</v>
      </c>
      <c r="C146" s="28" t="s">
        <v>557</v>
      </c>
      <c r="D146" s="130"/>
      <c r="E146" s="130"/>
      <c r="F146" s="130"/>
      <c r="G146" s="130"/>
      <c r="H146" s="291">
        <v>1</v>
      </c>
    </row>
    <row r="147" spans="1:8" x14ac:dyDescent="0.4">
      <c r="A147" s="307" t="s">
        <v>1144</v>
      </c>
      <c r="B147" s="306" t="s">
        <v>1236</v>
      </c>
      <c r="C147" s="28" t="s">
        <v>557</v>
      </c>
      <c r="D147" s="130"/>
      <c r="E147" s="130"/>
      <c r="F147" s="130"/>
      <c r="G147" s="130"/>
      <c r="H147" s="291">
        <v>2</v>
      </c>
    </row>
    <row r="148" spans="1:8" x14ac:dyDescent="0.4">
      <c r="A148" s="307" t="s">
        <v>1146</v>
      </c>
      <c r="B148" s="306" t="s">
        <v>1237</v>
      </c>
      <c r="C148" s="28" t="s">
        <v>557</v>
      </c>
      <c r="D148" s="130"/>
      <c r="E148" s="130"/>
      <c r="F148" s="130"/>
      <c r="G148" s="130"/>
      <c r="H148" s="291">
        <v>10</v>
      </c>
    </row>
    <row r="151" spans="1:8" ht="14.7" x14ac:dyDescent="0.4">
      <c r="B151" s="278" t="s">
        <v>1266</v>
      </c>
      <c r="C151" s="224"/>
    </row>
    <row r="153" spans="1:8" ht="29.25" customHeight="1" x14ac:dyDescent="0.4">
      <c r="A153" s="216" t="s">
        <v>7</v>
      </c>
      <c r="B153" s="39" t="s">
        <v>1123</v>
      </c>
      <c r="C153" s="39" t="s">
        <v>1124</v>
      </c>
      <c r="D153" s="130"/>
      <c r="E153" s="130"/>
      <c r="F153" s="130"/>
      <c r="G153" s="130"/>
      <c r="H153" s="39" t="s">
        <v>1125</v>
      </c>
    </row>
    <row r="154" spans="1:8" x14ac:dyDescent="0.4">
      <c r="A154" s="307" t="s">
        <v>1098</v>
      </c>
      <c r="B154" s="306" t="s">
        <v>1223</v>
      </c>
      <c r="C154" s="28" t="s">
        <v>1121</v>
      </c>
      <c r="D154" s="130"/>
      <c r="E154" s="130"/>
      <c r="F154" s="130"/>
      <c r="G154" s="130"/>
      <c r="H154" s="291">
        <v>60</v>
      </c>
    </row>
    <row r="155" spans="1:8" x14ac:dyDescent="0.4">
      <c r="A155" s="307" t="s">
        <v>1100</v>
      </c>
      <c r="B155" s="306" t="s">
        <v>1238</v>
      </c>
      <c r="C155" s="28" t="s">
        <v>1121</v>
      </c>
      <c r="D155" s="130"/>
      <c r="E155" s="130"/>
      <c r="F155" s="130"/>
      <c r="G155" s="130"/>
      <c r="H155" s="291">
        <v>60</v>
      </c>
    </row>
    <row r="156" spans="1:8" x14ac:dyDescent="0.4">
      <c r="A156" s="307" t="s">
        <v>1103</v>
      </c>
      <c r="B156" s="306" t="s">
        <v>1224</v>
      </c>
      <c r="C156" s="28" t="s">
        <v>1121</v>
      </c>
      <c r="D156" s="130"/>
      <c r="E156" s="130"/>
      <c r="F156" s="130"/>
      <c r="G156" s="130"/>
      <c r="H156" s="291">
        <v>80</v>
      </c>
    </row>
    <row r="157" spans="1:8" x14ac:dyDescent="0.4">
      <c r="A157" s="307" t="s">
        <v>1105</v>
      </c>
      <c r="B157" s="306" t="s">
        <v>1225</v>
      </c>
      <c r="C157" s="28" t="s">
        <v>1121</v>
      </c>
      <c r="D157" s="130"/>
      <c r="E157" s="130"/>
      <c r="F157" s="130"/>
      <c r="G157" s="130"/>
      <c r="H157" s="291">
        <v>80</v>
      </c>
    </row>
    <row r="158" spans="1:8" x14ac:dyDescent="0.4">
      <c r="A158" s="307" t="s">
        <v>1107</v>
      </c>
      <c r="B158" s="306" t="s">
        <v>1239</v>
      </c>
      <c r="C158" s="28" t="s">
        <v>1121</v>
      </c>
      <c r="D158" s="130"/>
      <c r="E158" s="130"/>
      <c r="F158" s="130"/>
      <c r="G158" s="130"/>
      <c r="H158" s="291">
        <v>6</v>
      </c>
    </row>
    <row r="159" spans="1:8" x14ac:dyDescent="0.4">
      <c r="A159" s="307" t="s">
        <v>1109</v>
      </c>
      <c r="B159" s="36" t="s">
        <v>1226</v>
      </c>
      <c r="C159" s="28" t="s">
        <v>5</v>
      </c>
      <c r="D159" s="130"/>
      <c r="E159" s="130"/>
      <c r="F159" s="130"/>
      <c r="G159" s="130"/>
      <c r="H159" s="291">
        <v>16</v>
      </c>
    </row>
    <row r="160" spans="1:8" x14ac:dyDescent="0.4">
      <c r="A160" s="307" t="s">
        <v>1111</v>
      </c>
      <c r="B160" s="36" t="s">
        <v>1161</v>
      </c>
      <c r="C160" s="28" t="s">
        <v>5</v>
      </c>
      <c r="D160" s="130"/>
      <c r="E160" s="130"/>
      <c r="F160" s="130"/>
      <c r="G160" s="130"/>
      <c r="H160" s="291">
        <v>16</v>
      </c>
    </row>
    <row r="161" spans="1:8" x14ac:dyDescent="0.4">
      <c r="A161" s="307" t="s">
        <v>1113</v>
      </c>
      <c r="B161" s="306" t="s">
        <v>1227</v>
      </c>
      <c r="C161" s="28" t="s">
        <v>557</v>
      </c>
      <c r="D161" s="130"/>
      <c r="E161" s="130"/>
      <c r="F161" s="130"/>
      <c r="G161" s="130"/>
      <c r="H161" s="291">
        <v>24</v>
      </c>
    </row>
    <row r="162" spans="1:8" x14ac:dyDescent="0.4">
      <c r="A162" s="307" t="s">
        <v>1115</v>
      </c>
      <c r="B162" s="306" t="s">
        <v>1240</v>
      </c>
      <c r="C162" s="28" t="s">
        <v>557</v>
      </c>
      <c r="D162" s="130"/>
      <c r="E162" s="130"/>
      <c r="F162" s="130"/>
      <c r="G162" s="130"/>
      <c r="H162" s="291">
        <v>25</v>
      </c>
    </row>
    <row r="163" spans="1:8" x14ac:dyDescent="0.4">
      <c r="A163" s="307" t="s">
        <v>1117</v>
      </c>
      <c r="B163" s="306" t="s">
        <v>1241</v>
      </c>
      <c r="C163" s="28" t="s">
        <v>557</v>
      </c>
      <c r="D163" s="130"/>
      <c r="E163" s="130"/>
      <c r="F163" s="130"/>
      <c r="G163" s="130"/>
      <c r="H163" s="291">
        <v>5</v>
      </c>
    </row>
    <row r="164" spans="1:8" x14ac:dyDescent="0.4">
      <c r="A164" s="307" t="s">
        <v>1119</v>
      </c>
      <c r="B164" s="306" t="s">
        <v>1242</v>
      </c>
      <c r="C164" s="28" t="s">
        <v>557</v>
      </c>
      <c r="D164" s="130"/>
      <c r="E164" s="130"/>
      <c r="F164" s="130"/>
      <c r="G164" s="130"/>
      <c r="H164" s="291">
        <v>3</v>
      </c>
    </row>
    <row r="165" spans="1:8" x14ac:dyDescent="0.4">
      <c r="A165" s="307" t="s">
        <v>1139</v>
      </c>
      <c r="B165" s="306" t="s">
        <v>1243</v>
      </c>
      <c r="C165" s="28" t="s">
        <v>557</v>
      </c>
      <c r="D165" s="130"/>
      <c r="E165" s="130"/>
      <c r="F165" s="130"/>
      <c r="G165" s="130"/>
      <c r="H165" s="291">
        <v>7</v>
      </c>
    </row>
    <row r="166" spans="1:8" x14ac:dyDescent="0.4">
      <c r="A166" s="307" t="s">
        <v>1141</v>
      </c>
      <c r="B166" s="306" t="s">
        <v>1231</v>
      </c>
      <c r="C166" s="28" t="s">
        <v>557</v>
      </c>
      <c r="D166" s="130"/>
      <c r="E166" s="130"/>
      <c r="F166" s="130"/>
      <c r="G166" s="130"/>
      <c r="H166" s="291">
        <v>8</v>
      </c>
    </row>
    <row r="167" spans="1:8" x14ac:dyDescent="0.4">
      <c r="A167" s="307" t="s">
        <v>1142</v>
      </c>
      <c r="B167" s="306" t="s">
        <v>1232</v>
      </c>
      <c r="C167" s="28" t="s">
        <v>557</v>
      </c>
      <c r="D167" s="130"/>
      <c r="E167" s="130"/>
      <c r="F167" s="130"/>
      <c r="G167" s="130"/>
      <c r="H167" s="291">
        <v>2</v>
      </c>
    </row>
    <row r="168" spans="1:8" x14ac:dyDescent="0.4">
      <c r="A168" s="307" t="s">
        <v>1144</v>
      </c>
      <c r="B168" s="306" t="s">
        <v>1233</v>
      </c>
      <c r="C168" s="28" t="s">
        <v>557</v>
      </c>
      <c r="D168" s="130"/>
      <c r="E168" s="130"/>
      <c r="F168" s="130"/>
      <c r="G168" s="130"/>
      <c r="H168" s="291">
        <v>2</v>
      </c>
    </row>
    <row r="169" spans="1:8" ht="27.6" x14ac:dyDescent="0.4">
      <c r="A169" s="307" t="s">
        <v>1146</v>
      </c>
      <c r="B169" s="306" t="s">
        <v>1234</v>
      </c>
      <c r="C169" s="28" t="s">
        <v>557</v>
      </c>
      <c r="D169" s="130"/>
      <c r="E169" s="130"/>
      <c r="F169" s="130"/>
      <c r="G169" s="130"/>
      <c r="H169" s="291">
        <v>11</v>
      </c>
    </row>
    <row r="170" spans="1:8" ht="27.6" x14ac:dyDescent="0.4">
      <c r="A170" s="307" t="s">
        <v>1148</v>
      </c>
      <c r="B170" s="306" t="s">
        <v>1244</v>
      </c>
      <c r="C170" s="28" t="s">
        <v>557</v>
      </c>
      <c r="D170" s="130"/>
      <c r="E170" s="130"/>
      <c r="F170" s="130"/>
      <c r="G170" s="130"/>
      <c r="H170" s="291">
        <v>6</v>
      </c>
    </row>
    <row r="171" spans="1:8" x14ac:dyDescent="0.4">
      <c r="A171" s="307" t="s">
        <v>1170</v>
      </c>
      <c r="B171" s="306" t="s">
        <v>1235</v>
      </c>
      <c r="C171" s="28" t="s">
        <v>557</v>
      </c>
      <c r="D171" s="130"/>
      <c r="E171" s="130"/>
      <c r="F171" s="130"/>
      <c r="G171" s="130"/>
      <c r="H171" s="291">
        <v>2</v>
      </c>
    </row>
    <row r="172" spans="1:8" x14ac:dyDescent="0.4">
      <c r="A172" s="307" t="s">
        <v>1181</v>
      </c>
      <c r="B172" s="306" t="s">
        <v>1245</v>
      </c>
      <c r="C172" s="28" t="s">
        <v>557</v>
      </c>
      <c r="D172" s="130"/>
      <c r="E172" s="130"/>
      <c r="F172" s="130"/>
      <c r="G172" s="130"/>
      <c r="H172" s="291">
        <v>10</v>
      </c>
    </row>
    <row r="173" spans="1:8" x14ac:dyDescent="0.4">
      <c r="A173" s="307" t="s">
        <v>1183</v>
      </c>
      <c r="B173" s="306" t="s">
        <v>1236</v>
      </c>
      <c r="C173" s="28" t="s">
        <v>557</v>
      </c>
      <c r="D173" s="130"/>
      <c r="E173" s="130"/>
      <c r="F173" s="130"/>
      <c r="G173" s="130"/>
      <c r="H173" s="291">
        <v>20</v>
      </c>
    </row>
    <row r="174" spans="1:8" x14ac:dyDescent="0.4">
      <c r="C174" s="224"/>
    </row>
    <row r="175" spans="1:8" ht="14.7" x14ac:dyDescent="0.4">
      <c r="B175" s="278" t="s">
        <v>1246</v>
      </c>
      <c r="C175" s="293"/>
      <c r="D175" s="293"/>
      <c r="E175" s="293"/>
      <c r="F175" s="293"/>
    </row>
    <row r="176" spans="1:8" ht="14.1" thickBot="1" x14ac:dyDescent="0.45">
      <c r="B176" s="293"/>
      <c r="C176" s="293"/>
      <c r="D176" s="293"/>
      <c r="E176" s="293"/>
      <c r="F176" s="293"/>
    </row>
    <row r="177" spans="1:8" ht="30" customHeight="1" thickBot="1" x14ac:dyDescent="0.45">
      <c r="A177" s="294" t="s">
        <v>1090</v>
      </c>
      <c r="B177" s="275" t="s">
        <v>1091</v>
      </c>
      <c r="C177" s="274" t="s">
        <v>1247</v>
      </c>
      <c r="D177" s="275" t="s">
        <v>1248</v>
      </c>
      <c r="E177" s="275" t="s">
        <v>1094</v>
      </c>
      <c r="F177" s="275" t="s">
        <v>1095</v>
      </c>
      <c r="G177" s="275" t="s">
        <v>1096</v>
      </c>
      <c r="H177" s="318" t="s">
        <v>1097</v>
      </c>
    </row>
    <row r="178" spans="1:8" ht="41.4" x14ac:dyDescent="0.4">
      <c r="A178" s="296">
        <v>1</v>
      </c>
      <c r="B178" s="317" t="s">
        <v>1267</v>
      </c>
      <c r="C178" s="285"/>
      <c r="D178" s="285"/>
      <c r="E178" s="285"/>
      <c r="F178" s="285"/>
      <c r="G178" s="285"/>
      <c r="H178" s="297"/>
    </row>
    <row r="179" spans="1:8" x14ac:dyDescent="0.4">
      <c r="A179" s="295"/>
      <c r="B179" s="317" t="s">
        <v>1249</v>
      </c>
      <c r="C179" s="281" t="s">
        <v>1102</v>
      </c>
      <c r="D179" s="283">
        <v>130</v>
      </c>
      <c r="E179" s="283">
        <v>1.58</v>
      </c>
      <c r="F179" s="283">
        <v>1.17</v>
      </c>
      <c r="G179" s="281">
        <v>1</v>
      </c>
      <c r="H179" s="284">
        <f>D179*E179*F179*G179</f>
        <v>240.31799999999998</v>
      </c>
    </row>
    <row r="180" spans="1:8" x14ac:dyDescent="0.4">
      <c r="A180" s="296"/>
      <c r="B180" s="273"/>
      <c r="C180" s="281" t="s">
        <v>2</v>
      </c>
      <c r="D180" s="283">
        <v>78</v>
      </c>
      <c r="E180" s="283">
        <v>1.58</v>
      </c>
      <c r="F180" s="283">
        <v>1.42</v>
      </c>
      <c r="G180" s="281">
        <v>1</v>
      </c>
      <c r="H180" s="284">
        <f>D180*E180*F180*G180</f>
        <v>175.0008</v>
      </c>
    </row>
    <row r="181" spans="1:8" x14ac:dyDescent="0.4">
      <c r="A181" s="296"/>
      <c r="B181" s="273"/>
      <c r="C181" s="281" t="s">
        <v>2</v>
      </c>
      <c r="D181" s="283">
        <v>75</v>
      </c>
      <c r="E181" s="283">
        <v>1.3</v>
      </c>
      <c r="F181" s="283">
        <v>1.25</v>
      </c>
      <c r="G181" s="281">
        <v>1</v>
      </c>
      <c r="H181" s="284">
        <f>D181*E181*F181*G181</f>
        <v>121.875</v>
      </c>
    </row>
    <row r="182" spans="1:8" x14ac:dyDescent="0.4">
      <c r="A182" s="296"/>
      <c r="B182" s="273"/>
      <c r="C182" s="281" t="s">
        <v>2</v>
      </c>
      <c r="D182" s="283">
        <v>19</v>
      </c>
      <c r="E182" s="283">
        <v>1.25</v>
      </c>
      <c r="F182" s="283">
        <v>1.1499999999999999</v>
      </c>
      <c r="G182" s="281">
        <v>1</v>
      </c>
      <c r="H182" s="284">
        <f>D182*E182*F182*G182</f>
        <v>27.312499999999996</v>
      </c>
    </row>
    <row r="183" spans="1:8" x14ac:dyDescent="0.4">
      <c r="B183" s="207"/>
      <c r="D183" s="249"/>
      <c r="F183" s="298" t="s">
        <v>1250</v>
      </c>
      <c r="G183" s="267"/>
      <c r="H183" s="268">
        <f xml:space="preserve"> H179+H180+H181+H182</f>
        <v>564.50630000000001</v>
      </c>
    </row>
    <row r="184" spans="1:8" ht="27.6" x14ac:dyDescent="0.4">
      <c r="A184" s="296">
        <v>2</v>
      </c>
      <c r="B184" s="317" t="s">
        <v>1101</v>
      </c>
      <c r="C184" s="281" t="s">
        <v>1102</v>
      </c>
      <c r="D184" s="283">
        <v>302</v>
      </c>
      <c r="E184" s="283">
        <v>1.35</v>
      </c>
      <c r="F184" s="321">
        <v>0.1</v>
      </c>
      <c r="G184" s="281">
        <v>1</v>
      </c>
      <c r="H184" s="284">
        <f>D184*E184*F184*G184</f>
        <v>40.77000000000001</v>
      </c>
    </row>
    <row r="185" spans="1:8" x14ac:dyDescent="0.4">
      <c r="A185" s="296">
        <v>3</v>
      </c>
      <c r="B185" s="273" t="s">
        <v>1251</v>
      </c>
      <c r="C185" s="281" t="s">
        <v>1102</v>
      </c>
      <c r="D185" s="281"/>
      <c r="E185" s="283"/>
      <c r="F185" s="281"/>
      <c r="G185" s="281"/>
      <c r="H185" s="284">
        <v>523.74</v>
      </c>
    </row>
    <row r="186" spans="1:8" x14ac:dyDescent="0.4">
      <c r="A186" s="296">
        <v>4</v>
      </c>
      <c r="B186" s="273" t="s">
        <v>1252</v>
      </c>
      <c r="C186" s="281" t="s">
        <v>1102</v>
      </c>
      <c r="D186" s="281"/>
      <c r="E186" s="283"/>
      <c r="F186" s="281"/>
      <c r="G186" s="281"/>
      <c r="H186" s="284">
        <v>523.74</v>
      </c>
    </row>
    <row r="187" spans="1:8" x14ac:dyDescent="0.4">
      <c r="A187" s="296">
        <v>5</v>
      </c>
      <c r="B187" s="317" t="s">
        <v>1253</v>
      </c>
      <c r="C187" s="281" t="s">
        <v>1121</v>
      </c>
      <c r="D187" s="285"/>
      <c r="E187" s="283"/>
      <c r="F187" s="281"/>
      <c r="G187" s="281"/>
      <c r="H187" s="299">
        <v>220</v>
      </c>
    </row>
    <row r="188" spans="1:8" x14ac:dyDescent="0.4">
      <c r="A188" s="296">
        <v>6</v>
      </c>
      <c r="B188" s="317" t="s">
        <v>1254</v>
      </c>
      <c r="C188" s="281" t="s">
        <v>1121</v>
      </c>
      <c r="D188" s="285"/>
      <c r="E188" s="283"/>
      <c r="F188" s="281"/>
      <c r="G188" s="281"/>
      <c r="H188" s="299">
        <v>80</v>
      </c>
    </row>
    <row r="189" spans="1:8" x14ac:dyDescent="0.4">
      <c r="A189" s="296">
        <v>7</v>
      </c>
      <c r="B189" s="317" t="s">
        <v>1255</v>
      </c>
      <c r="C189" s="281" t="s">
        <v>1121</v>
      </c>
      <c r="D189" s="285"/>
      <c r="E189" s="283"/>
      <c r="F189" s="281"/>
      <c r="G189" s="281"/>
      <c r="H189" s="299">
        <v>6</v>
      </c>
    </row>
    <row r="190" spans="1:8" x14ac:dyDescent="0.4">
      <c r="A190" s="296">
        <v>8</v>
      </c>
      <c r="B190" s="317" t="s">
        <v>1256</v>
      </c>
      <c r="C190" s="281" t="s">
        <v>1121</v>
      </c>
      <c r="D190" s="285"/>
      <c r="E190" s="283"/>
      <c r="F190" s="281"/>
      <c r="G190" s="281"/>
      <c r="H190" s="299">
        <v>20</v>
      </c>
    </row>
    <row r="191" spans="1:8" ht="27.6" x14ac:dyDescent="0.4">
      <c r="A191" s="296">
        <v>9</v>
      </c>
      <c r="B191" s="317" t="s">
        <v>1257</v>
      </c>
      <c r="C191" s="281" t="s">
        <v>1121</v>
      </c>
      <c r="D191" s="285"/>
      <c r="E191" s="283"/>
      <c r="F191" s="281"/>
      <c r="G191" s="281"/>
      <c r="H191" s="299">
        <v>65</v>
      </c>
    </row>
    <row r="192" spans="1:8" x14ac:dyDescent="0.4">
      <c r="A192" s="296">
        <v>10</v>
      </c>
      <c r="B192" s="317" t="s">
        <v>1258</v>
      </c>
      <c r="C192" s="281" t="s">
        <v>557</v>
      </c>
      <c r="D192" s="285"/>
      <c r="E192" s="283"/>
      <c r="F192" s="281"/>
      <c r="G192" s="281"/>
      <c r="H192" s="299">
        <v>4</v>
      </c>
    </row>
    <row r="193" spans="1:8" ht="27.6" x14ac:dyDescent="0.4">
      <c r="A193" s="300">
        <v>11</v>
      </c>
      <c r="B193" s="319" t="s">
        <v>1259</v>
      </c>
      <c r="C193" s="302" t="s">
        <v>557</v>
      </c>
      <c r="D193" s="301"/>
      <c r="E193" s="303"/>
      <c r="F193" s="302"/>
      <c r="G193" s="302"/>
      <c r="H193" s="304">
        <v>17</v>
      </c>
    </row>
    <row r="194" spans="1:8" ht="27.6" x14ac:dyDescent="0.4">
      <c r="A194" s="300">
        <v>12</v>
      </c>
      <c r="B194" s="319" t="s">
        <v>1260</v>
      </c>
      <c r="C194" s="302" t="s">
        <v>557</v>
      </c>
      <c r="D194" s="301"/>
      <c r="E194" s="303"/>
      <c r="F194" s="302"/>
      <c r="G194" s="302"/>
      <c r="H194" s="304">
        <v>1</v>
      </c>
    </row>
    <row r="195" spans="1:8" ht="14.1" thickBot="1" x14ac:dyDescent="0.45">
      <c r="A195" s="305">
        <v>13</v>
      </c>
      <c r="B195" s="320" t="s">
        <v>1261</v>
      </c>
      <c r="C195" s="286" t="s">
        <v>5</v>
      </c>
      <c r="D195" s="287"/>
      <c r="E195" s="288"/>
      <c r="F195" s="286"/>
      <c r="G195" s="286"/>
      <c r="H195" s="289">
        <v>302</v>
      </c>
    </row>
    <row r="200" spans="1:8" x14ac:dyDescent="0.4">
      <c r="E200" s="293" t="s">
        <v>1262</v>
      </c>
      <c r="F200" s="293"/>
    </row>
    <row r="201" spans="1:8" x14ac:dyDescent="0.4">
      <c r="E201" s="293"/>
      <c r="F201" s="293"/>
    </row>
    <row r="202" spans="1:8" x14ac:dyDescent="0.4">
      <c r="F202" s="293" t="s">
        <v>1263</v>
      </c>
    </row>
    <row r="212" spans="3:3" x14ac:dyDescent="0.4">
      <c r="C212" s="224"/>
    </row>
    <row r="217" spans="3:3" x14ac:dyDescent="0.4">
      <c r="C217" s="224"/>
    </row>
    <row r="218" spans="3:3" x14ac:dyDescent="0.4">
      <c r="C218" s="224"/>
    </row>
    <row r="219" spans="3:3" x14ac:dyDescent="0.4">
      <c r="C219" s="224"/>
    </row>
    <row r="220" spans="3:3" x14ac:dyDescent="0.4">
      <c r="C220" s="224"/>
    </row>
    <row r="221" spans="3:3" x14ac:dyDescent="0.4">
      <c r="C221" s="224"/>
    </row>
    <row r="222" spans="3:3" x14ac:dyDescent="0.4">
      <c r="C222" s="224"/>
    </row>
    <row r="223" spans="3:3" x14ac:dyDescent="0.4">
      <c r="C223" s="224"/>
    </row>
    <row r="224" spans="3:3" x14ac:dyDescent="0.4">
      <c r="C224" s="224"/>
    </row>
    <row r="225" spans="3:3" x14ac:dyDescent="0.4">
      <c r="C225" s="224"/>
    </row>
    <row r="226" spans="3:3" x14ac:dyDescent="0.4">
      <c r="C226" s="224"/>
    </row>
    <row r="227" spans="3:3" x14ac:dyDescent="0.4">
      <c r="C227" s="224"/>
    </row>
    <row r="228" spans="3:3" x14ac:dyDescent="0.4">
      <c r="C228" s="224"/>
    </row>
    <row r="229" spans="3:3" x14ac:dyDescent="0.4">
      <c r="C229" s="224"/>
    </row>
    <row r="230" spans="3:3" x14ac:dyDescent="0.4">
      <c r="C230" s="224"/>
    </row>
    <row r="231" spans="3:3" x14ac:dyDescent="0.4">
      <c r="C231" s="224"/>
    </row>
    <row r="232" spans="3:3" x14ac:dyDescent="0.4">
      <c r="C232" s="224"/>
    </row>
    <row r="233" spans="3:3" x14ac:dyDescent="0.4">
      <c r="C233" s="224"/>
    </row>
    <row r="234" spans="3:3" x14ac:dyDescent="0.4">
      <c r="C234" s="224"/>
    </row>
    <row r="235" spans="3:3" x14ac:dyDescent="0.4">
      <c r="C235" s="224"/>
    </row>
  </sheetData>
  <mergeCells count="1">
    <mergeCell ref="A1:F1"/>
  </mergeCells>
  <pageMargins left="0.51181102362204722" right="0.19685039370078741" top="0.19685039370078741" bottom="0.19685039370078741" header="0.31496062992125984" footer="0.31496062992125984"/>
  <pageSetup paperSize="9" scale="95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4B63-647E-43BC-B244-752EE5DE1DCF}">
  <dimension ref="A1:D248"/>
  <sheetViews>
    <sheetView workbookViewId="0">
      <selection activeCell="J18" sqref="J17:J18"/>
    </sheetView>
  </sheetViews>
  <sheetFormatPr defaultRowHeight="13.8" x14ac:dyDescent="0.4"/>
  <cols>
    <col min="1" max="1" width="2.88671875" style="264" customWidth="1"/>
    <col min="2" max="2" width="80.88671875" style="207" customWidth="1"/>
    <col min="3" max="3" width="8.88671875" style="224" customWidth="1"/>
    <col min="4" max="4" width="10.609375" style="224" customWidth="1"/>
  </cols>
  <sheetData>
    <row r="1" spans="1:4" ht="19.5" x14ac:dyDescent="0.4">
      <c r="A1" s="509" t="s">
        <v>806</v>
      </c>
      <c r="B1" s="509"/>
      <c r="C1" s="509"/>
      <c r="D1" s="509"/>
    </row>
    <row r="2" spans="1:4" x14ac:dyDescent="0.4">
      <c r="A2" s="333"/>
      <c r="B2" s="333"/>
      <c r="C2" s="333"/>
      <c r="D2" s="333"/>
    </row>
    <row r="3" spans="1:4" ht="57.75" customHeight="1" x14ac:dyDescent="0.4">
      <c r="A3" s="510" t="s">
        <v>1276</v>
      </c>
      <c r="B3" s="510"/>
      <c r="C3" s="510"/>
      <c r="D3" s="510"/>
    </row>
    <row r="4" spans="1:4" ht="57.75" customHeight="1" x14ac:dyDescent="0.4">
      <c r="A4" s="337"/>
      <c r="B4" s="336"/>
      <c r="C4" s="336"/>
      <c r="D4" s="336"/>
    </row>
    <row r="5" spans="1:4" ht="14.7" x14ac:dyDescent="0.4">
      <c r="A5" s="511" t="s">
        <v>1278</v>
      </c>
      <c r="B5" s="511"/>
      <c r="C5" s="329"/>
      <c r="D5" s="330"/>
    </row>
    <row r="6" spans="1:4" ht="14.7" x14ac:dyDescent="0.4">
      <c r="A6" s="511" t="s">
        <v>1438</v>
      </c>
      <c r="B6" s="511"/>
      <c r="C6" s="511"/>
      <c r="D6" s="330"/>
    </row>
    <row r="7" spans="1:4" x14ac:dyDescent="0.4">
      <c r="A7" s="265"/>
      <c r="B7" s="223"/>
      <c r="C7" s="249"/>
      <c r="D7" s="249"/>
    </row>
    <row r="8" spans="1:4" ht="24.75" customHeight="1" x14ac:dyDescent="0.4">
      <c r="A8" s="137" t="s">
        <v>7</v>
      </c>
      <c r="B8" s="31" t="s">
        <v>807</v>
      </c>
      <c r="C8" s="148" t="s">
        <v>808</v>
      </c>
      <c r="D8" s="148" t="s">
        <v>809</v>
      </c>
    </row>
    <row r="9" spans="1:4" x14ac:dyDescent="0.4">
      <c r="B9" s="339" t="s">
        <v>810</v>
      </c>
    </row>
    <row r="10" spans="1:4" ht="27.6" x14ac:dyDescent="0.4">
      <c r="A10" s="132">
        <v>1</v>
      </c>
      <c r="B10" s="252" t="s">
        <v>811</v>
      </c>
      <c r="C10" s="28" t="s">
        <v>557</v>
      </c>
      <c r="D10" s="28">
        <v>9</v>
      </c>
    </row>
    <row r="11" spans="1:4" x14ac:dyDescent="0.4">
      <c r="A11" s="132">
        <v>2</v>
      </c>
      <c r="B11" s="252" t="s">
        <v>812</v>
      </c>
      <c r="C11" s="28" t="s">
        <v>557</v>
      </c>
      <c r="D11" s="28">
        <v>4</v>
      </c>
    </row>
    <row r="12" spans="1:4" x14ac:dyDescent="0.4">
      <c r="A12" s="132">
        <v>3</v>
      </c>
      <c r="B12" s="252" t="s">
        <v>813</v>
      </c>
      <c r="C12" s="28" t="s">
        <v>557</v>
      </c>
      <c r="D12" s="28">
        <v>7</v>
      </c>
    </row>
    <row r="13" spans="1:4" x14ac:dyDescent="0.4">
      <c r="A13" s="132">
        <v>4</v>
      </c>
      <c r="B13" s="252" t="s">
        <v>814</v>
      </c>
      <c r="C13" s="28" t="s">
        <v>557</v>
      </c>
      <c r="D13" s="28">
        <v>4</v>
      </c>
    </row>
    <row r="14" spans="1:4" x14ac:dyDescent="0.4">
      <c r="A14" s="132">
        <v>5</v>
      </c>
      <c r="B14" s="252" t="s">
        <v>815</v>
      </c>
      <c r="C14" s="28" t="s">
        <v>557</v>
      </c>
      <c r="D14" s="28">
        <v>2</v>
      </c>
    </row>
    <row r="15" spans="1:4" ht="30.75" customHeight="1" x14ac:dyDescent="0.4">
      <c r="A15" s="132">
        <v>6</v>
      </c>
      <c r="B15" s="252" t="s">
        <v>1025</v>
      </c>
      <c r="C15" s="28" t="s">
        <v>557</v>
      </c>
      <c r="D15" s="28">
        <v>86</v>
      </c>
    </row>
    <row r="16" spans="1:4" ht="27.6" x14ac:dyDescent="0.4">
      <c r="A16" s="132">
        <v>7</v>
      </c>
      <c r="B16" s="252" t="s">
        <v>1026</v>
      </c>
      <c r="C16" s="28" t="s">
        <v>557</v>
      </c>
      <c r="D16" s="28">
        <v>34</v>
      </c>
    </row>
    <row r="17" spans="1:4" ht="27.6" x14ac:dyDescent="0.4">
      <c r="A17" s="132">
        <v>8</v>
      </c>
      <c r="B17" s="252" t="s">
        <v>1027</v>
      </c>
      <c r="C17" s="28" t="s">
        <v>557</v>
      </c>
      <c r="D17" s="28">
        <v>73</v>
      </c>
    </row>
    <row r="18" spans="1:4" ht="27.6" x14ac:dyDescent="0.4">
      <c r="A18" s="132">
        <v>9</v>
      </c>
      <c r="B18" s="252" t="s">
        <v>1028</v>
      </c>
      <c r="C18" s="28" t="s">
        <v>557</v>
      </c>
      <c r="D18" s="28">
        <v>31</v>
      </c>
    </row>
    <row r="19" spans="1:4" x14ac:dyDescent="0.4">
      <c r="A19" s="132">
        <v>10</v>
      </c>
      <c r="B19" s="252" t="s">
        <v>1023</v>
      </c>
      <c r="C19" s="28" t="s">
        <v>557</v>
      </c>
      <c r="D19" s="28">
        <v>2</v>
      </c>
    </row>
    <row r="20" spans="1:4" x14ac:dyDescent="0.4">
      <c r="A20" s="132">
        <v>11</v>
      </c>
      <c r="B20" s="252" t="s">
        <v>1021</v>
      </c>
      <c r="C20" s="28" t="s">
        <v>557</v>
      </c>
      <c r="D20" s="28">
        <v>55</v>
      </c>
    </row>
    <row r="21" spans="1:4" ht="17.25" customHeight="1" x14ac:dyDescent="0.4">
      <c r="A21" s="132">
        <v>12</v>
      </c>
      <c r="B21" s="252" t="s">
        <v>1022</v>
      </c>
      <c r="C21" s="28" t="s">
        <v>557</v>
      </c>
      <c r="D21" s="28">
        <v>10</v>
      </c>
    </row>
    <row r="22" spans="1:4" x14ac:dyDescent="0.4">
      <c r="A22" s="132">
        <v>13</v>
      </c>
      <c r="B22" s="252" t="s">
        <v>816</v>
      </c>
      <c r="C22" s="28" t="s">
        <v>557</v>
      </c>
      <c r="D22" s="28">
        <v>3</v>
      </c>
    </row>
    <row r="23" spans="1:4" x14ac:dyDescent="0.4">
      <c r="A23" s="132">
        <v>14</v>
      </c>
      <c r="B23" s="252" t="s">
        <v>817</v>
      </c>
      <c r="C23" s="28" t="s">
        <v>557</v>
      </c>
      <c r="D23" s="28">
        <v>15</v>
      </c>
    </row>
    <row r="24" spans="1:4" ht="27.6" x14ac:dyDescent="0.4">
      <c r="A24" s="132">
        <v>15</v>
      </c>
      <c r="B24" s="252" t="s">
        <v>818</v>
      </c>
      <c r="C24" s="28" t="s">
        <v>557</v>
      </c>
      <c r="D24" s="28">
        <v>26</v>
      </c>
    </row>
    <row r="25" spans="1:4" x14ac:dyDescent="0.4">
      <c r="A25" s="132">
        <v>16</v>
      </c>
      <c r="B25" s="252" t="s">
        <v>1024</v>
      </c>
      <c r="C25" s="28" t="s">
        <v>557</v>
      </c>
      <c r="D25" s="28">
        <v>2</v>
      </c>
    </row>
    <row r="26" spans="1:4" ht="27.6" x14ac:dyDescent="0.4">
      <c r="A26" s="132">
        <v>17</v>
      </c>
      <c r="B26" s="252" t="s">
        <v>819</v>
      </c>
      <c r="C26" s="28" t="s">
        <v>557</v>
      </c>
      <c r="D26" s="28">
        <v>29</v>
      </c>
    </row>
    <row r="27" spans="1:4" ht="27.6" x14ac:dyDescent="0.4">
      <c r="A27" s="132">
        <v>18</v>
      </c>
      <c r="B27" s="252" t="s">
        <v>820</v>
      </c>
      <c r="C27" s="28" t="s">
        <v>557</v>
      </c>
      <c r="D27" s="28">
        <v>17</v>
      </c>
    </row>
    <row r="28" spans="1:4" ht="27.6" x14ac:dyDescent="0.4">
      <c r="A28" s="132">
        <v>19</v>
      </c>
      <c r="B28" s="252" t="s">
        <v>821</v>
      </c>
      <c r="C28" s="28" t="s">
        <v>557</v>
      </c>
      <c r="D28" s="28">
        <v>6</v>
      </c>
    </row>
    <row r="29" spans="1:4" x14ac:dyDescent="0.4">
      <c r="A29" s="132">
        <v>20</v>
      </c>
      <c r="B29" s="252" t="s">
        <v>822</v>
      </c>
      <c r="C29" s="28" t="s">
        <v>557</v>
      </c>
      <c r="D29" s="28">
        <v>1</v>
      </c>
    </row>
    <row r="30" spans="1:4" ht="27.75" customHeight="1" x14ac:dyDescent="0.4">
      <c r="A30" s="132">
        <v>21</v>
      </c>
      <c r="B30" s="252" t="s">
        <v>1029</v>
      </c>
      <c r="C30" s="28" t="s">
        <v>557</v>
      </c>
      <c r="D30" s="28">
        <v>5</v>
      </c>
    </row>
    <row r="31" spans="1:4" x14ac:dyDescent="0.4">
      <c r="A31" s="132">
        <v>22</v>
      </c>
      <c r="B31" s="252" t="s">
        <v>823</v>
      </c>
      <c r="C31" s="28" t="s">
        <v>557</v>
      </c>
      <c r="D31" s="28">
        <v>70</v>
      </c>
    </row>
    <row r="32" spans="1:4" x14ac:dyDescent="0.4">
      <c r="A32" s="132">
        <v>23</v>
      </c>
      <c r="B32" s="252" t="s">
        <v>824</v>
      </c>
      <c r="C32" s="28" t="s">
        <v>557</v>
      </c>
      <c r="D32" s="28">
        <v>32</v>
      </c>
    </row>
    <row r="33" spans="1:4" x14ac:dyDescent="0.4">
      <c r="A33" s="132">
        <v>24</v>
      </c>
      <c r="B33" s="252" t="s">
        <v>825</v>
      </c>
      <c r="C33" s="28" t="s">
        <v>557</v>
      </c>
      <c r="D33" s="28">
        <v>3</v>
      </c>
    </row>
    <row r="34" spans="1:4" x14ac:dyDescent="0.4">
      <c r="A34" s="132">
        <v>25</v>
      </c>
      <c r="B34" s="252" t="s">
        <v>826</v>
      </c>
      <c r="C34" s="28" t="s">
        <v>557</v>
      </c>
      <c r="D34" s="28">
        <v>2</v>
      </c>
    </row>
    <row r="35" spans="1:4" x14ac:dyDescent="0.4">
      <c r="A35" s="132">
        <v>26</v>
      </c>
      <c r="B35" s="252" t="s">
        <v>827</v>
      </c>
      <c r="C35" s="28" t="s">
        <v>557</v>
      </c>
      <c r="D35" s="28">
        <v>27</v>
      </c>
    </row>
    <row r="36" spans="1:4" x14ac:dyDescent="0.4">
      <c r="A36" s="132">
        <v>27</v>
      </c>
      <c r="B36" s="252" t="s">
        <v>828</v>
      </c>
      <c r="C36" s="28" t="s">
        <v>557</v>
      </c>
      <c r="D36" s="28">
        <v>17</v>
      </c>
    </row>
    <row r="37" spans="1:4" x14ac:dyDescent="0.4">
      <c r="A37" s="132">
        <v>28</v>
      </c>
      <c r="B37" s="252" t="s">
        <v>829</v>
      </c>
      <c r="C37" s="28" t="s">
        <v>557</v>
      </c>
      <c r="D37" s="28">
        <v>24</v>
      </c>
    </row>
    <row r="38" spans="1:4" x14ac:dyDescent="0.4">
      <c r="A38" s="132">
        <v>29</v>
      </c>
      <c r="B38" s="252" t="s">
        <v>830</v>
      </c>
      <c r="C38" s="28"/>
      <c r="D38" s="28">
        <v>1</v>
      </c>
    </row>
    <row r="39" spans="1:4" x14ac:dyDescent="0.4">
      <c r="A39" s="132">
        <v>30</v>
      </c>
      <c r="B39" s="252" t="s">
        <v>831</v>
      </c>
      <c r="C39" s="28" t="s">
        <v>557</v>
      </c>
      <c r="D39" s="28">
        <v>3</v>
      </c>
    </row>
    <row r="40" spans="1:4" x14ac:dyDescent="0.4">
      <c r="A40" s="132">
        <v>31</v>
      </c>
      <c r="B40" s="252" t="s">
        <v>832</v>
      </c>
      <c r="C40" s="28" t="s">
        <v>557</v>
      </c>
      <c r="D40" s="28">
        <v>6</v>
      </c>
    </row>
    <row r="41" spans="1:4" ht="12.75" customHeight="1" x14ac:dyDescent="0.4">
      <c r="A41" s="132">
        <v>32</v>
      </c>
      <c r="B41" s="252" t="s">
        <v>833</v>
      </c>
      <c r="C41" s="28" t="s">
        <v>557</v>
      </c>
      <c r="D41" s="28">
        <v>10</v>
      </c>
    </row>
    <row r="42" spans="1:4" x14ac:dyDescent="0.4">
      <c r="A42" s="132">
        <v>33</v>
      </c>
      <c r="B42" s="36" t="s">
        <v>834</v>
      </c>
      <c r="C42" s="28" t="s">
        <v>557</v>
      </c>
      <c r="D42" s="28">
        <v>4</v>
      </c>
    </row>
    <row r="43" spans="1:4" ht="29.25" customHeight="1" x14ac:dyDescent="0.4">
      <c r="A43" s="132">
        <v>34</v>
      </c>
      <c r="B43" s="36" t="s">
        <v>1030</v>
      </c>
      <c r="C43" s="28" t="s">
        <v>557</v>
      </c>
      <c r="D43" s="28">
        <v>6</v>
      </c>
    </row>
    <row r="44" spans="1:4" x14ac:dyDescent="0.4">
      <c r="A44" s="132">
        <v>35</v>
      </c>
      <c r="B44" s="36" t="s">
        <v>835</v>
      </c>
      <c r="C44" s="28" t="s">
        <v>557</v>
      </c>
      <c r="D44" s="28">
        <v>1</v>
      </c>
    </row>
    <row r="45" spans="1:4" ht="15" customHeight="1" x14ac:dyDescent="0.4">
      <c r="A45" s="132">
        <v>36</v>
      </c>
      <c r="B45" s="252" t="s">
        <v>836</v>
      </c>
      <c r="C45" s="28" t="s">
        <v>557</v>
      </c>
      <c r="D45" s="28">
        <v>7</v>
      </c>
    </row>
    <row r="46" spans="1:4" x14ac:dyDescent="0.4">
      <c r="A46" s="132">
        <v>37</v>
      </c>
      <c r="B46" s="252" t="s">
        <v>837</v>
      </c>
      <c r="C46" s="28" t="s">
        <v>557</v>
      </c>
      <c r="D46" s="28">
        <v>4</v>
      </c>
    </row>
    <row r="47" spans="1:4" x14ac:dyDescent="0.4">
      <c r="A47" s="132">
        <v>38</v>
      </c>
      <c r="B47" s="252" t="s">
        <v>838</v>
      </c>
      <c r="C47" s="28" t="s">
        <v>557</v>
      </c>
      <c r="D47" s="28">
        <v>2</v>
      </c>
    </row>
    <row r="48" spans="1:4" x14ac:dyDescent="0.4">
      <c r="A48" s="132">
        <v>39</v>
      </c>
      <c r="B48" s="252" t="s">
        <v>839</v>
      </c>
      <c r="C48" s="28" t="s">
        <v>557</v>
      </c>
      <c r="D48" s="28">
        <v>4</v>
      </c>
    </row>
    <row r="49" spans="1:4" x14ac:dyDescent="0.4">
      <c r="A49" s="132">
        <v>40</v>
      </c>
      <c r="B49" s="252" t="s">
        <v>840</v>
      </c>
      <c r="C49" s="28" t="s">
        <v>557</v>
      </c>
      <c r="D49" s="28">
        <v>22</v>
      </c>
    </row>
    <row r="50" spans="1:4" x14ac:dyDescent="0.4">
      <c r="A50" s="132">
        <v>41</v>
      </c>
      <c r="B50" s="252" t="s">
        <v>841</v>
      </c>
      <c r="C50" s="28" t="s">
        <v>557</v>
      </c>
      <c r="D50" s="28">
        <v>172</v>
      </c>
    </row>
    <row r="51" spans="1:4" ht="15" customHeight="1" x14ac:dyDescent="0.4">
      <c r="A51" s="132">
        <v>42</v>
      </c>
      <c r="B51" s="252" t="s">
        <v>842</v>
      </c>
      <c r="C51" s="28" t="s">
        <v>557</v>
      </c>
      <c r="D51" s="28">
        <v>64</v>
      </c>
    </row>
    <row r="52" spans="1:4" x14ac:dyDescent="0.4">
      <c r="A52" s="132">
        <v>43</v>
      </c>
      <c r="B52" s="252" t="s">
        <v>843</v>
      </c>
      <c r="C52" s="28" t="s">
        <v>557</v>
      </c>
      <c r="D52" s="28">
        <v>67</v>
      </c>
    </row>
    <row r="53" spans="1:4" ht="15.75" customHeight="1" x14ac:dyDescent="0.4">
      <c r="A53" s="132">
        <v>44</v>
      </c>
      <c r="B53" s="252" t="s">
        <v>844</v>
      </c>
      <c r="C53" s="28" t="s">
        <v>557</v>
      </c>
      <c r="D53" s="28">
        <v>6</v>
      </c>
    </row>
    <row r="54" spans="1:4" x14ac:dyDescent="0.4">
      <c r="A54" s="132">
        <v>45</v>
      </c>
      <c r="B54" s="252" t="s">
        <v>845</v>
      </c>
      <c r="C54" s="28" t="s">
        <v>557</v>
      </c>
      <c r="D54" s="28">
        <v>46</v>
      </c>
    </row>
    <row r="55" spans="1:4" ht="15" customHeight="1" x14ac:dyDescent="0.4">
      <c r="A55" s="132">
        <v>46</v>
      </c>
      <c r="B55" s="252" t="s">
        <v>846</v>
      </c>
      <c r="C55" s="28" t="s">
        <v>557</v>
      </c>
      <c r="D55" s="28">
        <v>6</v>
      </c>
    </row>
    <row r="56" spans="1:4" x14ac:dyDescent="0.4">
      <c r="A56" s="132">
        <v>47</v>
      </c>
      <c r="B56" s="252" t="s">
        <v>847</v>
      </c>
      <c r="C56" s="28" t="s">
        <v>557</v>
      </c>
      <c r="D56" s="28">
        <v>104</v>
      </c>
    </row>
    <row r="57" spans="1:4" ht="15" customHeight="1" x14ac:dyDescent="0.4">
      <c r="A57" s="132">
        <v>48</v>
      </c>
      <c r="B57" s="252" t="s">
        <v>848</v>
      </c>
      <c r="C57" s="28" t="s">
        <v>557</v>
      </c>
      <c r="D57" s="28">
        <v>16</v>
      </c>
    </row>
    <row r="58" spans="1:4" x14ac:dyDescent="0.4">
      <c r="A58" s="132">
        <v>49</v>
      </c>
      <c r="B58" s="252" t="s">
        <v>849</v>
      </c>
      <c r="C58" s="28" t="s">
        <v>557</v>
      </c>
      <c r="D58" s="28">
        <v>2</v>
      </c>
    </row>
    <row r="59" spans="1:4" x14ac:dyDescent="0.4">
      <c r="A59" s="132">
        <v>50</v>
      </c>
      <c r="B59" s="252" t="s">
        <v>850</v>
      </c>
      <c r="C59" s="28" t="s">
        <v>557</v>
      </c>
      <c r="D59" s="28">
        <v>1</v>
      </c>
    </row>
    <row r="60" spans="1:4" x14ac:dyDescent="0.4">
      <c r="A60" s="132">
        <v>51</v>
      </c>
      <c r="B60" s="252" t="s">
        <v>851</v>
      </c>
      <c r="C60" s="28" t="s">
        <v>557</v>
      </c>
      <c r="D60" s="28">
        <v>4</v>
      </c>
    </row>
    <row r="61" spans="1:4" x14ac:dyDescent="0.4">
      <c r="A61" s="132">
        <v>52</v>
      </c>
      <c r="B61" s="252" t="s">
        <v>852</v>
      </c>
      <c r="C61" s="28" t="s">
        <v>557</v>
      </c>
      <c r="D61" s="28">
        <v>5</v>
      </c>
    </row>
    <row r="62" spans="1:4" x14ac:dyDescent="0.4">
      <c r="A62" s="132">
        <v>53</v>
      </c>
      <c r="B62" s="252" t="s">
        <v>853</v>
      </c>
      <c r="C62" s="28" t="s">
        <v>557</v>
      </c>
      <c r="D62" s="28">
        <v>2</v>
      </c>
    </row>
    <row r="63" spans="1:4" x14ac:dyDescent="0.4">
      <c r="A63" s="132">
        <v>54</v>
      </c>
      <c r="B63" s="252" t="s">
        <v>854</v>
      </c>
      <c r="C63" s="28" t="s">
        <v>557</v>
      </c>
      <c r="D63" s="28">
        <v>10</v>
      </c>
    </row>
    <row r="64" spans="1:4" x14ac:dyDescent="0.4">
      <c r="A64" s="132">
        <v>55</v>
      </c>
      <c r="B64" s="252" t="s">
        <v>855</v>
      </c>
      <c r="C64" s="28" t="s">
        <v>557</v>
      </c>
      <c r="D64" s="28">
        <v>2</v>
      </c>
    </row>
    <row r="65" spans="1:4" x14ac:dyDescent="0.4">
      <c r="A65" s="132">
        <v>56</v>
      </c>
      <c r="B65" s="252" t="s">
        <v>856</v>
      </c>
      <c r="C65" s="28" t="s">
        <v>5</v>
      </c>
      <c r="D65" s="28">
        <v>7</v>
      </c>
    </row>
    <row r="66" spans="1:4" x14ac:dyDescent="0.4">
      <c r="A66" s="132">
        <v>57</v>
      </c>
      <c r="B66" s="252" t="s">
        <v>857</v>
      </c>
      <c r="C66" s="28" t="s">
        <v>5</v>
      </c>
      <c r="D66" s="28">
        <v>180</v>
      </c>
    </row>
    <row r="67" spans="1:4" x14ac:dyDescent="0.4">
      <c r="A67" s="132">
        <v>58</v>
      </c>
      <c r="B67" s="252" t="s">
        <v>858</v>
      </c>
      <c r="C67" s="28" t="s">
        <v>5</v>
      </c>
      <c r="D67" s="28">
        <v>127</v>
      </c>
    </row>
    <row r="68" spans="1:4" x14ac:dyDescent="0.4">
      <c r="A68" s="132">
        <v>59</v>
      </c>
      <c r="B68" s="252" t="s">
        <v>859</v>
      </c>
      <c r="C68" s="28" t="s">
        <v>5</v>
      </c>
      <c r="D68" s="28">
        <v>60</v>
      </c>
    </row>
    <row r="69" spans="1:4" x14ac:dyDescent="0.4">
      <c r="A69" s="132">
        <v>60</v>
      </c>
      <c r="B69" s="252" t="s">
        <v>860</v>
      </c>
      <c r="C69" s="28" t="s">
        <v>5</v>
      </c>
      <c r="D69" s="28">
        <v>35</v>
      </c>
    </row>
    <row r="70" spans="1:4" x14ac:dyDescent="0.4">
      <c r="A70" s="132">
        <v>61</v>
      </c>
      <c r="B70" s="252" t="s">
        <v>861</v>
      </c>
      <c r="C70" s="28" t="s">
        <v>5</v>
      </c>
      <c r="D70" s="28">
        <v>10</v>
      </c>
    </row>
    <row r="71" spans="1:4" x14ac:dyDescent="0.4">
      <c r="A71" s="132">
        <v>62</v>
      </c>
      <c r="B71" s="252" t="s">
        <v>862</v>
      </c>
      <c r="C71" s="28" t="s">
        <v>5</v>
      </c>
      <c r="D71" s="28">
        <v>110</v>
      </c>
    </row>
    <row r="72" spans="1:4" x14ac:dyDescent="0.4">
      <c r="A72" s="132">
        <v>63</v>
      </c>
      <c r="B72" s="252" t="s">
        <v>863</v>
      </c>
      <c r="C72" s="28" t="s">
        <v>5</v>
      </c>
      <c r="D72" s="28">
        <v>40</v>
      </c>
    </row>
    <row r="73" spans="1:4" x14ac:dyDescent="0.4">
      <c r="A73" s="132">
        <v>64</v>
      </c>
      <c r="B73" s="252" t="s">
        <v>864</v>
      </c>
      <c r="C73" s="28" t="s">
        <v>5</v>
      </c>
      <c r="D73" s="28">
        <v>215</v>
      </c>
    </row>
    <row r="74" spans="1:4" x14ac:dyDescent="0.4">
      <c r="A74" s="132">
        <v>65</v>
      </c>
      <c r="B74" s="252" t="s">
        <v>865</v>
      </c>
      <c r="C74" s="28" t="s">
        <v>5</v>
      </c>
      <c r="D74" s="28">
        <v>9</v>
      </c>
    </row>
    <row r="75" spans="1:4" x14ac:dyDescent="0.4">
      <c r="A75" s="132">
        <v>66</v>
      </c>
      <c r="B75" s="252" t="s">
        <v>866</v>
      </c>
      <c r="C75" s="28" t="s">
        <v>5</v>
      </c>
      <c r="D75" s="28">
        <v>20</v>
      </c>
    </row>
    <row r="76" spans="1:4" x14ac:dyDescent="0.4">
      <c r="A76" s="132">
        <v>67</v>
      </c>
      <c r="B76" s="252" t="s">
        <v>867</v>
      </c>
      <c r="C76" s="28" t="s">
        <v>5</v>
      </c>
      <c r="D76" s="28">
        <v>8</v>
      </c>
    </row>
    <row r="77" spans="1:4" x14ac:dyDescent="0.4">
      <c r="A77" s="132">
        <v>68</v>
      </c>
      <c r="B77" s="252" t="s">
        <v>868</v>
      </c>
      <c r="C77" s="28" t="s">
        <v>5</v>
      </c>
      <c r="D77" s="28">
        <v>51</v>
      </c>
    </row>
    <row r="78" spans="1:4" x14ac:dyDescent="0.4">
      <c r="A78" s="132">
        <v>69</v>
      </c>
      <c r="B78" s="252" t="s">
        <v>869</v>
      </c>
      <c r="C78" s="28" t="s">
        <v>5</v>
      </c>
      <c r="D78" s="28">
        <v>28</v>
      </c>
    </row>
    <row r="79" spans="1:4" x14ac:dyDescent="0.4">
      <c r="A79" s="132">
        <v>70</v>
      </c>
      <c r="B79" s="252" t="s">
        <v>870</v>
      </c>
      <c r="C79" s="28" t="s">
        <v>5</v>
      </c>
      <c r="D79" s="28">
        <v>46</v>
      </c>
    </row>
    <row r="80" spans="1:4" x14ac:dyDescent="0.4">
      <c r="A80" s="132">
        <v>71</v>
      </c>
      <c r="B80" s="252" t="s">
        <v>871</v>
      </c>
      <c r="C80" s="28" t="s">
        <v>5</v>
      </c>
      <c r="D80" s="28">
        <v>76</v>
      </c>
    </row>
    <row r="81" spans="1:4" x14ac:dyDescent="0.4">
      <c r="A81" s="132">
        <v>72</v>
      </c>
      <c r="B81" s="252" t="s">
        <v>872</v>
      </c>
      <c r="C81" s="28" t="s">
        <v>5</v>
      </c>
      <c r="D81" s="28">
        <v>43</v>
      </c>
    </row>
    <row r="82" spans="1:4" x14ac:dyDescent="0.4">
      <c r="A82" s="132">
        <v>73</v>
      </c>
      <c r="B82" s="252" t="s">
        <v>873</v>
      </c>
      <c r="C82" s="28" t="s">
        <v>5</v>
      </c>
      <c r="D82" s="28">
        <v>125</v>
      </c>
    </row>
    <row r="83" spans="1:4" x14ac:dyDescent="0.4">
      <c r="A83" s="132">
        <v>74</v>
      </c>
      <c r="B83" s="252" t="s">
        <v>874</v>
      </c>
      <c r="C83" s="28" t="s">
        <v>5</v>
      </c>
      <c r="D83" s="28">
        <v>8</v>
      </c>
    </row>
    <row r="84" spans="1:4" x14ac:dyDescent="0.4">
      <c r="A84" s="132">
        <v>75</v>
      </c>
      <c r="B84" s="252" t="s">
        <v>875</v>
      </c>
      <c r="C84" s="28" t="s">
        <v>5</v>
      </c>
      <c r="D84" s="28">
        <v>35</v>
      </c>
    </row>
    <row r="85" spans="1:4" x14ac:dyDescent="0.4">
      <c r="A85" s="132">
        <v>76</v>
      </c>
      <c r="B85" s="252" t="s">
        <v>876</v>
      </c>
      <c r="C85" s="28" t="s">
        <v>5</v>
      </c>
      <c r="D85" s="28">
        <v>22</v>
      </c>
    </row>
    <row r="86" spans="1:4" x14ac:dyDescent="0.4">
      <c r="A86" s="132">
        <v>77</v>
      </c>
      <c r="B86" s="252" t="s">
        <v>877</v>
      </c>
      <c r="C86" s="28" t="s">
        <v>5</v>
      </c>
      <c r="D86" s="28">
        <v>1</v>
      </c>
    </row>
    <row r="87" spans="1:4" x14ac:dyDescent="0.4">
      <c r="A87" s="132">
        <v>78</v>
      </c>
      <c r="B87" s="252" t="s">
        <v>878</v>
      </c>
      <c r="C87" s="28" t="s">
        <v>5</v>
      </c>
      <c r="D87" s="28">
        <v>60</v>
      </c>
    </row>
    <row r="88" spans="1:4" x14ac:dyDescent="0.4">
      <c r="A88" s="132">
        <v>79</v>
      </c>
      <c r="B88" s="252" t="s">
        <v>879</v>
      </c>
      <c r="C88" s="28" t="s">
        <v>5</v>
      </c>
      <c r="D88" s="28">
        <v>42</v>
      </c>
    </row>
    <row r="89" spans="1:4" x14ac:dyDescent="0.4">
      <c r="A89" s="132">
        <v>80</v>
      </c>
      <c r="B89" s="252" t="s">
        <v>880</v>
      </c>
      <c r="C89" s="28" t="s">
        <v>5</v>
      </c>
      <c r="D89" s="28">
        <v>27</v>
      </c>
    </row>
    <row r="90" spans="1:4" x14ac:dyDescent="0.4">
      <c r="A90" s="132">
        <v>81</v>
      </c>
      <c r="B90" s="252" t="s">
        <v>881</v>
      </c>
      <c r="C90" s="28" t="s">
        <v>5</v>
      </c>
      <c r="D90" s="28">
        <v>8</v>
      </c>
    </row>
    <row r="91" spans="1:4" x14ac:dyDescent="0.4">
      <c r="A91" s="132">
        <v>82</v>
      </c>
      <c r="B91" s="252" t="s">
        <v>882</v>
      </c>
      <c r="C91" s="28" t="s">
        <v>5</v>
      </c>
      <c r="D91" s="28">
        <v>86</v>
      </c>
    </row>
    <row r="92" spans="1:4" x14ac:dyDescent="0.4">
      <c r="A92" s="132">
        <v>83</v>
      </c>
      <c r="B92" s="252" t="s">
        <v>883</v>
      </c>
      <c r="C92" s="28" t="s">
        <v>5</v>
      </c>
      <c r="D92" s="28">
        <v>17</v>
      </c>
    </row>
    <row r="93" spans="1:4" x14ac:dyDescent="0.4">
      <c r="A93" s="132">
        <v>84</v>
      </c>
      <c r="B93" s="252" t="s">
        <v>884</v>
      </c>
      <c r="C93" s="28" t="s">
        <v>5</v>
      </c>
      <c r="D93" s="28">
        <v>8</v>
      </c>
    </row>
    <row r="94" spans="1:4" x14ac:dyDescent="0.4">
      <c r="A94" s="132">
        <v>85</v>
      </c>
      <c r="B94" s="36" t="s">
        <v>885</v>
      </c>
      <c r="C94" s="28" t="s">
        <v>5</v>
      </c>
      <c r="D94" s="28">
        <v>140</v>
      </c>
    </row>
    <row r="95" spans="1:4" x14ac:dyDescent="0.4">
      <c r="A95" s="132">
        <v>86</v>
      </c>
      <c r="B95" s="252" t="s">
        <v>886</v>
      </c>
      <c r="C95" s="28" t="s">
        <v>557</v>
      </c>
      <c r="D95" s="28">
        <v>172</v>
      </c>
    </row>
    <row r="96" spans="1:4" x14ac:dyDescent="0.4">
      <c r="A96" s="132">
        <v>87</v>
      </c>
      <c r="B96" s="252" t="s">
        <v>887</v>
      </c>
      <c r="C96" s="28" t="s">
        <v>557</v>
      </c>
      <c r="D96" s="28">
        <v>170</v>
      </c>
    </row>
    <row r="97" spans="1:4" x14ac:dyDescent="0.4">
      <c r="A97" s="132">
        <v>88</v>
      </c>
      <c r="B97" s="252" t="s">
        <v>888</v>
      </c>
      <c r="C97" s="28" t="s">
        <v>557</v>
      </c>
      <c r="D97" s="28">
        <v>10</v>
      </c>
    </row>
    <row r="98" spans="1:4" x14ac:dyDescent="0.4">
      <c r="A98" s="132">
        <v>89</v>
      </c>
      <c r="B98" s="252" t="s">
        <v>889</v>
      </c>
      <c r="C98" s="28" t="s">
        <v>557</v>
      </c>
      <c r="D98" s="28">
        <v>61</v>
      </c>
    </row>
    <row r="99" spans="1:4" x14ac:dyDescent="0.4">
      <c r="A99" s="132">
        <v>90</v>
      </c>
      <c r="B99" s="252" t="s">
        <v>890</v>
      </c>
      <c r="C99" s="28" t="s">
        <v>557</v>
      </c>
      <c r="D99" s="28">
        <v>17</v>
      </c>
    </row>
    <row r="100" spans="1:4" x14ac:dyDescent="0.4">
      <c r="A100" s="132">
        <v>91</v>
      </c>
      <c r="B100" s="252" t="s">
        <v>891</v>
      </c>
      <c r="C100" s="28" t="s">
        <v>557</v>
      </c>
      <c r="D100" s="28">
        <v>2</v>
      </c>
    </row>
    <row r="101" spans="1:4" x14ac:dyDescent="0.4">
      <c r="A101" s="132">
        <v>92</v>
      </c>
      <c r="B101" s="252" t="s">
        <v>892</v>
      </c>
      <c r="C101" s="28" t="s">
        <v>5</v>
      </c>
      <c r="D101" s="28">
        <v>25</v>
      </c>
    </row>
    <row r="102" spans="1:4" x14ac:dyDescent="0.4">
      <c r="A102" s="132">
        <v>93</v>
      </c>
      <c r="B102" s="252" t="s">
        <v>893</v>
      </c>
      <c r="C102" s="28" t="s">
        <v>5</v>
      </c>
      <c r="D102" s="28">
        <v>25</v>
      </c>
    </row>
    <row r="103" spans="1:4" x14ac:dyDescent="0.4">
      <c r="A103" s="132">
        <v>94</v>
      </c>
      <c r="B103" s="252" t="s">
        <v>894</v>
      </c>
      <c r="C103" s="28" t="s">
        <v>5</v>
      </c>
      <c r="D103" s="28">
        <v>25</v>
      </c>
    </row>
    <row r="104" spans="1:4" x14ac:dyDescent="0.4">
      <c r="A104" s="132">
        <v>95</v>
      </c>
      <c r="B104" s="252" t="s">
        <v>895</v>
      </c>
      <c r="C104" s="28" t="s">
        <v>5</v>
      </c>
      <c r="D104" s="28">
        <v>25</v>
      </c>
    </row>
    <row r="105" spans="1:4" ht="27.6" x14ac:dyDescent="0.4">
      <c r="A105" s="132">
        <v>96</v>
      </c>
      <c r="B105" s="252" t="s">
        <v>896</v>
      </c>
      <c r="C105" s="28" t="s">
        <v>557</v>
      </c>
      <c r="D105" s="28">
        <v>1</v>
      </c>
    </row>
    <row r="106" spans="1:4" x14ac:dyDescent="0.4">
      <c r="A106" s="265"/>
      <c r="B106" s="340"/>
      <c r="C106" s="249"/>
      <c r="D106" s="249"/>
    </row>
    <row r="107" spans="1:4" x14ac:dyDescent="0.4">
      <c r="A107" s="338"/>
      <c r="B107" s="339" t="s">
        <v>897</v>
      </c>
    </row>
    <row r="108" spans="1:4" ht="27.6" x14ac:dyDescent="0.4">
      <c r="A108" s="132">
        <v>1</v>
      </c>
      <c r="B108" s="252" t="s">
        <v>898</v>
      </c>
      <c r="C108" s="28" t="s">
        <v>5</v>
      </c>
      <c r="D108" s="28">
        <v>85</v>
      </c>
    </row>
    <row r="109" spans="1:4" ht="41.4" x14ac:dyDescent="0.4">
      <c r="A109" s="132">
        <v>2</v>
      </c>
      <c r="B109" s="252" t="s">
        <v>899</v>
      </c>
      <c r="C109" s="28" t="s">
        <v>5</v>
      </c>
      <c r="D109" s="28">
        <v>10</v>
      </c>
    </row>
    <row r="110" spans="1:4" ht="15" customHeight="1" x14ac:dyDescent="0.4">
      <c r="A110" s="132">
        <v>3</v>
      </c>
      <c r="B110" s="252" t="s">
        <v>900</v>
      </c>
      <c r="C110" s="28" t="s">
        <v>557</v>
      </c>
      <c r="D110" s="28">
        <v>1</v>
      </c>
    </row>
    <row r="111" spans="1:4" x14ac:dyDescent="0.4">
      <c r="A111" s="132">
        <v>4</v>
      </c>
      <c r="B111" s="252" t="s">
        <v>901</v>
      </c>
      <c r="C111" s="28" t="s">
        <v>557</v>
      </c>
      <c r="D111" s="28">
        <v>1</v>
      </c>
    </row>
    <row r="112" spans="1:4" x14ac:dyDescent="0.4">
      <c r="A112" s="132">
        <v>5</v>
      </c>
      <c r="B112" s="252" t="s">
        <v>902</v>
      </c>
      <c r="C112" s="28" t="s">
        <v>5</v>
      </c>
      <c r="D112" s="28">
        <v>3</v>
      </c>
    </row>
    <row r="113" spans="1:4" x14ac:dyDescent="0.4">
      <c r="A113" s="132">
        <v>6</v>
      </c>
      <c r="B113" s="252" t="s">
        <v>903</v>
      </c>
      <c r="C113" s="28" t="s">
        <v>5</v>
      </c>
      <c r="D113" s="28">
        <v>9</v>
      </c>
    </row>
    <row r="114" spans="1:4" x14ac:dyDescent="0.4">
      <c r="A114" s="132">
        <v>7</v>
      </c>
      <c r="B114" s="252" t="s">
        <v>904</v>
      </c>
      <c r="C114" s="28" t="s">
        <v>5</v>
      </c>
      <c r="D114" s="28">
        <v>14</v>
      </c>
    </row>
    <row r="115" spans="1:4" x14ac:dyDescent="0.4">
      <c r="A115" s="132">
        <v>8</v>
      </c>
      <c r="B115" s="252" t="s">
        <v>905</v>
      </c>
      <c r="C115" s="28" t="s">
        <v>557</v>
      </c>
      <c r="D115" s="28">
        <v>2</v>
      </c>
    </row>
    <row r="116" spans="1:4" x14ac:dyDescent="0.4">
      <c r="A116" s="132">
        <v>9</v>
      </c>
      <c r="B116" s="252" t="s">
        <v>906</v>
      </c>
      <c r="C116" s="28" t="s">
        <v>557</v>
      </c>
      <c r="D116" s="28">
        <v>2</v>
      </c>
    </row>
    <row r="117" spans="1:4" ht="15" customHeight="1" x14ac:dyDescent="0.4">
      <c r="A117" s="132">
        <v>10</v>
      </c>
      <c r="B117" s="252" t="s">
        <v>1031</v>
      </c>
      <c r="C117" s="28" t="s">
        <v>907</v>
      </c>
      <c r="D117" s="28">
        <v>3</v>
      </c>
    </row>
    <row r="118" spans="1:4" x14ac:dyDescent="0.4">
      <c r="A118" s="132">
        <v>11</v>
      </c>
      <c r="B118" s="252" t="s">
        <v>908</v>
      </c>
      <c r="C118" s="28" t="s">
        <v>5</v>
      </c>
      <c r="D118" s="28">
        <v>15</v>
      </c>
    </row>
    <row r="119" spans="1:4" x14ac:dyDescent="0.4">
      <c r="A119" s="132">
        <v>12</v>
      </c>
      <c r="B119" s="252" t="s">
        <v>909</v>
      </c>
      <c r="C119" s="28" t="s">
        <v>557</v>
      </c>
      <c r="D119" s="28">
        <v>2</v>
      </c>
    </row>
    <row r="120" spans="1:4" x14ac:dyDescent="0.4">
      <c r="A120" s="132">
        <v>13</v>
      </c>
      <c r="B120" s="252" t="s">
        <v>910</v>
      </c>
      <c r="C120" s="28" t="s">
        <v>557</v>
      </c>
      <c r="D120" s="28">
        <v>1</v>
      </c>
    </row>
    <row r="121" spans="1:4" x14ac:dyDescent="0.4">
      <c r="A121" s="265"/>
      <c r="B121" s="340"/>
      <c r="C121" s="332"/>
      <c r="D121" s="332"/>
    </row>
    <row r="122" spans="1:4" ht="27.6" x14ac:dyDescent="0.4">
      <c r="A122" s="338"/>
      <c r="B122" s="334" t="s">
        <v>911</v>
      </c>
      <c r="C122" s="331"/>
      <c r="D122" s="331"/>
    </row>
    <row r="123" spans="1:4" x14ac:dyDescent="0.4">
      <c r="A123" s="132">
        <v>1</v>
      </c>
      <c r="B123" s="36" t="s">
        <v>912</v>
      </c>
      <c r="C123" s="28" t="s">
        <v>913</v>
      </c>
      <c r="D123" s="28">
        <v>0.375</v>
      </c>
    </row>
    <row r="124" spans="1:4" x14ac:dyDescent="0.4">
      <c r="A124" s="132">
        <v>2</v>
      </c>
      <c r="B124" s="36" t="s">
        <v>914</v>
      </c>
      <c r="C124" s="28" t="s">
        <v>5</v>
      </c>
      <c r="D124" s="28">
        <v>375</v>
      </c>
    </row>
    <row r="125" spans="1:4" x14ac:dyDescent="0.4">
      <c r="A125" s="132">
        <v>3</v>
      </c>
      <c r="B125" s="36" t="s">
        <v>915</v>
      </c>
      <c r="C125" s="28" t="s">
        <v>5</v>
      </c>
      <c r="D125" s="28">
        <v>375</v>
      </c>
    </row>
    <row r="126" spans="1:4" x14ac:dyDescent="0.4">
      <c r="A126" s="132">
        <v>4</v>
      </c>
      <c r="B126" s="36" t="s">
        <v>916</v>
      </c>
      <c r="C126" s="28" t="s">
        <v>5</v>
      </c>
      <c r="D126" s="28">
        <v>375</v>
      </c>
    </row>
    <row r="127" spans="1:4" x14ac:dyDescent="0.4">
      <c r="A127" s="132">
        <v>5</v>
      </c>
      <c r="B127" s="36" t="s">
        <v>917</v>
      </c>
      <c r="C127" s="28" t="s">
        <v>5</v>
      </c>
      <c r="D127" s="28">
        <v>82</v>
      </c>
    </row>
    <row r="128" spans="1:4" x14ac:dyDescent="0.4">
      <c r="A128" s="132">
        <v>6</v>
      </c>
      <c r="B128" s="36" t="s">
        <v>918</v>
      </c>
      <c r="C128" s="28" t="s">
        <v>5</v>
      </c>
      <c r="D128" s="28">
        <v>20</v>
      </c>
    </row>
    <row r="129" spans="1:4" x14ac:dyDescent="0.4">
      <c r="A129" s="132">
        <v>7</v>
      </c>
      <c r="B129" s="36" t="s">
        <v>919</v>
      </c>
      <c r="C129" s="28" t="s">
        <v>5</v>
      </c>
      <c r="D129" s="28">
        <v>20</v>
      </c>
    </row>
    <row r="130" spans="1:4" x14ac:dyDescent="0.4">
      <c r="A130" s="132">
        <v>8</v>
      </c>
      <c r="B130" s="36" t="s">
        <v>920</v>
      </c>
      <c r="C130" s="28" t="s">
        <v>5</v>
      </c>
      <c r="D130" s="28">
        <v>8</v>
      </c>
    </row>
    <row r="131" spans="1:4" x14ac:dyDescent="0.4">
      <c r="A131" s="132">
        <v>9</v>
      </c>
      <c r="B131" s="36" t="s">
        <v>921</v>
      </c>
      <c r="C131" s="28" t="s">
        <v>5</v>
      </c>
      <c r="D131" s="28">
        <v>88</v>
      </c>
    </row>
    <row r="132" spans="1:4" x14ac:dyDescent="0.4">
      <c r="A132" s="132">
        <v>10</v>
      </c>
      <c r="B132" s="36" t="s">
        <v>922</v>
      </c>
      <c r="C132" s="28" t="s">
        <v>5</v>
      </c>
      <c r="D132" s="28">
        <v>9</v>
      </c>
    </row>
    <row r="133" spans="1:4" x14ac:dyDescent="0.4">
      <c r="A133" s="132">
        <v>11</v>
      </c>
      <c r="B133" s="36" t="s">
        <v>923</v>
      </c>
      <c r="C133" s="28" t="s">
        <v>5</v>
      </c>
      <c r="D133" s="28">
        <v>4</v>
      </c>
    </row>
    <row r="134" spans="1:4" x14ac:dyDescent="0.4">
      <c r="A134" s="132">
        <v>12</v>
      </c>
      <c r="B134" s="36" t="s">
        <v>924</v>
      </c>
      <c r="C134" s="28" t="s">
        <v>5</v>
      </c>
      <c r="D134" s="28">
        <v>2</v>
      </c>
    </row>
    <row r="135" spans="1:4" x14ac:dyDescent="0.4">
      <c r="A135" s="132">
        <v>13</v>
      </c>
      <c r="B135" s="36" t="s">
        <v>925</v>
      </c>
      <c r="C135" s="28" t="s">
        <v>5</v>
      </c>
      <c r="D135" s="28">
        <v>100</v>
      </c>
    </row>
    <row r="136" spans="1:4" x14ac:dyDescent="0.4">
      <c r="A136" s="132">
        <v>14</v>
      </c>
      <c r="B136" s="36" t="s">
        <v>926</v>
      </c>
      <c r="C136" s="28" t="s">
        <v>5</v>
      </c>
      <c r="D136" s="28">
        <v>460</v>
      </c>
    </row>
    <row r="137" spans="1:4" x14ac:dyDescent="0.4">
      <c r="A137" s="132">
        <v>15</v>
      </c>
      <c r="B137" s="36" t="s">
        <v>927</v>
      </c>
      <c r="C137" s="28" t="s">
        <v>5</v>
      </c>
      <c r="D137" s="28">
        <v>30</v>
      </c>
    </row>
    <row r="138" spans="1:4" x14ac:dyDescent="0.4">
      <c r="A138" s="132">
        <v>16</v>
      </c>
      <c r="B138" s="36" t="s">
        <v>928</v>
      </c>
      <c r="C138" s="28" t="s">
        <v>5</v>
      </c>
      <c r="D138" s="28">
        <v>8</v>
      </c>
    </row>
    <row r="139" spans="1:4" x14ac:dyDescent="0.4">
      <c r="A139" s="132">
        <v>17</v>
      </c>
      <c r="B139" s="36" t="s">
        <v>929</v>
      </c>
      <c r="C139" s="28" t="s">
        <v>5</v>
      </c>
      <c r="D139" s="28">
        <v>84</v>
      </c>
    </row>
    <row r="140" spans="1:4" x14ac:dyDescent="0.4">
      <c r="A140" s="132">
        <v>18</v>
      </c>
      <c r="B140" s="36" t="s">
        <v>930</v>
      </c>
      <c r="C140" s="28" t="s">
        <v>5</v>
      </c>
      <c r="D140" s="28">
        <v>3</v>
      </c>
    </row>
    <row r="141" spans="1:4" x14ac:dyDescent="0.4">
      <c r="A141" s="132">
        <v>19</v>
      </c>
      <c r="B141" s="36" t="s">
        <v>931</v>
      </c>
      <c r="C141" s="28" t="s">
        <v>5</v>
      </c>
      <c r="D141" s="28">
        <v>385</v>
      </c>
    </row>
    <row r="142" spans="1:4" x14ac:dyDescent="0.4">
      <c r="A142" s="132">
        <v>20</v>
      </c>
      <c r="B142" s="36" t="s">
        <v>932</v>
      </c>
      <c r="C142" s="28" t="s">
        <v>5</v>
      </c>
      <c r="D142" s="28">
        <v>24</v>
      </c>
    </row>
    <row r="143" spans="1:4" x14ac:dyDescent="0.4">
      <c r="A143" s="132">
        <v>21</v>
      </c>
      <c r="B143" s="36" t="s">
        <v>933</v>
      </c>
      <c r="C143" s="28" t="s">
        <v>5</v>
      </c>
      <c r="D143" s="28">
        <v>25</v>
      </c>
    </row>
    <row r="144" spans="1:4" x14ac:dyDescent="0.4">
      <c r="A144" s="132">
        <v>22</v>
      </c>
      <c r="B144" s="36" t="s">
        <v>934</v>
      </c>
      <c r="C144" s="28" t="s">
        <v>5</v>
      </c>
      <c r="D144" s="28">
        <v>35</v>
      </c>
    </row>
    <row r="145" spans="1:4" x14ac:dyDescent="0.4">
      <c r="A145" s="132">
        <v>23</v>
      </c>
      <c r="B145" s="36" t="s">
        <v>935</v>
      </c>
      <c r="C145" s="28" t="s">
        <v>5</v>
      </c>
      <c r="D145" s="28">
        <v>33</v>
      </c>
    </row>
    <row r="146" spans="1:4" x14ac:dyDescent="0.4">
      <c r="A146" s="132">
        <v>24</v>
      </c>
      <c r="B146" s="36" t="s">
        <v>936</v>
      </c>
      <c r="C146" s="28" t="s">
        <v>5</v>
      </c>
      <c r="D146" s="28">
        <v>84</v>
      </c>
    </row>
    <row r="147" spans="1:4" x14ac:dyDescent="0.4">
      <c r="A147" s="132">
        <v>25</v>
      </c>
      <c r="B147" s="36" t="s">
        <v>937</v>
      </c>
      <c r="C147" s="28" t="s">
        <v>5</v>
      </c>
      <c r="D147" s="28">
        <v>6</v>
      </c>
    </row>
    <row r="148" spans="1:4" x14ac:dyDescent="0.4">
      <c r="A148" s="132">
        <v>26</v>
      </c>
      <c r="B148" s="36" t="s">
        <v>938</v>
      </c>
      <c r="C148" s="28" t="s">
        <v>5</v>
      </c>
      <c r="D148" s="28">
        <v>70</v>
      </c>
    </row>
    <row r="149" spans="1:4" x14ac:dyDescent="0.4">
      <c r="A149" s="132">
        <v>27</v>
      </c>
      <c r="B149" s="36" t="s">
        <v>939</v>
      </c>
      <c r="C149" s="28" t="s">
        <v>5</v>
      </c>
      <c r="D149" s="28">
        <v>8</v>
      </c>
    </row>
    <row r="150" spans="1:4" x14ac:dyDescent="0.4">
      <c r="A150" s="132">
        <v>28</v>
      </c>
      <c r="B150" s="36" t="s">
        <v>940</v>
      </c>
      <c r="C150" s="28" t="s">
        <v>5</v>
      </c>
      <c r="D150" s="28">
        <v>19</v>
      </c>
    </row>
    <row r="151" spans="1:4" x14ac:dyDescent="0.4">
      <c r="A151" s="132">
        <v>29</v>
      </c>
      <c r="B151" s="36" t="s">
        <v>941</v>
      </c>
      <c r="C151" s="28" t="s">
        <v>5</v>
      </c>
      <c r="D151" s="28">
        <v>46</v>
      </c>
    </row>
    <row r="152" spans="1:4" x14ac:dyDescent="0.4">
      <c r="A152" s="132">
        <v>30</v>
      </c>
      <c r="B152" s="36" t="s">
        <v>942</v>
      </c>
      <c r="C152" s="28" t="s">
        <v>5</v>
      </c>
      <c r="D152" s="28">
        <v>3</v>
      </c>
    </row>
    <row r="153" spans="1:4" x14ac:dyDescent="0.4">
      <c r="A153" s="132">
        <v>31</v>
      </c>
      <c r="B153" s="36" t="s">
        <v>943</v>
      </c>
      <c r="C153" s="28" t="s">
        <v>5</v>
      </c>
      <c r="D153" s="28">
        <v>40</v>
      </c>
    </row>
    <row r="154" spans="1:4" x14ac:dyDescent="0.4">
      <c r="A154" s="132">
        <v>32</v>
      </c>
      <c r="B154" s="36" t="s">
        <v>944</v>
      </c>
      <c r="C154" s="28" t="s">
        <v>5</v>
      </c>
      <c r="D154" s="28">
        <v>9</v>
      </c>
    </row>
    <row r="155" spans="1:4" x14ac:dyDescent="0.4">
      <c r="A155" s="132">
        <v>33</v>
      </c>
      <c r="B155" s="36" t="s">
        <v>945</v>
      </c>
      <c r="C155" s="28" t="s">
        <v>5</v>
      </c>
      <c r="D155" s="28">
        <v>153</v>
      </c>
    </row>
    <row r="156" spans="1:4" x14ac:dyDescent="0.4">
      <c r="A156" s="132">
        <v>34</v>
      </c>
      <c r="B156" s="36" t="s">
        <v>946</v>
      </c>
      <c r="C156" s="28" t="s">
        <v>5</v>
      </c>
      <c r="D156" s="28">
        <v>80</v>
      </c>
    </row>
    <row r="157" spans="1:4" x14ac:dyDescent="0.4">
      <c r="A157" s="132">
        <v>35</v>
      </c>
      <c r="B157" s="36" t="s">
        <v>947</v>
      </c>
      <c r="C157" s="28" t="s">
        <v>5</v>
      </c>
      <c r="D157" s="28">
        <v>29</v>
      </c>
    </row>
    <row r="158" spans="1:4" x14ac:dyDescent="0.4">
      <c r="A158" s="132">
        <v>36</v>
      </c>
      <c r="B158" s="36" t="s">
        <v>948</v>
      </c>
      <c r="C158" s="28" t="s">
        <v>5</v>
      </c>
      <c r="D158" s="28">
        <v>20</v>
      </c>
    </row>
    <row r="159" spans="1:4" x14ac:dyDescent="0.4">
      <c r="A159" s="132">
        <v>37</v>
      </c>
      <c r="B159" s="36" t="s">
        <v>949</v>
      </c>
      <c r="C159" s="28" t="s">
        <v>5</v>
      </c>
      <c r="D159" s="28">
        <v>18</v>
      </c>
    </row>
    <row r="160" spans="1:4" x14ac:dyDescent="0.4">
      <c r="A160" s="132">
        <v>38</v>
      </c>
      <c r="B160" s="36" t="s">
        <v>950</v>
      </c>
      <c r="C160" s="28" t="s">
        <v>5</v>
      </c>
      <c r="D160" s="28">
        <v>310</v>
      </c>
    </row>
    <row r="161" spans="1:4" x14ac:dyDescent="0.4">
      <c r="A161" s="132">
        <v>39</v>
      </c>
      <c r="B161" s="36" t="s">
        <v>951</v>
      </c>
      <c r="C161" s="28" t="s">
        <v>5</v>
      </c>
      <c r="D161" s="28">
        <v>96</v>
      </c>
    </row>
    <row r="162" spans="1:4" x14ac:dyDescent="0.4">
      <c r="A162" s="132">
        <v>40</v>
      </c>
      <c r="B162" s="36" t="s">
        <v>952</v>
      </c>
      <c r="C162" s="28" t="s">
        <v>5</v>
      </c>
      <c r="D162" s="28">
        <v>116</v>
      </c>
    </row>
    <row r="163" spans="1:4" x14ac:dyDescent="0.4">
      <c r="A163" s="132">
        <v>41</v>
      </c>
      <c r="B163" s="36" t="s">
        <v>953</v>
      </c>
      <c r="C163" s="28" t="s">
        <v>5</v>
      </c>
      <c r="D163" s="28">
        <v>50</v>
      </c>
    </row>
    <row r="164" spans="1:4" x14ac:dyDescent="0.4">
      <c r="A164" s="132">
        <v>42</v>
      </c>
      <c r="B164" s="36" t="s">
        <v>954</v>
      </c>
      <c r="C164" s="28" t="s">
        <v>557</v>
      </c>
      <c r="D164" s="28">
        <v>60</v>
      </c>
    </row>
    <row r="165" spans="1:4" x14ac:dyDescent="0.4">
      <c r="A165" s="132">
        <v>43</v>
      </c>
      <c r="B165" s="36" t="s">
        <v>955</v>
      </c>
      <c r="C165" s="28" t="s">
        <v>557</v>
      </c>
      <c r="D165" s="28">
        <v>22</v>
      </c>
    </row>
    <row r="166" spans="1:4" x14ac:dyDescent="0.4">
      <c r="A166" s="132">
        <v>44</v>
      </c>
      <c r="B166" s="36" t="s">
        <v>956</v>
      </c>
      <c r="C166" s="28" t="s">
        <v>557</v>
      </c>
      <c r="D166" s="28">
        <v>4</v>
      </c>
    </row>
    <row r="167" spans="1:4" x14ac:dyDescent="0.4">
      <c r="A167" s="132">
        <v>45</v>
      </c>
      <c r="B167" s="36" t="s">
        <v>957</v>
      </c>
      <c r="C167" s="28" t="s">
        <v>557</v>
      </c>
      <c r="D167" s="28">
        <v>4</v>
      </c>
    </row>
    <row r="168" spans="1:4" x14ac:dyDescent="0.4">
      <c r="A168" s="132">
        <v>46</v>
      </c>
      <c r="B168" s="36" t="s">
        <v>958</v>
      </c>
      <c r="C168" s="28" t="s">
        <v>557</v>
      </c>
      <c r="D168" s="28">
        <v>4</v>
      </c>
    </row>
    <row r="169" spans="1:4" x14ac:dyDescent="0.4">
      <c r="A169" s="132">
        <v>47</v>
      </c>
      <c r="B169" s="36" t="s">
        <v>959</v>
      </c>
      <c r="C169" s="28" t="s">
        <v>557</v>
      </c>
      <c r="D169" s="28">
        <v>184</v>
      </c>
    </row>
    <row r="170" spans="1:4" x14ac:dyDescent="0.4">
      <c r="A170" s="132">
        <v>48</v>
      </c>
      <c r="B170" s="36" t="s">
        <v>960</v>
      </c>
      <c r="C170" s="28" t="s">
        <v>557</v>
      </c>
      <c r="D170" s="28">
        <v>106</v>
      </c>
    </row>
    <row r="171" spans="1:4" x14ac:dyDescent="0.4">
      <c r="A171" s="132">
        <v>49</v>
      </c>
      <c r="B171" s="36" t="s">
        <v>961</v>
      </c>
      <c r="C171" s="28" t="s">
        <v>557</v>
      </c>
      <c r="D171" s="28">
        <v>20</v>
      </c>
    </row>
    <row r="172" spans="1:4" x14ac:dyDescent="0.4">
      <c r="A172" s="132">
        <v>50</v>
      </c>
      <c r="B172" s="36" t="s">
        <v>962</v>
      </c>
      <c r="C172" s="28" t="s">
        <v>557</v>
      </c>
      <c r="D172" s="28">
        <v>20</v>
      </c>
    </row>
    <row r="173" spans="1:4" x14ac:dyDescent="0.4">
      <c r="A173" s="132">
        <v>51</v>
      </c>
      <c r="B173" s="36" t="s">
        <v>963</v>
      </c>
      <c r="C173" s="28" t="s">
        <v>557</v>
      </c>
      <c r="D173" s="28">
        <v>16</v>
      </c>
    </row>
    <row r="174" spans="1:4" x14ac:dyDescent="0.4">
      <c r="A174" s="132">
        <v>52</v>
      </c>
      <c r="B174" s="252" t="s">
        <v>964</v>
      </c>
      <c r="C174" s="28" t="s">
        <v>557</v>
      </c>
      <c r="D174" s="28">
        <v>3</v>
      </c>
    </row>
    <row r="175" spans="1:4" ht="14.25" customHeight="1" x14ac:dyDescent="0.4">
      <c r="A175" s="132">
        <v>53</v>
      </c>
      <c r="B175" s="252" t="s">
        <v>965</v>
      </c>
      <c r="C175" s="28" t="s">
        <v>557</v>
      </c>
      <c r="D175" s="28">
        <v>6</v>
      </c>
    </row>
    <row r="176" spans="1:4" ht="27.6" x14ac:dyDescent="0.4">
      <c r="A176" s="132">
        <v>54</v>
      </c>
      <c r="B176" s="252" t="s">
        <v>966</v>
      </c>
      <c r="C176" s="28" t="s">
        <v>557</v>
      </c>
      <c r="D176" s="28">
        <v>20</v>
      </c>
    </row>
    <row r="177" spans="1:4" x14ac:dyDescent="0.4">
      <c r="A177" s="132">
        <v>55</v>
      </c>
      <c r="B177" s="36" t="s">
        <v>967</v>
      </c>
      <c r="C177" s="28" t="s">
        <v>557</v>
      </c>
      <c r="D177" s="28">
        <v>20</v>
      </c>
    </row>
    <row r="178" spans="1:4" x14ac:dyDescent="0.4">
      <c r="A178" s="132">
        <v>56</v>
      </c>
      <c r="B178" s="252" t="s">
        <v>968</v>
      </c>
      <c r="C178" s="28" t="s">
        <v>907</v>
      </c>
      <c r="D178" s="28">
        <v>7</v>
      </c>
    </row>
    <row r="179" spans="1:4" x14ac:dyDescent="0.4">
      <c r="A179" s="132">
        <v>57</v>
      </c>
      <c r="B179" s="36" t="s">
        <v>969</v>
      </c>
      <c r="C179" s="28" t="s">
        <v>5</v>
      </c>
      <c r="D179" s="28">
        <v>23</v>
      </c>
    </row>
    <row r="180" spans="1:4" x14ac:dyDescent="0.4">
      <c r="A180" s="132">
        <v>58</v>
      </c>
      <c r="B180" s="36" t="s">
        <v>970</v>
      </c>
      <c r="C180" s="28" t="s">
        <v>5</v>
      </c>
      <c r="D180" s="28">
        <v>6</v>
      </c>
    </row>
    <row r="181" spans="1:4" x14ac:dyDescent="0.4">
      <c r="A181" s="132">
        <v>59</v>
      </c>
      <c r="B181" s="36" t="s">
        <v>909</v>
      </c>
      <c r="C181" s="28" t="s">
        <v>557</v>
      </c>
      <c r="D181" s="28">
        <v>7</v>
      </c>
    </row>
    <row r="182" spans="1:4" x14ac:dyDescent="0.4">
      <c r="A182" s="132">
        <v>60</v>
      </c>
      <c r="B182" s="36" t="s">
        <v>910</v>
      </c>
      <c r="C182" s="28" t="s">
        <v>557</v>
      </c>
      <c r="D182" s="28">
        <v>1</v>
      </c>
    </row>
    <row r="183" spans="1:4" x14ac:dyDescent="0.4">
      <c r="A183" s="265"/>
    </row>
    <row r="184" spans="1:4" x14ac:dyDescent="0.4">
      <c r="A184" s="265"/>
      <c r="B184" s="339" t="s">
        <v>971</v>
      </c>
      <c r="C184" s="249"/>
      <c r="D184" s="249"/>
    </row>
    <row r="185" spans="1:4" x14ac:dyDescent="0.4">
      <c r="A185" s="132">
        <v>1</v>
      </c>
      <c r="B185" s="36" t="s">
        <v>972</v>
      </c>
      <c r="C185" s="28" t="s">
        <v>557</v>
      </c>
      <c r="D185" s="28">
        <v>1</v>
      </c>
    </row>
    <row r="186" spans="1:4" x14ac:dyDescent="0.4">
      <c r="A186" s="132">
        <v>2</v>
      </c>
      <c r="B186" s="36" t="s">
        <v>973</v>
      </c>
      <c r="C186" s="28" t="s">
        <v>557</v>
      </c>
      <c r="D186" s="28">
        <v>42</v>
      </c>
    </row>
    <row r="187" spans="1:4" ht="17.25" customHeight="1" x14ac:dyDescent="0.4">
      <c r="A187" s="132">
        <v>3</v>
      </c>
      <c r="B187" s="36" t="s">
        <v>974</v>
      </c>
      <c r="C187" s="28" t="s">
        <v>557</v>
      </c>
      <c r="D187" s="28">
        <v>8</v>
      </c>
    </row>
    <row r="188" spans="1:4" x14ac:dyDescent="0.4">
      <c r="A188" s="132">
        <v>4</v>
      </c>
      <c r="B188" s="36" t="s">
        <v>975</v>
      </c>
      <c r="C188" s="28" t="s">
        <v>557</v>
      </c>
      <c r="D188" s="28">
        <v>1</v>
      </c>
    </row>
    <row r="189" spans="1:4" x14ac:dyDescent="0.4">
      <c r="A189" s="132">
        <v>5</v>
      </c>
      <c r="B189" s="36" t="s">
        <v>976</v>
      </c>
      <c r="C189" s="28" t="s">
        <v>557</v>
      </c>
      <c r="D189" s="28">
        <v>6</v>
      </c>
    </row>
    <row r="190" spans="1:4" x14ac:dyDescent="0.4">
      <c r="A190" s="132">
        <v>6</v>
      </c>
      <c r="B190" s="36" t="s">
        <v>977</v>
      </c>
      <c r="C190" s="28" t="s">
        <v>557</v>
      </c>
      <c r="D190" s="28">
        <v>3</v>
      </c>
    </row>
    <row r="191" spans="1:4" x14ac:dyDescent="0.4">
      <c r="A191" s="132">
        <v>7</v>
      </c>
      <c r="B191" s="36" t="s">
        <v>978</v>
      </c>
      <c r="C191" s="28" t="s">
        <v>557</v>
      </c>
      <c r="D191" s="28">
        <v>50</v>
      </c>
    </row>
    <row r="192" spans="1:4" x14ac:dyDescent="0.4">
      <c r="A192" s="132">
        <v>8</v>
      </c>
      <c r="B192" s="36" t="s">
        <v>979</v>
      </c>
      <c r="C192" s="28" t="s">
        <v>557</v>
      </c>
      <c r="D192" s="28">
        <v>50</v>
      </c>
    </row>
    <row r="193" spans="1:4" x14ac:dyDescent="0.4">
      <c r="A193" s="132">
        <v>9</v>
      </c>
      <c r="B193" s="36" t="s">
        <v>980</v>
      </c>
      <c r="C193" s="28" t="s">
        <v>557</v>
      </c>
      <c r="D193" s="28">
        <v>1</v>
      </c>
    </row>
    <row r="194" spans="1:4" x14ac:dyDescent="0.4">
      <c r="A194" s="132">
        <v>10</v>
      </c>
      <c r="B194" s="36" t="s">
        <v>981</v>
      </c>
      <c r="C194" s="28" t="s">
        <v>557</v>
      </c>
      <c r="D194" s="28">
        <v>42</v>
      </c>
    </row>
    <row r="195" spans="1:4" x14ac:dyDescent="0.4">
      <c r="A195" s="132">
        <v>11</v>
      </c>
      <c r="B195" s="36" t="s">
        <v>982</v>
      </c>
      <c r="C195" s="28" t="s">
        <v>557</v>
      </c>
      <c r="D195" s="28">
        <v>8</v>
      </c>
    </row>
    <row r="196" spans="1:4" x14ac:dyDescent="0.4">
      <c r="A196" s="132">
        <v>12</v>
      </c>
      <c r="B196" s="36" t="s">
        <v>983</v>
      </c>
      <c r="C196" s="28" t="s">
        <v>557</v>
      </c>
      <c r="D196" s="28">
        <v>9</v>
      </c>
    </row>
    <row r="197" spans="1:4" x14ac:dyDescent="0.4">
      <c r="A197" s="132">
        <v>13</v>
      </c>
      <c r="B197" s="36" t="s">
        <v>984</v>
      </c>
      <c r="C197" s="28" t="s">
        <v>5</v>
      </c>
      <c r="D197" s="28">
        <v>710</v>
      </c>
    </row>
    <row r="198" spans="1:4" x14ac:dyDescent="0.4">
      <c r="A198" s="132">
        <v>14</v>
      </c>
      <c r="B198" s="36" t="s">
        <v>985</v>
      </c>
      <c r="C198" s="28" t="s">
        <v>5</v>
      </c>
      <c r="D198" s="28">
        <v>710</v>
      </c>
    </row>
    <row r="199" spans="1:4" x14ac:dyDescent="0.4">
      <c r="A199" s="132">
        <v>15</v>
      </c>
      <c r="B199" s="36" t="s">
        <v>986</v>
      </c>
      <c r="C199" s="28" t="s">
        <v>5</v>
      </c>
      <c r="D199" s="28">
        <v>25</v>
      </c>
    </row>
    <row r="200" spans="1:4" x14ac:dyDescent="0.4">
      <c r="A200" s="132">
        <v>16</v>
      </c>
      <c r="B200" s="36" t="s">
        <v>987</v>
      </c>
      <c r="C200" s="28" t="s">
        <v>5</v>
      </c>
      <c r="D200" s="28">
        <v>25</v>
      </c>
    </row>
    <row r="201" spans="1:4" x14ac:dyDescent="0.4">
      <c r="A201" s="132">
        <v>17</v>
      </c>
      <c r="B201" s="36" t="s">
        <v>988</v>
      </c>
      <c r="C201" s="28" t="s">
        <v>5</v>
      </c>
      <c r="D201" s="28">
        <v>2</v>
      </c>
    </row>
    <row r="202" spans="1:4" x14ac:dyDescent="0.4">
      <c r="A202" s="132">
        <v>18</v>
      </c>
      <c r="B202" s="36" t="s">
        <v>989</v>
      </c>
      <c r="C202" s="28" t="s">
        <v>5</v>
      </c>
      <c r="D202" s="28">
        <v>710</v>
      </c>
    </row>
    <row r="203" spans="1:4" x14ac:dyDescent="0.4">
      <c r="A203" s="132">
        <v>19</v>
      </c>
      <c r="B203" s="36" t="s">
        <v>990</v>
      </c>
      <c r="C203" s="28" t="s">
        <v>5</v>
      </c>
      <c r="D203" s="28">
        <v>25</v>
      </c>
    </row>
    <row r="204" spans="1:4" x14ac:dyDescent="0.4">
      <c r="A204" s="132">
        <v>20</v>
      </c>
      <c r="B204" s="335" t="s">
        <v>991</v>
      </c>
      <c r="C204" s="28" t="s">
        <v>557</v>
      </c>
      <c r="D204" s="28">
        <v>124</v>
      </c>
    </row>
    <row r="205" spans="1:4" x14ac:dyDescent="0.4">
      <c r="A205" s="265"/>
    </row>
    <row r="206" spans="1:4" x14ac:dyDescent="0.4">
      <c r="A206" s="265"/>
      <c r="B206" s="339" t="s">
        <v>992</v>
      </c>
      <c r="C206" s="249"/>
      <c r="D206" s="249"/>
    </row>
    <row r="207" spans="1:4" x14ac:dyDescent="0.4">
      <c r="A207" s="132">
        <v>1</v>
      </c>
      <c r="B207" s="36" t="s">
        <v>993</v>
      </c>
      <c r="C207" s="28" t="s">
        <v>557</v>
      </c>
      <c r="D207" s="28">
        <v>1</v>
      </c>
    </row>
    <row r="208" spans="1:4" x14ac:dyDescent="0.4">
      <c r="A208" s="132">
        <v>2</v>
      </c>
      <c r="B208" s="36" t="s">
        <v>994</v>
      </c>
      <c r="C208" s="28" t="s">
        <v>557</v>
      </c>
      <c r="D208" s="28">
        <v>1</v>
      </c>
    </row>
    <row r="209" spans="1:4" x14ac:dyDescent="0.4">
      <c r="A209" s="132">
        <v>3</v>
      </c>
      <c r="B209" s="36" t="s">
        <v>995</v>
      </c>
      <c r="C209" s="28" t="s">
        <v>557</v>
      </c>
      <c r="D209" s="28">
        <v>1</v>
      </c>
    </row>
    <row r="210" spans="1:4" x14ac:dyDescent="0.4">
      <c r="A210" s="132">
        <v>4</v>
      </c>
      <c r="B210" s="36" t="s">
        <v>996</v>
      </c>
      <c r="C210" s="28" t="s">
        <v>557</v>
      </c>
      <c r="D210" s="28">
        <v>1</v>
      </c>
    </row>
    <row r="211" spans="1:4" x14ac:dyDescent="0.4">
      <c r="A211" s="132">
        <v>5</v>
      </c>
      <c r="B211" s="36" t="s">
        <v>997</v>
      </c>
      <c r="C211" s="28" t="s">
        <v>5</v>
      </c>
      <c r="D211" s="28">
        <v>18</v>
      </c>
    </row>
    <row r="212" spans="1:4" x14ac:dyDescent="0.4">
      <c r="A212" s="132">
        <v>6</v>
      </c>
      <c r="B212" s="36" t="s">
        <v>998</v>
      </c>
      <c r="C212" s="28" t="s">
        <v>5</v>
      </c>
      <c r="D212" s="28">
        <v>18</v>
      </c>
    </row>
    <row r="213" spans="1:4" x14ac:dyDescent="0.4">
      <c r="A213" s="132">
        <v>7</v>
      </c>
      <c r="B213" s="36" t="s">
        <v>999</v>
      </c>
      <c r="C213" s="28" t="s">
        <v>5</v>
      </c>
      <c r="D213" s="28">
        <v>8</v>
      </c>
    </row>
    <row r="214" spans="1:4" x14ac:dyDescent="0.4">
      <c r="A214" s="132">
        <v>8</v>
      </c>
      <c r="B214" s="36" t="s">
        <v>1000</v>
      </c>
      <c r="C214" s="28" t="s">
        <v>5</v>
      </c>
      <c r="D214" s="28">
        <v>8</v>
      </c>
    </row>
    <row r="215" spans="1:4" x14ac:dyDescent="0.4">
      <c r="A215" s="132">
        <v>9</v>
      </c>
      <c r="B215" s="36" t="s">
        <v>989</v>
      </c>
      <c r="C215" s="28" t="s">
        <v>5</v>
      </c>
      <c r="D215" s="28">
        <v>20</v>
      </c>
    </row>
    <row r="216" spans="1:4" x14ac:dyDescent="0.4">
      <c r="A216" s="132">
        <v>10</v>
      </c>
      <c r="B216" s="36" t="s">
        <v>1001</v>
      </c>
      <c r="C216" s="28" t="s">
        <v>557</v>
      </c>
      <c r="D216" s="28">
        <v>5</v>
      </c>
    </row>
    <row r="217" spans="1:4" x14ac:dyDescent="0.4">
      <c r="A217" s="132">
        <v>11</v>
      </c>
      <c r="B217" s="335" t="s">
        <v>991</v>
      </c>
      <c r="C217" s="28" t="s">
        <v>557</v>
      </c>
      <c r="D217" s="28">
        <v>36</v>
      </c>
    </row>
    <row r="218" spans="1:4" x14ac:dyDescent="0.4">
      <c r="A218" s="265"/>
      <c r="C218" s="249"/>
      <c r="D218" s="249"/>
    </row>
    <row r="219" spans="1:4" x14ac:dyDescent="0.4">
      <c r="A219" s="265"/>
      <c r="B219" s="339" t="s">
        <v>1002</v>
      </c>
      <c r="C219" s="249"/>
      <c r="D219" s="249"/>
    </row>
    <row r="220" spans="1:4" ht="47.25" customHeight="1" x14ac:dyDescent="0.4">
      <c r="A220" s="132">
        <v>1</v>
      </c>
      <c r="B220" s="36" t="s">
        <v>1003</v>
      </c>
      <c r="C220" s="28" t="s">
        <v>907</v>
      </c>
      <c r="D220" s="28">
        <v>1</v>
      </c>
    </row>
    <row r="221" spans="1:4" ht="27.6" x14ac:dyDescent="0.4">
      <c r="A221" s="132">
        <v>2</v>
      </c>
      <c r="B221" s="36" t="s">
        <v>1033</v>
      </c>
      <c r="C221" s="28" t="s">
        <v>4</v>
      </c>
      <c r="D221" s="28">
        <v>5</v>
      </c>
    </row>
    <row r="222" spans="1:4" x14ac:dyDescent="0.4">
      <c r="A222" s="132">
        <v>3</v>
      </c>
      <c r="B222" s="36" t="s">
        <v>1032</v>
      </c>
      <c r="C222" s="28" t="s">
        <v>4</v>
      </c>
      <c r="D222" s="28">
        <v>2</v>
      </c>
    </row>
    <row r="223" spans="1:4" x14ac:dyDescent="0.4">
      <c r="A223" s="132">
        <v>4</v>
      </c>
      <c r="B223" s="36" t="s">
        <v>1034</v>
      </c>
      <c r="C223" s="28" t="s">
        <v>4</v>
      </c>
      <c r="D223" s="28">
        <v>2</v>
      </c>
    </row>
    <row r="224" spans="1:4" ht="27.6" x14ac:dyDescent="0.4">
      <c r="A224" s="132">
        <v>5</v>
      </c>
      <c r="B224" s="36" t="s">
        <v>1004</v>
      </c>
      <c r="C224" s="28" t="s">
        <v>557</v>
      </c>
      <c r="D224" s="28">
        <v>5</v>
      </c>
    </row>
    <row r="225" spans="1:4" x14ac:dyDescent="0.4">
      <c r="A225" s="132">
        <v>6</v>
      </c>
      <c r="B225" s="36" t="s">
        <v>1005</v>
      </c>
      <c r="C225" s="28" t="s">
        <v>557</v>
      </c>
      <c r="D225" s="28">
        <v>10</v>
      </c>
    </row>
    <row r="226" spans="1:4" x14ac:dyDescent="0.4">
      <c r="A226" s="132">
        <v>7</v>
      </c>
      <c r="B226" s="36" t="s">
        <v>1006</v>
      </c>
      <c r="C226" s="28" t="s">
        <v>557</v>
      </c>
      <c r="D226" s="28">
        <v>5</v>
      </c>
    </row>
    <row r="227" spans="1:4" x14ac:dyDescent="0.4">
      <c r="A227" s="132">
        <v>8</v>
      </c>
      <c r="B227" s="36" t="s">
        <v>1007</v>
      </c>
      <c r="C227" s="28" t="s">
        <v>557</v>
      </c>
      <c r="D227" s="28">
        <v>10</v>
      </c>
    </row>
    <row r="228" spans="1:4" x14ac:dyDescent="0.4">
      <c r="A228" s="132">
        <v>9</v>
      </c>
      <c r="B228" s="36" t="s">
        <v>1008</v>
      </c>
      <c r="C228" s="28" t="s">
        <v>5</v>
      </c>
      <c r="D228" s="28">
        <v>470</v>
      </c>
    </row>
    <row r="229" spans="1:4" x14ac:dyDescent="0.4">
      <c r="A229" s="132">
        <v>10</v>
      </c>
      <c r="B229" s="36" t="s">
        <v>1009</v>
      </c>
      <c r="C229" s="28" t="s">
        <v>5</v>
      </c>
      <c r="D229" s="28">
        <v>120</v>
      </c>
    </row>
    <row r="230" spans="1:4" x14ac:dyDescent="0.4">
      <c r="A230" s="132">
        <v>11</v>
      </c>
      <c r="B230" s="36" t="s">
        <v>1010</v>
      </c>
      <c r="C230" s="28" t="s">
        <v>5</v>
      </c>
      <c r="D230" s="28">
        <v>175</v>
      </c>
    </row>
    <row r="231" spans="1:4" x14ac:dyDescent="0.4">
      <c r="A231" s="132">
        <v>12</v>
      </c>
      <c r="B231" s="36" t="s">
        <v>1011</v>
      </c>
      <c r="C231" s="28" t="s">
        <v>5</v>
      </c>
      <c r="D231" s="28">
        <v>2</v>
      </c>
    </row>
    <row r="232" spans="1:4" x14ac:dyDescent="0.4">
      <c r="A232" s="132">
        <v>13</v>
      </c>
      <c r="B232" s="36" t="s">
        <v>989</v>
      </c>
      <c r="C232" s="28" t="s">
        <v>5</v>
      </c>
      <c r="D232" s="28">
        <v>175</v>
      </c>
    </row>
    <row r="233" spans="1:4" x14ac:dyDescent="0.4">
      <c r="A233" s="132">
        <v>14</v>
      </c>
      <c r="B233" s="36" t="s">
        <v>1012</v>
      </c>
      <c r="C233" s="28" t="s">
        <v>5</v>
      </c>
      <c r="D233" s="28">
        <v>60</v>
      </c>
    </row>
    <row r="234" spans="1:4" x14ac:dyDescent="0.4">
      <c r="A234" s="132">
        <v>15</v>
      </c>
      <c r="B234" s="36" t="s">
        <v>1013</v>
      </c>
      <c r="C234" s="28" t="s">
        <v>5</v>
      </c>
      <c r="D234" s="28">
        <v>60</v>
      </c>
    </row>
    <row r="235" spans="1:4" x14ac:dyDescent="0.4">
      <c r="A235" s="132">
        <v>16</v>
      </c>
      <c r="B235" s="36" t="s">
        <v>1014</v>
      </c>
      <c r="C235" s="28" t="s">
        <v>5</v>
      </c>
      <c r="D235" s="28">
        <v>2</v>
      </c>
    </row>
    <row r="236" spans="1:4" x14ac:dyDescent="0.4">
      <c r="A236" s="132">
        <v>17</v>
      </c>
      <c r="B236" s="36" t="s">
        <v>1015</v>
      </c>
      <c r="C236" s="28" t="s">
        <v>5</v>
      </c>
      <c r="D236" s="28">
        <v>3</v>
      </c>
    </row>
    <row r="237" spans="1:4" x14ac:dyDescent="0.4">
      <c r="A237" s="132">
        <v>18</v>
      </c>
      <c r="B237" s="36" t="s">
        <v>1016</v>
      </c>
      <c r="C237" s="28" t="s">
        <v>557</v>
      </c>
      <c r="D237" s="28">
        <v>1</v>
      </c>
    </row>
    <row r="238" spans="1:4" x14ac:dyDescent="0.4">
      <c r="A238" s="132">
        <v>19</v>
      </c>
      <c r="B238" s="36" t="s">
        <v>1017</v>
      </c>
      <c r="C238" s="28" t="s">
        <v>557</v>
      </c>
      <c r="D238" s="28">
        <v>1</v>
      </c>
    </row>
    <row r="239" spans="1:4" x14ac:dyDescent="0.4">
      <c r="A239" s="132">
        <v>20</v>
      </c>
      <c r="B239" s="36" t="s">
        <v>1018</v>
      </c>
      <c r="C239" s="28" t="s">
        <v>557</v>
      </c>
      <c r="D239" s="28">
        <v>1</v>
      </c>
    </row>
    <row r="240" spans="1:4" x14ac:dyDescent="0.4">
      <c r="A240" s="132">
        <v>21</v>
      </c>
      <c r="B240" s="335" t="s">
        <v>1019</v>
      </c>
      <c r="C240" s="28" t="s">
        <v>907</v>
      </c>
      <c r="D240" s="28">
        <v>1</v>
      </c>
    </row>
    <row r="241" spans="1:4" x14ac:dyDescent="0.4">
      <c r="A241" s="132">
        <v>22</v>
      </c>
      <c r="B241" s="335" t="s">
        <v>991</v>
      </c>
      <c r="C241" s="28" t="s">
        <v>557</v>
      </c>
      <c r="D241" s="28">
        <v>100</v>
      </c>
    </row>
    <row r="242" spans="1:4" x14ac:dyDescent="0.4">
      <c r="C242" s="249"/>
      <c r="D242" s="249"/>
    </row>
    <row r="243" spans="1:4" x14ac:dyDescent="0.4">
      <c r="C243" s="249"/>
      <c r="D243" s="249"/>
    </row>
    <row r="244" spans="1:4" x14ac:dyDescent="0.4">
      <c r="C244" s="249"/>
      <c r="D244" s="249"/>
    </row>
    <row r="245" spans="1:4" x14ac:dyDescent="0.4">
      <c r="C245" s="249"/>
      <c r="D245" s="249"/>
    </row>
    <row r="246" spans="1:4" x14ac:dyDescent="0.4">
      <c r="B246" s="512"/>
      <c r="C246" s="512"/>
      <c r="D246" s="512"/>
    </row>
    <row r="247" spans="1:4" x14ac:dyDescent="0.4">
      <c r="B247" s="207" t="s">
        <v>1020</v>
      </c>
    </row>
    <row r="248" spans="1:4" x14ac:dyDescent="0.4">
      <c r="B248" s="207" t="s">
        <v>1277</v>
      </c>
    </row>
  </sheetData>
  <mergeCells count="5">
    <mergeCell ref="A1:D1"/>
    <mergeCell ref="A3:D3"/>
    <mergeCell ref="A5:B5"/>
    <mergeCell ref="A6:C6"/>
    <mergeCell ref="B246:D246"/>
  </mergeCells>
  <pageMargins left="0.51181102362204722" right="0.19685039370078741" top="0.19685039370078741" bottom="0.19685039370078741" header="0.31496062992125984" footer="0.31496062992125984"/>
  <pageSetup paperSize="9" scale="9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58EC-91F8-40E6-9A56-8E927B7542BC}">
  <dimension ref="A1:D286"/>
  <sheetViews>
    <sheetView workbookViewId="0"/>
  </sheetViews>
  <sheetFormatPr defaultRowHeight="13.8" x14ac:dyDescent="0.45"/>
  <cols>
    <col min="1" max="1" width="4.109375" style="227" customWidth="1"/>
    <col min="2" max="2" width="76.609375" style="208" customWidth="1"/>
    <col min="3" max="3" width="8" style="208" customWidth="1"/>
    <col min="4" max="4" width="11.88671875" style="208" customWidth="1"/>
  </cols>
  <sheetData>
    <row r="1" spans="1:4" s="214" customFormat="1" ht="15" x14ac:dyDescent="0.5">
      <c r="A1" s="451" t="s">
        <v>267</v>
      </c>
      <c r="B1" s="48"/>
      <c r="C1" s="210"/>
      <c r="D1" s="50"/>
    </row>
    <row r="2" spans="1:4" s="214" customFormat="1" ht="15" x14ac:dyDescent="0.5">
      <c r="A2" s="225"/>
      <c r="B2" s="48"/>
      <c r="C2" s="210"/>
      <c r="D2" s="50"/>
    </row>
    <row r="3" spans="1:4" s="214" customFormat="1" ht="48" customHeight="1" x14ac:dyDescent="0.5">
      <c r="A3" s="452" t="s">
        <v>493</v>
      </c>
      <c r="B3" s="452"/>
      <c r="C3" s="452"/>
      <c r="D3" s="452"/>
    </row>
    <row r="4" spans="1:4" ht="30" customHeight="1" x14ac:dyDescent="0.4">
      <c r="A4" s="226"/>
      <c r="B4" s="206"/>
      <c r="C4" s="206"/>
      <c r="D4" s="206"/>
    </row>
    <row r="5" spans="1:4" ht="30" customHeight="1" x14ac:dyDescent="0.4">
      <c r="A5" s="226"/>
      <c r="B5" s="215" t="s">
        <v>555</v>
      </c>
      <c r="C5" s="206"/>
      <c r="D5" s="206"/>
    </row>
    <row r="6" spans="1:4" ht="30" customHeight="1" x14ac:dyDescent="0.4">
      <c r="A6" s="226"/>
      <c r="B6" s="215"/>
      <c r="C6" s="206"/>
      <c r="D6" s="206"/>
    </row>
    <row r="7" spans="1:4" ht="30" customHeight="1" x14ac:dyDescent="0.45">
      <c r="A7" s="440" t="s">
        <v>1439</v>
      </c>
      <c r="C7" s="206"/>
      <c r="D7" s="206"/>
    </row>
    <row r="8" spans="1:4" ht="30" customHeight="1" x14ac:dyDescent="0.4">
      <c r="A8" s="226"/>
      <c r="B8" s="206"/>
      <c r="C8" s="206"/>
      <c r="D8" s="206"/>
    </row>
    <row r="9" spans="1:4" ht="30" customHeight="1" x14ac:dyDescent="0.4">
      <c r="A9" s="229" t="s">
        <v>7</v>
      </c>
      <c r="B9" s="86" t="s">
        <v>558</v>
      </c>
      <c r="C9" s="230" t="s">
        <v>9</v>
      </c>
      <c r="D9" s="231" t="s">
        <v>11</v>
      </c>
    </row>
    <row r="10" spans="1:4" x14ac:dyDescent="0.45">
      <c r="A10" s="137"/>
      <c r="B10" s="232" t="s">
        <v>1440</v>
      </c>
      <c r="C10" s="218"/>
      <c r="D10" s="219"/>
    </row>
    <row r="11" spans="1:4" x14ac:dyDescent="0.4">
      <c r="A11" s="233">
        <v>1</v>
      </c>
      <c r="B11" s="234" t="s">
        <v>495</v>
      </c>
      <c r="C11" s="39" t="s">
        <v>556</v>
      </c>
      <c r="D11" s="39">
        <v>3</v>
      </c>
    </row>
    <row r="12" spans="1:4" x14ac:dyDescent="0.4">
      <c r="A12" s="233">
        <v>2</v>
      </c>
      <c r="B12" s="234" t="s">
        <v>496</v>
      </c>
      <c r="C12" s="39" t="s">
        <v>556</v>
      </c>
      <c r="D12" s="39">
        <v>4</v>
      </c>
    </row>
    <row r="13" spans="1:4" x14ac:dyDescent="0.4">
      <c r="A13" s="233">
        <v>3</v>
      </c>
      <c r="B13" s="234" t="s">
        <v>497</v>
      </c>
      <c r="C13" s="39" t="s">
        <v>556</v>
      </c>
      <c r="D13" s="39">
        <v>1</v>
      </c>
    </row>
    <row r="14" spans="1:4" ht="27.6" x14ac:dyDescent="0.4">
      <c r="A14" s="233">
        <v>4</v>
      </c>
      <c r="B14" s="234" t="s">
        <v>498</v>
      </c>
      <c r="C14" s="39" t="s">
        <v>556</v>
      </c>
      <c r="D14" s="39">
        <v>5</v>
      </c>
    </row>
    <row r="15" spans="1:4" x14ac:dyDescent="0.4">
      <c r="A15" s="233">
        <v>5</v>
      </c>
      <c r="B15" s="212" t="s">
        <v>499</v>
      </c>
      <c r="C15" s="39" t="s">
        <v>556</v>
      </c>
      <c r="D15" s="39">
        <v>6</v>
      </c>
    </row>
    <row r="16" spans="1:4" ht="27.6" x14ac:dyDescent="0.4">
      <c r="A16" s="233">
        <v>6</v>
      </c>
      <c r="B16" s="212" t="s">
        <v>500</v>
      </c>
      <c r="C16" s="39" t="s">
        <v>556</v>
      </c>
      <c r="D16" s="39">
        <v>1</v>
      </c>
    </row>
    <row r="17" spans="1:4" ht="27.6" x14ac:dyDescent="0.4">
      <c r="A17" s="233">
        <v>7</v>
      </c>
      <c r="B17" s="212" t="s">
        <v>501</v>
      </c>
      <c r="C17" s="39" t="s">
        <v>556</v>
      </c>
      <c r="D17" s="39">
        <v>1</v>
      </c>
    </row>
    <row r="18" spans="1:4" ht="27.6" x14ac:dyDescent="0.4">
      <c r="A18" s="233">
        <v>8</v>
      </c>
      <c r="B18" s="212" t="s">
        <v>502</v>
      </c>
      <c r="C18" s="39" t="s">
        <v>556</v>
      </c>
      <c r="D18" s="39">
        <v>1</v>
      </c>
    </row>
    <row r="19" spans="1:4" ht="27.6" x14ac:dyDescent="0.4">
      <c r="A19" s="233">
        <v>9</v>
      </c>
      <c r="B19" s="212" t="s">
        <v>503</v>
      </c>
      <c r="C19" s="39" t="s">
        <v>556</v>
      </c>
      <c r="D19" s="39">
        <v>1</v>
      </c>
    </row>
    <row r="20" spans="1:4" x14ac:dyDescent="0.4">
      <c r="A20" s="233">
        <v>10</v>
      </c>
      <c r="B20" s="234" t="s">
        <v>504</v>
      </c>
      <c r="C20" s="39" t="s">
        <v>556</v>
      </c>
      <c r="D20" s="39">
        <v>1</v>
      </c>
    </row>
    <row r="21" spans="1:4" x14ac:dyDescent="0.4">
      <c r="A21" s="233">
        <v>11</v>
      </c>
      <c r="B21" s="234" t="s">
        <v>505</v>
      </c>
      <c r="C21" s="39" t="s">
        <v>556</v>
      </c>
      <c r="D21" s="39">
        <v>1</v>
      </c>
    </row>
    <row r="22" spans="1:4" x14ac:dyDescent="0.4">
      <c r="A22" s="233">
        <v>12</v>
      </c>
      <c r="B22" s="212" t="s">
        <v>506</v>
      </c>
      <c r="C22" s="39" t="s">
        <v>556</v>
      </c>
      <c r="D22" s="39">
        <v>7</v>
      </c>
    </row>
    <row r="23" spans="1:4" x14ac:dyDescent="0.4">
      <c r="A23" s="233">
        <v>13</v>
      </c>
      <c r="B23" s="234" t="s">
        <v>507</v>
      </c>
      <c r="C23" s="39" t="s">
        <v>556</v>
      </c>
      <c r="D23" s="39">
        <v>9</v>
      </c>
    </row>
    <row r="24" spans="1:4" x14ac:dyDescent="0.4">
      <c r="A24" s="233">
        <v>14</v>
      </c>
      <c r="B24" s="212" t="s">
        <v>508</v>
      </c>
      <c r="C24" s="39" t="s">
        <v>556</v>
      </c>
      <c r="D24" s="39">
        <v>3</v>
      </c>
    </row>
    <row r="25" spans="1:4" x14ac:dyDescent="0.4">
      <c r="A25" s="233">
        <v>15</v>
      </c>
      <c r="B25" s="212" t="s">
        <v>509</v>
      </c>
      <c r="C25" s="39" t="s">
        <v>556</v>
      </c>
      <c r="D25" s="39">
        <v>1</v>
      </c>
    </row>
    <row r="26" spans="1:4" x14ac:dyDescent="0.4">
      <c r="A26" s="233">
        <v>16</v>
      </c>
      <c r="B26" s="212" t="s">
        <v>510</v>
      </c>
      <c r="C26" s="39" t="s">
        <v>556</v>
      </c>
      <c r="D26" s="39">
        <v>1</v>
      </c>
    </row>
    <row r="27" spans="1:4" x14ac:dyDescent="0.4">
      <c r="A27" s="233">
        <v>17</v>
      </c>
      <c r="B27" s="212" t="s">
        <v>511</v>
      </c>
      <c r="C27" s="39" t="s">
        <v>556</v>
      </c>
      <c r="D27" s="39">
        <v>3</v>
      </c>
    </row>
    <row r="28" spans="1:4" x14ac:dyDescent="0.4">
      <c r="A28" s="233">
        <v>18</v>
      </c>
      <c r="B28" s="212" t="s">
        <v>512</v>
      </c>
      <c r="C28" s="39" t="s">
        <v>556</v>
      </c>
      <c r="D28" s="39">
        <v>1</v>
      </c>
    </row>
    <row r="29" spans="1:4" x14ac:dyDescent="0.4">
      <c r="A29" s="233">
        <v>19</v>
      </c>
      <c r="B29" s="212" t="s">
        <v>513</v>
      </c>
      <c r="C29" s="39" t="s">
        <v>556</v>
      </c>
      <c r="D29" s="39">
        <v>1</v>
      </c>
    </row>
    <row r="30" spans="1:4" ht="27.6" x14ac:dyDescent="0.4">
      <c r="A30" s="233">
        <v>20</v>
      </c>
      <c r="B30" s="212" t="s">
        <v>514</v>
      </c>
      <c r="C30" s="39" t="s">
        <v>556</v>
      </c>
      <c r="D30" s="39">
        <v>1</v>
      </c>
    </row>
    <row r="31" spans="1:4" x14ac:dyDescent="0.4">
      <c r="A31" s="233">
        <v>21</v>
      </c>
      <c r="B31" s="212" t="s">
        <v>515</v>
      </c>
      <c r="C31" s="39" t="s">
        <v>556</v>
      </c>
      <c r="D31" s="39">
        <v>1</v>
      </c>
    </row>
    <row r="32" spans="1:4" x14ac:dyDescent="0.4">
      <c r="A32" s="233">
        <v>22</v>
      </c>
      <c r="B32" s="212" t="s">
        <v>516</v>
      </c>
      <c r="C32" s="39" t="s">
        <v>556</v>
      </c>
      <c r="D32" s="39">
        <v>1</v>
      </c>
    </row>
    <row r="33" spans="1:4" x14ac:dyDescent="0.4">
      <c r="A33" s="233">
        <v>23</v>
      </c>
      <c r="B33" s="212" t="s">
        <v>517</v>
      </c>
      <c r="C33" s="39" t="s">
        <v>556</v>
      </c>
      <c r="D33" s="39">
        <v>2</v>
      </c>
    </row>
    <row r="34" spans="1:4" x14ac:dyDescent="0.4">
      <c r="A34" s="233">
        <v>24</v>
      </c>
      <c r="B34" s="212" t="s">
        <v>518</v>
      </c>
      <c r="C34" s="39" t="s">
        <v>556</v>
      </c>
      <c r="D34" s="39">
        <v>1</v>
      </c>
    </row>
    <row r="35" spans="1:4" x14ac:dyDescent="0.4">
      <c r="A35" s="233">
        <v>25</v>
      </c>
      <c r="B35" s="212" t="s">
        <v>519</v>
      </c>
      <c r="C35" s="39" t="s">
        <v>556</v>
      </c>
      <c r="D35" s="39">
        <v>1</v>
      </c>
    </row>
    <row r="36" spans="1:4" x14ac:dyDescent="0.4">
      <c r="A36" s="233">
        <v>26</v>
      </c>
      <c r="B36" s="212" t="s">
        <v>520</v>
      </c>
      <c r="C36" s="39" t="s">
        <v>556</v>
      </c>
      <c r="D36" s="39">
        <v>1</v>
      </c>
    </row>
    <row r="37" spans="1:4" x14ac:dyDescent="0.4">
      <c r="A37" s="233">
        <v>27</v>
      </c>
      <c r="B37" s="212" t="s">
        <v>521</v>
      </c>
      <c r="C37" s="39" t="s">
        <v>556</v>
      </c>
      <c r="D37" s="39">
        <v>1</v>
      </c>
    </row>
    <row r="38" spans="1:4" x14ac:dyDescent="0.4">
      <c r="A38" s="233">
        <v>28</v>
      </c>
      <c r="B38" s="212" t="s">
        <v>522</v>
      </c>
      <c r="C38" s="39" t="s">
        <v>556</v>
      </c>
      <c r="D38" s="39">
        <v>1</v>
      </c>
    </row>
    <row r="39" spans="1:4" x14ac:dyDescent="0.4">
      <c r="A39" s="233">
        <v>29</v>
      </c>
      <c r="B39" s="212" t="s">
        <v>523</v>
      </c>
      <c r="C39" s="39" t="s">
        <v>556</v>
      </c>
      <c r="D39" s="39">
        <v>1</v>
      </c>
    </row>
    <row r="40" spans="1:4" ht="27.6" x14ac:dyDescent="0.4">
      <c r="A40" s="233">
        <v>30</v>
      </c>
      <c r="B40" s="212" t="s">
        <v>524</v>
      </c>
      <c r="C40" s="39" t="s">
        <v>556</v>
      </c>
      <c r="D40" s="39">
        <v>1</v>
      </c>
    </row>
    <row r="41" spans="1:4" ht="27.6" x14ac:dyDescent="0.4">
      <c r="A41" s="233">
        <v>31</v>
      </c>
      <c r="B41" s="212" t="s">
        <v>525</v>
      </c>
      <c r="C41" s="39" t="s">
        <v>556</v>
      </c>
      <c r="D41" s="39">
        <v>1</v>
      </c>
    </row>
    <row r="42" spans="1:4" x14ac:dyDescent="0.4">
      <c r="A42" s="233">
        <v>32</v>
      </c>
      <c r="B42" s="212" t="s">
        <v>526</v>
      </c>
      <c r="C42" s="39" t="s">
        <v>556</v>
      </c>
      <c r="D42" s="39">
        <v>1</v>
      </c>
    </row>
    <row r="43" spans="1:4" x14ac:dyDescent="0.4">
      <c r="A43" s="233">
        <v>33</v>
      </c>
      <c r="B43" s="213" t="s">
        <v>527</v>
      </c>
      <c r="C43" s="39" t="s">
        <v>556</v>
      </c>
      <c r="D43" s="39">
        <v>1</v>
      </c>
    </row>
    <row r="44" spans="1:4" x14ac:dyDescent="0.4">
      <c r="A44" s="233">
        <v>34</v>
      </c>
      <c r="B44" s="213" t="s">
        <v>528</v>
      </c>
      <c r="C44" s="39" t="s">
        <v>556</v>
      </c>
      <c r="D44" s="39">
        <v>2</v>
      </c>
    </row>
    <row r="45" spans="1:4" x14ac:dyDescent="0.4">
      <c r="A45" s="233">
        <v>35</v>
      </c>
      <c r="B45" s="213" t="s">
        <v>529</v>
      </c>
      <c r="C45" s="39" t="s">
        <v>556</v>
      </c>
      <c r="D45" s="39">
        <v>2</v>
      </c>
    </row>
    <row r="46" spans="1:4" x14ac:dyDescent="0.4">
      <c r="A46" s="233">
        <v>36</v>
      </c>
      <c r="B46" s="213" t="s">
        <v>530</v>
      </c>
      <c r="C46" s="39" t="s">
        <v>556</v>
      </c>
      <c r="D46" s="39">
        <v>1</v>
      </c>
    </row>
    <row r="47" spans="1:4" x14ac:dyDescent="0.4">
      <c r="A47" s="233">
        <v>37</v>
      </c>
      <c r="B47" s="213" t="s">
        <v>531</v>
      </c>
      <c r="C47" s="39" t="s">
        <v>556</v>
      </c>
      <c r="D47" s="39">
        <v>1</v>
      </c>
    </row>
    <row r="48" spans="1:4" x14ac:dyDescent="0.4">
      <c r="A48" s="233">
        <v>38</v>
      </c>
      <c r="B48" s="212" t="s">
        <v>532</v>
      </c>
      <c r="C48" s="39"/>
      <c r="D48" s="39"/>
    </row>
    <row r="49" spans="1:4" x14ac:dyDescent="0.4">
      <c r="A49" s="233">
        <v>39</v>
      </c>
      <c r="B49" s="212" t="s">
        <v>533</v>
      </c>
      <c r="C49" s="39" t="s">
        <v>556</v>
      </c>
      <c r="D49" s="39">
        <v>1</v>
      </c>
    </row>
    <row r="50" spans="1:4" x14ac:dyDescent="0.4">
      <c r="A50" s="233">
        <v>40</v>
      </c>
      <c r="B50" s="212" t="s">
        <v>534</v>
      </c>
      <c r="C50" s="39" t="s">
        <v>556</v>
      </c>
      <c r="D50" s="39">
        <v>1</v>
      </c>
    </row>
    <row r="51" spans="1:4" x14ac:dyDescent="0.4">
      <c r="A51" s="233">
        <v>41</v>
      </c>
      <c r="B51" s="212" t="s">
        <v>535</v>
      </c>
      <c r="C51" s="39" t="s">
        <v>556</v>
      </c>
      <c r="D51" s="32">
        <v>2</v>
      </c>
    </row>
    <row r="52" spans="1:4" x14ac:dyDescent="0.4">
      <c r="A52" s="233">
        <v>42</v>
      </c>
      <c r="B52" s="212" t="s">
        <v>536</v>
      </c>
      <c r="C52" s="39" t="s">
        <v>556</v>
      </c>
      <c r="D52" s="32">
        <v>1</v>
      </c>
    </row>
    <row r="53" spans="1:4" x14ac:dyDescent="0.4">
      <c r="A53" s="233">
        <v>43</v>
      </c>
      <c r="B53" s="212" t="s">
        <v>537</v>
      </c>
      <c r="C53" s="39" t="s">
        <v>556</v>
      </c>
      <c r="D53" s="222">
        <v>1</v>
      </c>
    </row>
    <row r="54" spans="1:4" x14ac:dyDescent="0.4">
      <c r="A54" s="233">
        <v>44</v>
      </c>
      <c r="B54" s="212" t="s">
        <v>538</v>
      </c>
      <c r="C54" s="39" t="s">
        <v>556</v>
      </c>
      <c r="D54" s="39">
        <v>1</v>
      </c>
    </row>
    <row r="55" spans="1:4" x14ac:dyDescent="0.4">
      <c r="A55" s="233">
        <v>45</v>
      </c>
      <c r="B55" s="36" t="s">
        <v>539</v>
      </c>
      <c r="C55" s="39" t="s">
        <v>556</v>
      </c>
      <c r="D55" s="39">
        <v>1</v>
      </c>
    </row>
    <row r="56" spans="1:4" x14ac:dyDescent="0.4">
      <c r="A56" s="233">
        <v>46</v>
      </c>
      <c r="B56" s="36" t="s">
        <v>540</v>
      </c>
      <c r="C56" s="39" t="s">
        <v>556</v>
      </c>
      <c r="D56" s="39">
        <v>1</v>
      </c>
    </row>
    <row r="57" spans="1:4" ht="27.6" x14ac:dyDescent="0.4">
      <c r="A57" s="233">
        <v>47</v>
      </c>
      <c r="B57" s="36" t="s">
        <v>541</v>
      </c>
      <c r="C57" s="39" t="s">
        <v>556</v>
      </c>
      <c r="D57" s="39">
        <v>1</v>
      </c>
    </row>
    <row r="58" spans="1:4" x14ac:dyDescent="0.4">
      <c r="A58" s="233">
        <v>48</v>
      </c>
      <c r="B58" s="36" t="s">
        <v>542</v>
      </c>
      <c r="C58" s="39" t="s">
        <v>556</v>
      </c>
      <c r="D58" s="39">
        <v>1</v>
      </c>
    </row>
    <row r="59" spans="1:4" x14ac:dyDescent="0.4">
      <c r="A59" s="233">
        <v>49</v>
      </c>
      <c r="B59" s="36" t="s">
        <v>543</v>
      </c>
      <c r="C59" s="39" t="s">
        <v>556</v>
      </c>
      <c r="D59" s="39">
        <v>2</v>
      </c>
    </row>
    <row r="60" spans="1:4" x14ac:dyDescent="0.4">
      <c r="A60" s="233">
        <v>50</v>
      </c>
      <c r="B60" s="36" t="s">
        <v>1268</v>
      </c>
      <c r="C60" s="39" t="s">
        <v>557</v>
      </c>
      <c r="D60" s="39">
        <v>1</v>
      </c>
    </row>
    <row r="61" spans="1:4" x14ac:dyDescent="0.4">
      <c r="A61" s="233">
        <v>51</v>
      </c>
      <c r="B61" s="36" t="s">
        <v>544</v>
      </c>
      <c r="C61" s="39" t="s">
        <v>557</v>
      </c>
      <c r="D61" s="39">
        <v>1</v>
      </c>
    </row>
    <row r="62" spans="1:4" x14ac:dyDescent="0.4">
      <c r="A62" s="233">
        <v>52</v>
      </c>
      <c r="B62" s="36" t="s">
        <v>545</v>
      </c>
      <c r="C62" s="39" t="s">
        <v>557</v>
      </c>
      <c r="D62" s="39">
        <v>4</v>
      </c>
    </row>
    <row r="63" spans="1:4" x14ac:dyDescent="0.4">
      <c r="A63" s="235"/>
      <c r="B63" s="236"/>
      <c r="C63" s="237"/>
      <c r="D63" s="237"/>
    </row>
    <row r="64" spans="1:4" x14ac:dyDescent="0.4">
      <c r="A64" s="235"/>
      <c r="B64" s="236"/>
      <c r="C64" s="237"/>
      <c r="D64" s="237"/>
    </row>
    <row r="65" spans="1:4" x14ac:dyDescent="0.4">
      <c r="A65" s="217"/>
      <c r="B65" s="207"/>
      <c r="C65" s="223"/>
      <c r="D65" s="223"/>
    </row>
    <row r="66" spans="1:4" x14ac:dyDescent="0.45">
      <c r="A66" s="217"/>
      <c r="B66" s="238" t="s">
        <v>546</v>
      </c>
      <c r="C66" s="223"/>
      <c r="D66" s="223"/>
    </row>
    <row r="67" spans="1:4" x14ac:dyDescent="0.45">
      <c r="A67" s="217"/>
      <c r="B67" s="211"/>
      <c r="C67" s="223"/>
      <c r="D67" s="223"/>
    </row>
    <row r="68" spans="1:4" ht="24.6" x14ac:dyDescent="0.4">
      <c r="A68" s="229" t="s">
        <v>7</v>
      </c>
      <c r="B68" s="86" t="s">
        <v>8</v>
      </c>
      <c r="C68" s="230" t="s">
        <v>9</v>
      </c>
      <c r="D68" s="231" t="s">
        <v>11</v>
      </c>
    </row>
    <row r="69" spans="1:4" x14ac:dyDescent="0.4">
      <c r="A69" s="216">
        <v>1</v>
      </c>
      <c r="B69" s="36" t="s">
        <v>547</v>
      </c>
      <c r="C69" s="220" t="s">
        <v>556</v>
      </c>
      <c r="D69" s="221">
        <v>1</v>
      </c>
    </row>
    <row r="70" spans="1:4" x14ac:dyDescent="0.4">
      <c r="A70" s="216">
        <v>2</v>
      </c>
      <c r="B70" s="212" t="s">
        <v>535</v>
      </c>
      <c r="C70" s="39" t="s">
        <v>557</v>
      </c>
      <c r="D70" s="39">
        <v>1</v>
      </c>
    </row>
    <row r="71" spans="1:4" x14ac:dyDescent="0.4">
      <c r="A71" s="216">
        <v>3</v>
      </c>
      <c r="B71" s="36" t="s">
        <v>540</v>
      </c>
      <c r="C71" s="220" t="s">
        <v>556</v>
      </c>
      <c r="D71" s="39">
        <v>1</v>
      </c>
    </row>
    <row r="72" spans="1:4" x14ac:dyDescent="0.4">
      <c r="A72" s="216">
        <v>4</v>
      </c>
      <c r="B72" s="212" t="s">
        <v>538</v>
      </c>
      <c r="C72" s="220" t="s">
        <v>556</v>
      </c>
      <c r="D72" s="39">
        <v>1</v>
      </c>
    </row>
    <row r="73" spans="1:4" ht="27.6" x14ac:dyDescent="0.4">
      <c r="A73" s="216">
        <v>5</v>
      </c>
      <c r="B73" s="36" t="s">
        <v>541</v>
      </c>
      <c r="C73" s="220" t="s">
        <v>556</v>
      </c>
      <c r="D73" s="39">
        <v>1</v>
      </c>
    </row>
    <row r="74" spans="1:4" x14ac:dyDescent="0.4">
      <c r="A74" s="216">
        <v>6</v>
      </c>
      <c r="B74" s="212" t="s">
        <v>537</v>
      </c>
      <c r="C74" s="220" t="s">
        <v>556</v>
      </c>
      <c r="D74" s="222">
        <v>1</v>
      </c>
    </row>
    <row r="75" spans="1:4" x14ac:dyDescent="0.4">
      <c r="A75" s="216">
        <v>7</v>
      </c>
      <c r="B75" s="212" t="s">
        <v>548</v>
      </c>
      <c r="C75" s="39" t="s">
        <v>556</v>
      </c>
      <c r="D75" s="32">
        <v>4</v>
      </c>
    </row>
    <row r="76" spans="1:4" x14ac:dyDescent="0.4">
      <c r="A76" s="216">
        <v>8</v>
      </c>
      <c r="B76" s="212" t="s">
        <v>549</v>
      </c>
      <c r="C76" s="39" t="s">
        <v>556</v>
      </c>
      <c r="D76" s="222">
        <v>1</v>
      </c>
    </row>
    <row r="77" spans="1:4" x14ac:dyDescent="0.4">
      <c r="A77" s="216">
        <v>9</v>
      </c>
      <c r="B77" s="212" t="s">
        <v>550</v>
      </c>
      <c r="C77" s="39" t="s">
        <v>556</v>
      </c>
      <c r="D77" s="222">
        <v>1</v>
      </c>
    </row>
    <row r="78" spans="1:4" x14ac:dyDescent="0.4">
      <c r="A78" s="216">
        <v>10</v>
      </c>
      <c r="B78" s="212" t="s">
        <v>551</v>
      </c>
      <c r="C78" s="39" t="s">
        <v>556</v>
      </c>
      <c r="D78" s="222">
        <v>1</v>
      </c>
    </row>
    <row r="79" spans="1:4" x14ac:dyDescent="0.4">
      <c r="A79" s="216">
        <v>11</v>
      </c>
      <c r="B79" s="212" t="s">
        <v>552</v>
      </c>
      <c r="C79" s="39" t="s">
        <v>556</v>
      </c>
      <c r="D79" s="222">
        <v>1</v>
      </c>
    </row>
    <row r="80" spans="1:4" x14ac:dyDescent="0.4">
      <c r="A80" s="216">
        <v>12</v>
      </c>
      <c r="B80" s="212" t="s">
        <v>553</v>
      </c>
      <c r="C80" s="39" t="s">
        <v>556</v>
      </c>
      <c r="D80" s="222">
        <v>1</v>
      </c>
    </row>
    <row r="81" spans="1:4" x14ac:dyDescent="0.4">
      <c r="A81" s="216">
        <v>13</v>
      </c>
      <c r="B81" s="212" t="s">
        <v>554</v>
      </c>
      <c r="C81" s="39" t="s">
        <v>556</v>
      </c>
      <c r="D81" s="222">
        <v>1</v>
      </c>
    </row>
    <row r="83" spans="1:4" x14ac:dyDescent="0.45">
      <c r="C83" s="224"/>
    </row>
    <row r="84" spans="1:4" x14ac:dyDescent="0.45">
      <c r="C84" s="224"/>
    </row>
    <row r="85" spans="1:4" x14ac:dyDescent="0.45">
      <c r="C85" s="224"/>
    </row>
    <row r="86" spans="1:4" x14ac:dyDescent="0.4">
      <c r="B86" s="248" t="s">
        <v>804</v>
      </c>
      <c r="C86" s="224"/>
      <c r="D86" s="224"/>
    </row>
    <row r="87" spans="1:4" x14ac:dyDescent="0.45">
      <c r="C87" s="224"/>
      <c r="D87" s="224"/>
    </row>
    <row r="88" spans="1:4" x14ac:dyDescent="0.45">
      <c r="C88" s="224"/>
      <c r="D88" s="224"/>
    </row>
    <row r="89" spans="1:4" x14ac:dyDescent="0.45">
      <c r="C89" s="224"/>
      <c r="D89" s="224"/>
    </row>
    <row r="90" spans="1:4" x14ac:dyDescent="0.45">
      <c r="C90" s="224"/>
      <c r="D90" s="224"/>
    </row>
    <row r="91" spans="1:4" x14ac:dyDescent="0.45">
      <c r="C91" s="224"/>
      <c r="D91" s="224"/>
    </row>
    <row r="92" spans="1:4" x14ac:dyDescent="0.45">
      <c r="C92" s="224"/>
      <c r="D92" s="224"/>
    </row>
    <row r="93" spans="1:4" x14ac:dyDescent="0.45">
      <c r="C93" s="224"/>
      <c r="D93" s="224"/>
    </row>
    <row r="94" spans="1:4" x14ac:dyDescent="0.45">
      <c r="C94" s="224"/>
      <c r="D94" s="224"/>
    </row>
    <row r="95" spans="1:4" x14ac:dyDescent="0.45">
      <c r="C95" s="224"/>
      <c r="D95" s="224"/>
    </row>
    <row r="96" spans="1:4" x14ac:dyDescent="0.45">
      <c r="C96" s="224"/>
      <c r="D96" s="224"/>
    </row>
    <row r="97" spans="3:4" x14ac:dyDescent="0.45">
      <c r="C97" s="224"/>
      <c r="D97" s="224"/>
    </row>
    <row r="98" spans="3:4" x14ac:dyDescent="0.45">
      <c r="D98" s="224"/>
    </row>
    <row r="99" spans="3:4" x14ac:dyDescent="0.45">
      <c r="D99" s="224"/>
    </row>
    <row r="100" spans="3:4" x14ac:dyDescent="0.45">
      <c r="D100" s="224"/>
    </row>
    <row r="101" spans="3:4" x14ac:dyDescent="0.45">
      <c r="D101" s="224"/>
    </row>
    <row r="102" spans="3:4" x14ac:dyDescent="0.45">
      <c r="D102" s="224"/>
    </row>
    <row r="103" spans="3:4" x14ac:dyDescent="0.45">
      <c r="C103" s="224"/>
      <c r="D103" s="224"/>
    </row>
    <row r="104" spans="3:4" x14ac:dyDescent="0.45">
      <c r="C104" s="224"/>
      <c r="D104" s="224"/>
    </row>
    <row r="105" spans="3:4" x14ac:dyDescent="0.45">
      <c r="C105" s="224"/>
      <c r="D105" s="224"/>
    </row>
    <row r="106" spans="3:4" x14ac:dyDescent="0.45">
      <c r="C106" s="224"/>
      <c r="D106" s="224"/>
    </row>
    <row r="107" spans="3:4" x14ac:dyDescent="0.45">
      <c r="C107" s="224"/>
      <c r="D107" s="224"/>
    </row>
    <row r="108" spans="3:4" x14ac:dyDescent="0.45">
      <c r="C108" s="224"/>
      <c r="D108" s="224"/>
    </row>
    <row r="109" spans="3:4" x14ac:dyDescent="0.45">
      <c r="C109" s="224"/>
      <c r="D109" s="224"/>
    </row>
    <row r="110" spans="3:4" x14ac:dyDescent="0.45">
      <c r="C110" s="224"/>
      <c r="D110" s="224"/>
    </row>
    <row r="111" spans="3:4" x14ac:dyDescent="0.45">
      <c r="C111" s="224"/>
      <c r="D111" s="224"/>
    </row>
    <row r="112" spans="3:4" x14ac:dyDescent="0.45">
      <c r="C112" s="224"/>
      <c r="D112" s="224"/>
    </row>
    <row r="113" spans="3:4" x14ac:dyDescent="0.45">
      <c r="C113" s="224"/>
      <c r="D113" s="224"/>
    </row>
    <row r="114" spans="3:4" x14ac:dyDescent="0.45">
      <c r="C114" s="224"/>
      <c r="D114" s="224"/>
    </row>
    <row r="115" spans="3:4" x14ac:dyDescent="0.45">
      <c r="C115" s="224"/>
      <c r="D115" s="224"/>
    </row>
    <row r="116" spans="3:4" x14ac:dyDescent="0.45">
      <c r="C116" s="224"/>
      <c r="D116" s="224"/>
    </row>
    <row r="117" spans="3:4" x14ac:dyDescent="0.45">
      <c r="C117" s="224"/>
      <c r="D117" s="224"/>
    </row>
    <row r="118" spans="3:4" x14ac:dyDescent="0.45">
      <c r="C118" s="224"/>
      <c r="D118" s="224"/>
    </row>
    <row r="119" spans="3:4" x14ac:dyDescent="0.45">
      <c r="C119" s="224"/>
      <c r="D119" s="224"/>
    </row>
    <row r="120" spans="3:4" x14ac:dyDescent="0.45">
      <c r="C120" s="224"/>
      <c r="D120" s="224"/>
    </row>
    <row r="121" spans="3:4" x14ac:dyDescent="0.45">
      <c r="C121" s="224"/>
      <c r="D121" s="224"/>
    </row>
    <row r="122" spans="3:4" x14ac:dyDescent="0.45">
      <c r="C122" s="224"/>
      <c r="D122" s="224"/>
    </row>
    <row r="123" spans="3:4" x14ac:dyDescent="0.45">
      <c r="C123" s="224"/>
      <c r="D123" s="224"/>
    </row>
    <row r="124" spans="3:4" x14ac:dyDescent="0.45">
      <c r="C124" s="224"/>
      <c r="D124" s="224"/>
    </row>
    <row r="125" spans="3:4" x14ac:dyDescent="0.45">
      <c r="C125" s="224"/>
      <c r="D125" s="224"/>
    </row>
    <row r="126" spans="3:4" x14ac:dyDescent="0.45">
      <c r="C126" s="224"/>
      <c r="D126" s="224"/>
    </row>
    <row r="127" spans="3:4" x14ac:dyDescent="0.45">
      <c r="C127" s="224"/>
      <c r="D127" s="224"/>
    </row>
    <row r="128" spans="3:4" x14ac:dyDescent="0.45">
      <c r="C128" s="224"/>
      <c r="D128" s="224"/>
    </row>
    <row r="129" spans="3:4" x14ac:dyDescent="0.45">
      <c r="C129" s="224"/>
      <c r="D129" s="224"/>
    </row>
    <row r="130" spans="3:4" x14ac:dyDescent="0.45">
      <c r="C130" s="224"/>
      <c r="D130" s="224"/>
    </row>
    <row r="131" spans="3:4" x14ac:dyDescent="0.45">
      <c r="C131" s="224"/>
      <c r="D131" s="224"/>
    </row>
    <row r="132" spans="3:4" x14ac:dyDescent="0.45">
      <c r="C132" s="224"/>
      <c r="D132" s="224"/>
    </row>
    <row r="133" spans="3:4" x14ac:dyDescent="0.45">
      <c r="C133" s="224"/>
      <c r="D133" s="224"/>
    </row>
    <row r="134" spans="3:4" x14ac:dyDescent="0.45">
      <c r="C134" s="224"/>
      <c r="D134" s="224"/>
    </row>
    <row r="135" spans="3:4" x14ac:dyDescent="0.45">
      <c r="C135" s="224"/>
      <c r="D135" s="224"/>
    </row>
    <row r="136" spans="3:4" x14ac:dyDescent="0.45">
      <c r="C136" s="224"/>
      <c r="D136" s="224"/>
    </row>
    <row r="137" spans="3:4" x14ac:dyDescent="0.45">
      <c r="C137" s="224"/>
      <c r="D137" s="224"/>
    </row>
    <row r="138" spans="3:4" x14ac:dyDescent="0.45">
      <c r="C138" s="224"/>
      <c r="D138" s="224"/>
    </row>
    <row r="139" spans="3:4" x14ac:dyDescent="0.45">
      <c r="C139" s="224"/>
      <c r="D139" s="224"/>
    </row>
    <row r="140" spans="3:4" x14ac:dyDescent="0.45">
      <c r="C140" s="224"/>
      <c r="D140" s="224"/>
    </row>
    <row r="141" spans="3:4" x14ac:dyDescent="0.45">
      <c r="C141" s="224"/>
      <c r="D141" s="224"/>
    </row>
    <row r="142" spans="3:4" x14ac:dyDescent="0.45">
      <c r="C142" s="224"/>
      <c r="D142" s="224"/>
    </row>
    <row r="143" spans="3:4" x14ac:dyDescent="0.45">
      <c r="C143" s="224"/>
      <c r="D143" s="224"/>
    </row>
    <row r="144" spans="3:4" x14ac:dyDescent="0.45">
      <c r="C144" s="224"/>
      <c r="D144" s="224"/>
    </row>
    <row r="145" spans="3:4" x14ac:dyDescent="0.45">
      <c r="C145" s="224"/>
      <c r="D145" s="224"/>
    </row>
    <row r="146" spans="3:4" x14ac:dyDescent="0.45">
      <c r="C146" s="224"/>
      <c r="D146" s="224"/>
    </row>
    <row r="147" spans="3:4" x14ac:dyDescent="0.45">
      <c r="C147" s="224"/>
      <c r="D147" s="224"/>
    </row>
    <row r="148" spans="3:4" x14ac:dyDescent="0.45">
      <c r="C148" s="224"/>
      <c r="D148" s="224"/>
    </row>
    <row r="149" spans="3:4" x14ac:dyDescent="0.45">
      <c r="C149" s="224"/>
      <c r="D149" s="224"/>
    </row>
    <row r="150" spans="3:4" x14ac:dyDescent="0.45">
      <c r="C150" s="224"/>
      <c r="D150" s="224"/>
    </row>
    <row r="151" spans="3:4" x14ac:dyDescent="0.45">
      <c r="C151" s="224"/>
      <c r="D151" s="224"/>
    </row>
    <row r="152" spans="3:4" x14ac:dyDescent="0.45">
      <c r="C152" s="224"/>
      <c r="D152" s="224"/>
    </row>
    <row r="153" spans="3:4" x14ac:dyDescent="0.45">
      <c r="C153" s="224"/>
      <c r="D153" s="224"/>
    </row>
    <row r="154" spans="3:4" x14ac:dyDescent="0.45">
      <c r="C154" s="224"/>
      <c r="D154" s="224"/>
    </row>
    <row r="155" spans="3:4" x14ac:dyDescent="0.45">
      <c r="C155" s="224"/>
      <c r="D155" s="224"/>
    </row>
    <row r="156" spans="3:4" x14ac:dyDescent="0.45">
      <c r="C156" s="224"/>
      <c r="D156" s="224"/>
    </row>
    <row r="157" spans="3:4" x14ac:dyDescent="0.45">
      <c r="C157" s="224"/>
      <c r="D157" s="224"/>
    </row>
    <row r="158" spans="3:4" x14ac:dyDescent="0.45">
      <c r="C158" s="224"/>
      <c r="D158" s="224"/>
    </row>
    <row r="159" spans="3:4" x14ac:dyDescent="0.45">
      <c r="C159" s="224"/>
      <c r="D159" s="224"/>
    </row>
    <row r="160" spans="3:4" x14ac:dyDescent="0.45">
      <c r="C160" s="224"/>
      <c r="D160" s="224"/>
    </row>
    <row r="161" spans="3:4" x14ac:dyDescent="0.45">
      <c r="C161" s="224"/>
      <c r="D161" s="224"/>
    </row>
    <row r="162" spans="3:4" x14ac:dyDescent="0.45">
      <c r="C162" s="224"/>
      <c r="D162" s="224"/>
    </row>
    <row r="163" spans="3:4" x14ac:dyDescent="0.45">
      <c r="C163" s="224"/>
      <c r="D163" s="224"/>
    </row>
    <row r="164" spans="3:4" x14ac:dyDescent="0.45">
      <c r="C164" s="224"/>
      <c r="D164" s="224"/>
    </row>
    <row r="165" spans="3:4" x14ac:dyDescent="0.45">
      <c r="C165" s="224"/>
      <c r="D165" s="224"/>
    </row>
    <row r="166" spans="3:4" x14ac:dyDescent="0.45">
      <c r="C166" s="224"/>
      <c r="D166" s="224"/>
    </row>
    <row r="167" spans="3:4" x14ac:dyDescent="0.45">
      <c r="C167" s="224"/>
      <c r="D167" s="224"/>
    </row>
    <row r="168" spans="3:4" x14ac:dyDescent="0.45">
      <c r="C168" s="224"/>
      <c r="D168" s="224"/>
    </row>
    <row r="169" spans="3:4" x14ac:dyDescent="0.45">
      <c r="C169" s="224"/>
      <c r="D169" s="224"/>
    </row>
    <row r="170" spans="3:4" x14ac:dyDescent="0.45">
      <c r="C170" s="224"/>
      <c r="D170" s="224"/>
    </row>
    <row r="171" spans="3:4" x14ac:dyDescent="0.45">
      <c r="C171" s="224"/>
      <c r="D171" s="224"/>
    </row>
    <row r="172" spans="3:4" x14ac:dyDescent="0.45">
      <c r="C172" s="224"/>
      <c r="D172" s="224"/>
    </row>
    <row r="173" spans="3:4" x14ac:dyDescent="0.45">
      <c r="C173" s="224"/>
      <c r="D173" s="224"/>
    </row>
    <row r="174" spans="3:4" x14ac:dyDescent="0.45">
      <c r="C174" s="224"/>
      <c r="D174" s="224"/>
    </row>
    <row r="175" spans="3:4" x14ac:dyDescent="0.45">
      <c r="C175" s="224"/>
      <c r="D175" s="224"/>
    </row>
    <row r="176" spans="3:4" x14ac:dyDescent="0.45">
      <c r="C176" s="224"/>
      <c r="D176" s="224"/>
    </row>
    <row r="177" spans="3:4" x14ac:dyDescent="0.45">
      <c r="C177" s="224"/>
      <c r="D177" s="224"/>
    </row>
    <row r="178" spans="3:4" x14ac:dyDescent="0.45">
      <c r="C178" s="224"/>
      <c r="D178" s="224"/>
    </row>
    <row r="179" spans="3:4" x14ac:dyDescent="0.45">
      <c r="C179" s="224"/>
      <c r="D179" s="224"/>
    </row>
    <row r="180" spans="3:4" x14ac:dyDescent="0.45">
      <c r="C180" s="224"/>
      <c r="D180" s="224"/>
    </row>
    <row r="181" spans="3:4" x14ac:dyDescent="0.45">
      <c r="C181" s="224"/>
      <c r="D181" s="224"/>
    </row>
    <row r="182" spans="3:4" x14ac:dyDescent="0.45">
      <c r="C182" s="224"/>
      <c r="D182" s="224"/>
    </row>
    <row r="183" spans="3:4" x14ac:dyDescent="0.45">
      <c r="C183" s="224"/>
      <c r="D183" s="224"/>
    </row>
    <row r="184" spans="3:4" x14ac:dyDescent="0.45">
      <c r="C184" s="224"/>
      <c r="D184" s="224"/>
    </row>
    <row r="185" spans="3:4" x14ac:dyDescent="0.45">
      <c r="C185" s="224"/>
      <c r="D185" s="224"/>
    </row>
    <row r="186" spans="3:4" x14ac:dyDescent="0.45">
      <c r="C186" s="224"/>
      <c r="D186" s="224"/>
    </row>
    <row r="187" spans="3:4" x14ac:dyDescent="0.45">
      <c r="C187" s="224"/>
      <c r="D187" s="224"/>
    </row>
    <row r="188" spans="3:4" x14ac:dyDescent="0.45">
      <c r="C188" s="224"/>
      <c r="D188" s="224"/>
    </row>
    <row r="189" spans="3:4" x14ac:dyDescent="0.45">
      <c r="C189" s="224"/>
      <c r="D189" s="224"/>
    </row>
    <row r="190" spans="3:4" x14ac:dyDescent="0.45">
      <c r="C190" s="224"/>
      <c r="D190" s="224"/>
    </row>
    <row r="191" spans="3:4" x14ac:dyDescent="0.45">
      <c r="C191" s="224"/>
      <c r="D191" s="224"/>
    </row>
    <row r="192" spans="3:4" x14ac:dyDescent="0.45">
      <c r="C192" s="224"/>
      <c r="D192" s="224"/>
    </row>
    <row r="193" spans="3:4" x14ac:dyDescent="0.45">
      <c r="C193" s="224"/>
      <c r="D193" s="224"/>
    </row>
    <row r="194" spans="3:4" x14ac:dyDescent="0.45">
      <c r="C194" s="224"/>
      <c r="D194" s="224"/>
    </row>
    <row r="195" spans="3:4" x14ac:dyDescent="0.45">
      <c r="C195" s="224"/>
      <c r="D195" s="224"/>
    </row>
    <row r="196" spans="3:4" x14ac:dyDescent="0.45">
      <c r="C196" s="224"/>
      <c r="D196" s="224"/>
    </row>
    <row r="197" spans="3:4" x14ac:dyDescent="0.45">
      <c r="C197" s="224"/>
      <c r="D197" s="224"/>
    </row>
    <row r="198" spans="3:4" x14ac:dyDescent="0.45">
      <c r="C198" s="224"/>
      <c r="D198" s="224"/>
    </row>
    <row r="199" spans="3:4" x14ac:dyDescent="0.45">
      <c r="C199" s="224"/>
      <c r="D199" s="224"/>
    </row>
    <row r="200" spans="3:4" x14ac:dyDescent="0.45">
      <c r="C200" s="224"/>
      <c r="D200" s="224"/>
    </row>
    <row r="201" spans="3:4" x14ac:dyDescent="0.45">
      <c r="C201" s="224"/>
      <c r="D201" s="224"/>
    </row>
    <row r="202" spans="3:4" x14ac:dyDescent="0.45">
      <c r="C202" s="224"/>
      <c r="D202" s="224"/>
    </row>
    <row r="203" spans="3:4" x14ac:dyDescent="0.45">
      <c r="C203" s="224"/>
      <c r="D203" s="224"/>
    </row>
    <row r="204" spans="3:4" x14ac:dyDescent="0.45">
      <c r="C204" s="224"/>
      <c r="D204" s="224"/>
    </row>
    <row r="205" spans="3:4" x14ac:dyDescent="0.45">
      <c r="C205" s="224"/>
      <c r="D205" s="224"/>
    </row>
    <row r="206" spans="3:4" x14ac:dyDescent="0.45">
      <c r="C206" s="224"/>
      <c r="D206" s="224"/>
    </row>
    <row r="207" spans="3:4" x14ac:dyDescent="0.45">
      <c r="C207" s="224"/>
      <c r="D207" s="224"/>
    </row>
    <row r="208" spans="3:4" x14ac:dyDescent="0.45">
      <c r="C208" s="224"/>
      <c r="D208" s="224"/>
    </row>
    <row r="209" spans="3:4" x14ac:dyDescent="0.45">
      <c r="C209" s="224"/>
      <c r="D209" s="224"/>
    </row>
    <row r="210" spans="3:4" x14ac:dyDescent="0.45">
      <c r="C210" s="224"/>
      <c r="D210" s="224"/>
    </row>
    <row r="211" spans="3:4" x14ac:dyDescent="0.45">
      <c r="C211" s="224"/>
      <c r="D211" s="224"/>
    </row>
    <row r="212" spans="3:4" x14ac:dyDescent="0.45">
      <c r="C212" s="224"/>
      <c r="D212" s="224"/>
    </row>
    <row r="213" spans="3:4" x14ac:dyDescent="0.45">
      <c r="C213" s="224"/>
      <c r="D213" s="224"/>
    </row>
    <row r="214" spans="3:4" x14ac:dyDescent="0.45">
      <c r="C214" s="224"/>
      <c r="D214" s="224"/>
    </row>
    <row r="215" spans="3:4" x14ac:dyDescent="0.45">
      <c r="C215" s="224"/>
      <c r="D215" s="224"/>
    </row>
    <row r="216" spans="3:4" x14ac:dyDescent="0.45">
      <c r="C216" s="224"/>
      <c r="D216" s="224"/>
    </row>
    <row r="217" spans="3:4" x14ac:dyDescent="0.45">
      <c r="C217" s="224"/>
      <c r="D217" s="224"/>
    </row>
    <row r="218" spans="3:4" x14ac:dyDescent="0.45">
      <c r="C218" s="224"/>
      <c r="D218" s="224"/>
    </row>
    <row r="219" spans="3:4" x14ac:dyDescent="0.45">
      <c r="C219" s="224"/>
      <c r="D219" s="224"/>
    </row>
    <row r="220" spans="3:4" x14ac:dyDescent="0.45">
      <c r="C220" s="224"/>
      <c r="D220" s="224"/>
    </row>
    <row r="221" spans="3:4" x14ac:dyDescent="0.45">
      <c r="C221" s="224"/>
      <c r="D221" s="224"/>
    </row>
    <row r="222" spans="3:4" x14ac:dyDescent="0.45">
      <c r="C222" s="224"/>
      <c r="D222" s="224"/>
    </row>
    <row r="223" spans="3:4" x14ac:dyDescent="0.45">
      <c r="C223" s="224"/>
      <c r="D223" s="224"/>
    </row>
    <row r="224" spans="3:4" x14ac:dyDescent="0.45">
      <c r="C224" s="224"/>
      <c r="D224" s="224"/>
    </row>
    <row r="225" spans="3:4" x14ac:dyDescent="0.45">
      <c r="C225" s="224"/>
      <c r="D225" s="224"/>
    </row>
    <row r="226" spans="3:4" x14ac:dyDescent="0.45">
      <c r="C226" s="224"/>
      <c r="D226" s="224"/>
    </row>
    <row r="227" spans="3:4" x14ac:dyDescent="0.45">
      <c r="C227" s="224"/>
      <c r="D227" s="224"/>
    </row>
    <row r="228" spans="3:4" x14ac:dyDescent="0.45">
      <c r="C228" s="224"/>
      <c r="D228" s="224"/>
    </row>
    <row r="229" spans="3:4" x14ac:dyDescent="0.45">
      <c r="C229" s="224"/>
      <c r="D229" s="224"/>
    </row>
    <row r="230" spans="3:4" x14ac:dyDescent="0.45">
      <c r="C230" s="224"/>
      <c r="D230" s="224"/>
    </row>
    <row r="231" spans="3:4" x14ac:dyDescent="0.45">
      <c r="C231" s="224"/>
      <c r="D231" s="224"/>
    </row>
    <row r="232" spans="3:4" x14ac:dyDescent="0.45">
      <c r="C232" s="224"/>
      <c r="D232" s="224"/>
    </row>
    <row r="233" spans="3:4" x14ac:dyDescent="0.45">
      <c r="C233" s="224"/>
      <c r="D233" s="224"/>
    </row>
    <row r="234" spans="3:4" x14ac:dyDescent="0.45">
      <c r="C234" s="224"/>
      <c r="D234" s="224"/>
    </row>
    <row r="235" spans="3:4" x14ac:dyDescent="0.45">
      <c r="C235" s="224"/>
      <c r="D235" s="224"/>
    </row>
    <row r="236" spans="3:4" x14ac:dyDescent="0.45">
      <c r="C236" s="224"/>
      <c r="D236" s="224"/>
    </row>
    <row r="237" spans="3:4" x14ac:dyDescent="0.45">
      <c r="C237" s="224"/>
      <c r="D237" s="224"/>
    </row>
    <row r="238" spans="3:4" x14ac:dyDescent="0.45">
      <c r="C238" s="224"/>
      <c r="D238" s="224"/>
    </row>
    <row r="239" spans="3:4" x14ac:dyDescent="0.45">
      <c r="C239" s="224"/>
      <c r="D239" s="224"/>
    </row>
    <row r="240" spans="3:4" x14ac:dyDescent="0.45">
      <c r="C240" s="224"/>
      <c r="D240" s="224"/>
    </row>
    <row r="241" spans="3:4" x14ac:dyDescent="0.45">
      <c r="C241" s="224"/>
      <c r="D241" s="224"/>
    </row>
    <row r="242" spans="3:4" x14ac:dyDescent="0.45">
      <c r="C242" s="224"/>
      <c r="D242" s="224"/>
    </row>
    <row r="243" spans="3:4" x14ac:dyDescent="0.45">
      <c r="C243" s="224"/>
      <c r="D243" s="224"/>
    </row>
    <row r="244" spans="3:4" x14ac:dyDescent="0.45">
      <c r="C244" s="224"/>
      <c r="D244" s="224"/>
    </row>
    <row r="245" spans="3:4" x14ac:dyDescent="0.45">
      <c r="C245" s="224"/>
      <c r="D245" s="224"/>
    </row>
    <row r="246" spans="3:4" x14ac:dyDescent="0.45">
      <c r="C246" s="224"/>
      <c r="D246" s="224"/>
    </row>
    <row r="247" spans="3:4" x14ac:dyDescent="0.45">
      <c r="C247" s="224"/>
      <c r="D247" s="224"/>
    </row>
    <row r="248" spans="3:4" x14ac:dyDescent="0.45">
      <c r="C248" s="224"/>
      <c r="D248" s="224"/>
    </row>
    <row r="249" spans="3:4" x14ac:dyDescent="0.45">
      <c r="C249" s="224"/>
      <c r="D249" s="224"/>
    </row>
    <row r="250" spans="3:4" x14ac:dyDescent="0.45">
      <c r="C250" s="224"/>
      <c r="D250" s="224"/>
    </row>
    <row r="251" spans="3:4" x14ac:dyDescent="0.45">
      <c r="C251" s="224"/>
      <c r="D251" s="224"/>
    </row>
    <row r="252" spans="3:4" x14ac:dyDescent="0.45">
      <c r="C252" s="224"/>
      <c r="D252" s="224"/>
    </row>
    <row r="253" spans="3:4" x14ac:dyDescent="0.45">
      <c r="C253" s="224"/>
      <c r="D253" s="224"/>
    </row>
    <row r="254" spans="3:4" x14ac:dyDescent="0.45">
      <c r="C254" s="224"/>
      <c r="D254" s="224"/>
    </row>
    <row r="255" spans="3:4" x14ac:dyDescent="0.45">
      <c r="C255" s="224"/>
      <c r="D255" s="224"/>
    </row>
    <row r="256" spans="3:4" x14ac:dyDescent="0.45">
      <c r="C256" s="224"/>
      <c r="D256" s="224"/>
    </row>
    <row r="257" spans="3:4" x14ac:dyDescent="0.45">
      <c r="C257" s="224"/>
      <c r="D257" s="224"/>
    </row>
    <row r="258" spans="3:4" x14ac:dyDescent="0.45">
      <c r="C258" s="224"/>
      <c r="D258" s="224"/>
    </row>
    <row r="259" spans="3:4" x14ac:dyDescent="0.45">
      <c r="C259" s="224"/>
      <c r="D259" s="224"/>
    </row>
    <row r="260" spans="3:4" x14ac:dyDescent="0.45">
      <c r="C260" s="224"/>
      <c r="D260" s="224"/>
    </row>
    <row r="261" spans="3:4" x14ac:dyDescent="0.45">
      <c r="C261" s="224"/>
      <c r="D261" s="224"/>
    </row>
    <row r="262" spans="3:4" x14ac:dyDescent="0.45">
      <c r="C262" s="224"/>
      <c r="D262" s="224"/>
    </row>
    <row r="263" spans="3:4" x14ac:dyDescent="0.45">
      <c r="C263" s="224"/>
      <c r="D263" s="224"/>
    </row>
    <row r="264" spans="3:4" x14ac:dyDescent="0.45">
      <c r="C264" s="224"/>
      <c r="D264" s="224"/>
    </row>
    <row r="265" spans="3:4" x14ac:dyDescent="0.45">
      <c r="C265" s="224"/>
      <c r="D265" s="224"/>
    </row>
    <row r="266" spans="3:4" x14ac:dyDescent="0.45">
      <c r="C266" s="224"/>
      <c r="D266" s="224"/>
    </row>
    <row r="267" spans="3:4" x14ac:dyDescent="0.45">
      <c r="C267" s="224"/>
      <c r="D267" s="224"/>
    </row>
    <row r="268" spans="3:4" x14ac:dyDescent="0.45">
      <c r="C268" s="224"/>
      <c r="D268" s="224"/>
    </row>
    <row r="269" spans="3:4" x14ac:dyDescent="0.45">
      <c r="C269" s="224"/>
      <c r="D269" s="224"/>
    </row>
    <row r="270" spans="3:4" x14ac:dyDescent="0.45">
      <c r="C270" s="224"/>
      <c r="D270" s="224"/>
    </row>
    <row r="271" spans="3:4" x14ac:dyDescent="0.45">
      <c r="C271" s="224"/>
      <c r="D271" s="224"/>
    </row>
    <row r="272" spans="3:4" x14ac:dyDescent="0.45">
      <c r="C272" s="224"/>
      <c r="D272" s="224"/>
    </row>
    <row r="273" spans="3:4" x14ac:dyDescent="0.45">
      <c r="C273" s="224"/>
      <c r="D273" s="224"/>
    </row>
    <row r="274" spans="3:4" x14ac:dyDescent="0.45">
      <c r="C274" s="224"/>
      <c r="D274" s="224"/>
    </row>
    <row r="275" spans="3:4" x14ac:dyDescent="0.45">
      <c r="C275" s="224"/>
      <c r="D275" s="224"/>
    </row>
    <row r="276" spans="3:4" x14ac:dyDescent="0.45">
      <c r="C276" s="224"/>
      <c r="D276" s="224"/>
    </row>
    <row r="277" spans="3:4" x14ac:dyDescent="0.45">
      <c r="C277" s="224"/>
      <c r="D277" s="224"/>
    </row>
    <row r="278" spans="3:4" x14ac:dyDescent="0.45">
      <c r="C278" s="224"/>
      <c r="D278" s="224"/>
    </row>
    <row r="279" spans="3:4" x14ac:dyDescent="0.45">
      <c r="C279" s="224"/>
      <c r="D279" s="224"/>
    </row>
    <row r="280" spans="3:4" x14ac:dyDescent="0.45">
      <c r="C280" s="224"/>
      <c r="D280" s="224"/>
    </row>
    <row r="281" spans="3:4" x14ac:dyDescent="0.45">
      <c r="C281" s="224"/>
      <c r="D281" s="224"/>
    </row>
    <row r="282" spans="3:4" x14ac:dyDescent="0.45">
      <c r="C282" s="224"/>
      <c r="D282" s="224"/>
    </row>
    <row r="283" spans="3:4" x14ac:dyDescent="0.45">
      <c r="C283" s="224"/>
      <c r="D283" s="224"/>
    </row>
    <row r="284" spans="3:4" x14ac:dyDescent="0.45">
      <c r="C284" s="224"/>
      <c r="D284" s="224"/>
    </row>
    <row r="285" spans="3:4" x14ac:dyDescent="0.45">
      <c r="C285" s="224"/>
      <c r="D285" s="224"/>
    </row>
    <row r="286" spans="3:4" x14ac:dyDescent="0.45">
      <c r="C286" s="224"/>
      <c r="D286" s="224"/>
    </row>
  </sheetData>
  <mergeCells count="1">
    <mergeCell ref="A3:D3"/>
  </mergeCells>
  <pageMargins left="0.51181102362204722" right="0.19685039370078741" top="0.19685039370078741" bottom="0.19685039370078741" header="0.31496062992125984" footer="0.31496062992125984"/>
  <pageSetup paperSize="9" scale="95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3171-6924-4F14-9BD2-322FD8D8C11A}">
  <dimension ref="A1:H134"/>
  <sheetViews>
    <sheetView workbookViewId="0">
      <selection activeCell="L19" sqref="L19"/>
    </sheetView>
  </sheetViews>
  <sheetFormatPr defaultRowHeight="13.8" x14ac:dyDescent="0.45"/>
  <cols>
    <col min="1" max="1" width="4.109375" style="266" customWidth="1"/>
    <col min="2" max="2" width="76.609375" style="208" customWidth="1"/>
    <col min="3" max="3" width="6.71875" style="208" customWidth="1"/>
    <col min="4" max="4" width="12.38671875" style="208" customWidth="1"/>
  </cols>
  <sheetData>
    <row r="1" spans="1:8" ht="19.5" x14ac:dyDescent="0.4">
      <c r="A1" s="41" t="s">
        <v>267</v>
      </c>
      <c r="B1" s="48"/>
      <c r="C1" s="89"/>
      <c r="D1" s="49"/>
      <c r="E1" s="396"/>
      <c r="F1" s="396"/>
      <c r="G1" s="224"/>
      <c r="H1" s="224"/>
    </row>
    <row r="2" spans="1:8" ht="14.7" x14ac:dyDescent="0.4">
      <c r="A2" s="51"/>
      <c r="B2" s="48"/>
      <c r="C2" s="89"/>
      <c r="D2" s="49"/>
      <c r="E2" s="224"/>
      <c r="F2" s="224"/>
      <c r="G2" s="224"/>
      <c r="H2" s="224"/>
    </row>
    <row r="3" spans="1:8" s="272" customFormat="1" ht="72.75" customHeight="1" x14ac:dyDescent="0.5">
      <c r="A3" s="452" t="s">
        <v>493</v>
      </c>
      <c r="B3" s="452"/>
      <c r="C3" s="452"/>
      <c r="D3" s="452"/>
      <c r="E3" s="271"/>
      <c r="F3" s="271"/>
      <c r="G3" s="271"/>
      <c r="H3" s="271"/>
    </row>
    <row r="4" spans="1:8" s="272" customFormat="1" ht="15" x14ac:dyDescent="0.5">
      <c r="A4" s="276"/>
      <c r="B4" s="277"/>
      <c r="C4" s="276"/>
      <c r="D4" s="276"/>
      <c r="E4" s="271"/>
      <c r="F4" s="271"/>
      <c r="G4" s="271"/>
      <c r="H4" s="271"/>
    </row>
    <row r="5" spans="1:8" s="272" customFormat="1" ht="15" x14ac:dyDescent="0.5">
      <c r="A5" s="276"/>
      <c r="B5" s="277"/>
      <c r="C5" s="276"/>
      <c r="D5" s="276"/>
      <c r="E5" s="271"/>
      <c r="F5" s="271"/>
      <c r="G5" s="271"/>
      <c r="H5" s="271"/>
    </row>
    <row r="6" spans="1:8" ht="19.5" x14ac:dyDescent="0.4">
      <c r="A6" s="509" t="s">
        <v>1083</v>
      </c>
      <c r="B6" s="509"/>
      <c r="C6" s="509"/>
      <c r="D6" s="509"/>
    </row>
    <row r="8" spans="1:8" ht="17.399999999999999" x14ac:dyDescent="0.45">
      <c r="A8" s="342" t="s">
        <v>1283</v>
      </c>
    </row>
    <row r="10" spans="1:8" ht="17.399999999999999" x14ac:dyDescent="0.4">
      <c r="A10" s="457" t="s">
        <v>1035</v>
      </c>
      <c r="B10" s="457"/>
      <c r="C10" s="457"/>
      <c r="D10" s="457"/>
    </row>
    <row r="12" spans="1:8" ht="14.1" thickBot="1" x14ac:dyDescent="0.5">
      <c r="A12" s="264"/>
    </row>
    <row r="13" spans="1:8" ht="29.25" customHeight="1" thickBot="1" x14ac:dyDescent="0.45">
      <c r="A13" s="343" t="s">
        <v>7</v>
      </c>
      <c r="B13" s="346" t="s">
        <v>1036</v>
      </c>
      <c r="C13" s="346" t="s">
        <v>1037</v>
      </c>
      <c r="D13" s="346" t="s">
        <v>1038</v>
      </c>
    </row>
    <row r="14" spans="1:8" ht="15" thickBot="1" x14ac:dyDescent="0.45">
      <c r="A14" s="357"/>
      <c r="B14" s="356" t="s">
        <v>1039</v>
      </c>
      <c r="C14" s="358"/>
      <c r="D14" s="358"/>
    </row>
    <row r="15" spans="1:8" ht="15" thickBot="1" x14ac:dyDescent="0.45">
      <c r="A15" s="359"/>
      <c r="B15" s="360"/>
      <c r="C15" s="361"/>
      <c r="D15" s="361"/>
    </row>
    <row r="16" spans="1:8" ht="27.9" thickBot="1" x14ac:dyDescent="0.45">
      <c r="A16" s="353">
        <v>1</v>
      </c>
      <c r="B16" s="347" t="s">
        <v>1279</v>
      </c>
      <c r="C16" s="348" t="s">
        <v>557</v>
      </c>
      <c r="D16" s="348">
        <v>3</v>
      </c>
    </row>
    <row r="17" spans="1:4" ht="14.1" thickBot="1" x14ac:dyDescent="0.45">
      <c r="A17" s="353">
        <v>2</v>
      </c>
      <c r="B17" s="349" t="s">
        <v>1040</v>
      </c>
      <c r="C17" s="348" t="s">
        <v>622</v>
      </c>
      <c r="D17" s="348">
        <v>3000</v>
      </c>
    </row>
    <row r="18" spans="1:4" ht="14.1" thickBot="1" x14ac:dyDescent="0.45">
      <c r="A18" s="353">
        <v>3</v>
      </c>
      <c r="B18" s="347" t="s">
        <v>1041</v>
      </c>
      <c r="C18" s="348" t="s">
        <v>557</v>
      </c>
      <c r="D18" s="348">
        <v>3</v>
      </c>
    </row>
    <row r="19" spans="1:4" ht="12.3" x14ac:dyDescent="0.4">
      <c r="A19" s="513">
        <v>4</v>
      </c>
      <c r="B19" s="515" t="s">
        <v>1042</v>
      </c>
      <c r="C19" s="517" t="s">
        <v>557</v>
      </c>
      <c r="D19" s="517">
        <v>3</v>
      </c>
    </row>
    <row r="20" spans="1:4" ht="12.6" thickBot="1" x14ac:dyDescent="0.45">
      <c r="A20" s="514"/>
      <c r="B20" s="516"/>
      <c r="C20" s="518"/>
      <c r="D20" s="518"/>
    </row>
    <row r="21" spans="1:4" x14ac:dyDescent="0.4">
      <c r="A21" s="513">
        <v>5</v>
      </c>
      <c r="B21" s="350" t="s">
        <v>1043</v>
      </c>
      <c r="C21" s="517" t="s">
        <v>557</v>
      </c>
      <c r="D21" s="517">
        <v>6</v>
      </c>
    </row>
    <row r="22" spans="1:4" ht="27.9" thickBot="1" x14ac:dyDescent="0.45">
      <c r="A22" s="514"/>
      <c r="B22" s="349" t="s">
        <v>1044</v>
      </c>
      <c r="C22" s="518"/>
      <c r="D22" s="518"/>
    </row>
    <row r="23" spans="1:4" ht="14.1" thickBot="1" x14ac:dyDescent="0.45">
      <c r="A23" s="353">
        <v>6</v>
      </c>
      <c r="B23" s="349" t="s">
        <v>1045</v>
      </c>
      <c r="C23" s="348" t="s">
        <v>557</v>
      </c>
      <c r="D23" s="348">
        <v>28</v>
      </c>
    </row>
    <row r="24" spans="1:4" ht="14.1" thickBot="1" x14ac:dyDescent="0.45">
      <c r="A24" s="353">
        <v>7</v>
      </c>
      <c r="B24" s="349" t="s">
        <v>1046</v>
      </c>
      <c r="C24" s="348" t="s">
        <v>557</v>
      </c>
      <c r="D24" s="348">
        <v>2</v>
      </c>
    </row>
    <row r="25" spans="1:4" ht="14.1" thickBot="1" x14ac:dyDescent="0.45">
      <c r="A25" s="353">
        <v>8</v>
      </c>
      <c r="B25" s="349" t="s">
        <v>1047</v>
      </c>
      <c r="C25" s="348" t="s">
        <v>557</v>
      </c>
      <c r="D25" s="348">
        <v>2</v>
      </c>
    </row>
    <row r="26" spans="1:4" ht="27.9" thickBot="1" x14ac:dyDescent="0.45">
      <c r="A26" s="353">
        <v>9</v>
      </c>
      <c r="B26" s="349" t="s">
        <v>1048</v>
      </c>
      <c r="C26" s="348" t="s">
        <v>557</v>
      </c>
      <c r="D26" s="348">
        <v>1</v>
      </c>
    </row>
    <row r="27" spans="1:4" ht="14.1" thickBot="1" x14ac:dyDescent="0.45">
      <c r="A27" s="353">
        <v>10</v>
      </c>
      <c r="B27" s="347" t="s">
        <v>1049</v>
      </c>
      <c r="C27" s="348" t="s">
        <v>557</v>
      </c>
      <c r="D27" s="348">
        <v>2</v>
      </c>
    </row>
    <row r="28" spans="1:4" x14ac:dyDescent="0.4">
      <c r="A28" s="513">
        <v>11</v>
      </c>
      <c r="B28" s="350" t="s">
        <v>1050</v>
      </c>
      <c r="C28" s="517" t="s">
        <v>557</v>
      </c>
      <c r="D28" s="517">
        <v>1</v>
      </c>
    </row>
    <row r="29" spans="1:4" ht="14.1" thickBot="1" x14ac:dyDescent="0.45">
      <c r="A29" s="514"/>
      <c r="B29" s="349" t="s">
        <v>1051</v>
      </c>
      <c r="C29" s="518"/>
      <c r="D29" s="518"/>
    </row>
    <row r="30" spans="1:4" ht="12.3" x14ac:dyDescent="0.4">
      <c r="A30" s="513">
        <v>12</v>
      </c>
      <c r="B30" s="523" t="s">
        <v>1052</v>
      </c>
      <c r="C30" s="517" t="s">
        <v>557</v>
      </c>
      <c r="D30" s="517">
        <v>1</v>
      </c>
    </row>
    <row r="31" spans="1:4" ht="12.6" thickBot="1" x14ac:dyDescent="0.45">
      <c r="A31" s="514"/>
      <c r="B31" s="524"/>
      <c r="C31" s="518"/>
      <c r="D31" s="518"/>
    </row>
    <row r="32" spans="1:4" ht="14.1" thickBot="1" x14ac:dyDescent="0.45">
      <c r="A32" s="353">
        <v>13</v>
      </c>
      <c r="B32" s="349" t="s">
        <v>1053</v>
      </c>
      <c r="C32" s="348" t="s">
        <v>4</v>
      </c>
      <c r="D32" s="348">
        <v>1</v>
      </c>
    </row>
    <row r="33" spans="1:4" ht="14.1" thickBot="1" x14ac:dyDescent="0.45">
      <c r="A33" s="353">
        <v>14</v>
      </c>
      <c r="B33" s="349" t="s">
        <v>1280</v>
      </c>
      <c r="C33" s="348" t="s">
        <v>4</v>
      </c>
      <c r="D33" s="348">
        <v>1</v>
      </c>
    </row>
    <row r="34" spans="1:4" ht="12.3" x14ac:dyDescent="0.4">
      <c r="A34" s="513">
        <v>15</v>
      </c>
      <c r="B34" s="523" t="s">
        <v>1054</v>
      </c>
      <c r="C34" s="517" t="s">
        <v>1055</v>
      </c>
      <c r="D34" s="517">
        <v>1</v>
      </c>
    </row>
    <row r="35" spans="1:4" ht="12.6" thickBot="1" x14ac:dyDescent="0.45">
      <c r="A35" s="514"/>
      <c r="B35" s="524"/>
      <c r="C35" s="518"/>
      <c r="D35" s="518"/>
    </row>
    <row r="36" spans="1:4" ht="27.9" thickBot="1" x14ac:dyDescent="0.45">
      <c r="A36" s="353">
        <v>16</v>
      </c>
      <c r="B36" s="349" t="s">
        <v>1056</v>
      </c>
      <c r="C36" s="348" t="s">
        <v>4</v>
      </c>
      <c r="D36" s="348">
        <v>2</v>
      </c>
    </row>
    <row r="37" spans="1:4" ht="27.9" thickBot="1" x14ac:dyDescent="0.45">
      <c r="A37" s="353">
        <v>17</v>
      </c>
      <c r="B37" s="349" t="s">
        <v>1057</v>
      </c>
      <c r="C37" s="348" t="s">
        <v>4</v>
      </c>
      <c r="D37" s="348">
        <v>2</v>
      </c>
    </row>
    <row r="38" spans="1:4" ht="27.9" thickBot="1" x14ac:dyDescent="0.45">
      <c r="A38" s="353">
        <v>18</v>
      </c>
      <c r="B38" s="349" t="s">
        <v>1058</v>
      </c>
      <c r="C38" s="348" t="s">
        <v>4</v>
      </c>
      <c r="D38" s="348">
        <v>4</v>
      </c>
    </row>
    <row r="39" spans="1:4" x14ac:dyDescent="0.45">
      <c r="A39" s="264"/>
    </row>
    <row r="40" spans="1:4" x14ac:dyDescent="0.45">
      <c r="A40" s="264"/>
    </row>
    <row r="41" spans="1:4" x14ac:dyDescent="0.45">
      <c r="A41" s="264"/>
    </row>
    <row r="42" spans="1:4" x14ac:dyDescent="0.45">
      <c r="A42" s="264"/>
    </row>
    <row r="43" spans="1:4" x14ac:dyDescent="0.45">
      <c r="A43" s="264"/>
    </row>
    <row r="44" spans="1:4" x14ac:dyDescent="0.45">
      <c r="A44" s="344" t="s">
        <v>1059</v>
      </c>
    </row>
    <row r="45" spans="1:4" x14ac:dyDescent="0.45">
      <c r="A45" s="264" t="s">
        <v>1060</v>
      </c>
    </row>
    <row r="46" spans="1:4" x14ac:dyDescent="0.45">
      <c r="A46" s="264"/>
    </row>
    <row r="47" spans="1:4" x14ac:dyDescent="0.45">
      <c r="A47" s="264"/>
    </row>
    <row r="48" spans="1:4" ht="14.25" customHeight="1" x14ac:dyDescent="0.4">
      <c r="A48" s="532" t="s">
        <v>1061</v>
      </c>
      <c r="B48" s="532"/>
      <c r="C48" s="532"/>
      <c r="D48" s="532"/>
    </row>
    <row r="50" spans="1:4" ht="14.1" thickBot="1" x14ac:dyDescent="0.5">
      <c r="A50" s="264"/>
    </row>
    <row r="51" spans="1:4" ht="14.1" thickBot="1" x14ac:dyDescent="0.45">
      <c r="A51" s="343" t="s">
        <v>7</v>
      </c>
      <c r="B51" s="346" t="s">
        <v>1036</v>
      </c>
      <c r="C51" s="346" t="s">
        <v>1037</v>
      </c>
      <c r="D51" s="346" t="s">
        <v>1038</v>
      </c>
    </row>
    <row r="52" spans="1:4" ht="12.3" x14ac:dyDescent="0.4">
      <c r="A52" s="525"/>
      <c r="B52" s="519" t="s">
        <v>1062</v>
      </c>
      <c r="C52" s="521"/>
      <c r="D52" s="521"/>
    </row>
    <row r="53" spans="1:4" ht="12.6" thickBot="1" x14ac:dyDescent="0.45">
      <c r="A53" s="526"/>
      <c r="B53" s="520"/>
      <c r="C53" s="522"/>
      <c r="D53" s="522"/>
    </row>
    <row r="54" spans="1:4" ht="27.9" thickBot="1" x14ac:dyDescent="0.45">
      <c r="A54" s="353">
        <v>1</v>
      </c>
      <c r="B54" s="347" t="s">
        <v>1281</v>
      </c>
      <c r="C54" s="348" t="s">
        <v>557</v>
      </c>
      <c r="D54" s="348">
        <v>4</v>
      </c>
    </row>
    <row r="55" spans="1:4" ht="14.1" thickBot="1" x14ac:dyDescent="0.45">
      <c r="A55" s="353">
        <v>2</v>
      </c>
      <c r="B55" s="349" t="s">
        <v>1040</v>
      </c>
      <c r="C55" s="348" t="s">
        <v>622</v>
      </c>
      <c r="D55" s="348">
        <v>5400</v>
      </c>
    </row>
    <row r="56" spans="1:4" ht="14.1" thickBot="1" x14ac:dyDescent="0.45">
      <c r="A56" s="353">
        <v>3</v>
      </c>
      <c r="B56" s="347" t="s">
        <v>1040</v>
      </c>
      <c r="C56" s="348" t="s">
        <v>4</v>
      </c>
      <c r="D56" s="348">
        <v>1100</v>
      </c>
    </row>
    <row r="57" spans="1:4" ht="14.1" thickBot="1" x14ac:dyDescent="0.45">
      <c r="A57" s="353">
        <v>4</v>
      </c>
      <c r="B57" s="347" t="s">
        <v>1063</v>
      </c>
      <c r="C57" s="348" t="s">
        <v>557</v>
      </c>
      <c r="D57" s="348">
        <v>4</v>
      </c>
    </row>
    <row r="58" spans="1:4" ht="12.3" x14ac:dyDescent="0.4">
      <c r="A58" s="513">
        <v>5</v>
      </c>
      <c r="B58" s="515" t="s">
        <v>1064</v>
      </c>
      <c r="C58" s="517" t="s">
        <v>557</v>
      </c>
      <c r="D58" s="517">
        <v>4</v>
      </c>
    </row>
    <row r="59" spans="1:4" ht="12.6" thickBot="1" x14ac:dyDescent="0.45">
      <c r="A59" s="514"/>
      <c r="B59" s="516"/>
      <c r="C59" s="518"/>
      <c r="D59" s="518"/>
    </row>
    <row r="60" spans="1:4" x14ac:dyDescent="0.4">
      <c r="A60" s="513">
        <v>6</v>
      </c>
      <c r="B60" s="351" t="s">
        <v>1043</v>
      </c>
      <c r="C60" s="517" t="s">
        <v>4</v>
      </c>
      <c r="D60" s="517">
        <v>8</v>
      </c>
    </row>
    <row r="61" spans="1:4" ht="27.9" thickBot="1" x14ac:dyDescent="0.45">
      <c r="A61" s="514"/>
      <c r="B61" s="347" t="s">
        <v>1044</v>
      </c>
      <c r="C61" s="518"/>
      <c r="D61" s="518"/>
    </row>
    <row r="62" spans="1:4" ht="14.1" thickBot="1" x14ac:dyDescent="0.45">
      <c r="A62" s="353">
        <v>7</v>
      </c>
      <c r="B62" s="349" t="s">
        <v>1045</v>
      </c>
      <c r="C62" s="348" t="s">
        <v>557</v>
      </c>
      <c r="D62" s="348">
        <v>38</v>
      </c>
    </row>
    <row r="63" spans="1:4" ht="14.1" thickBot="1" x14ac:dyDescent="0.45">
      <c r="A63" s="353">
        <v>8</v>
      </c>
      <c r="B63" s="349" t="s">
        <v>1046</v>
      </c>
      <c r="C63" s="348" t="s">
        <v>557</v>
      </c>
      <c r="D63" s="348">
        <v>3</v>
      </c>
    </row>
    <row r="64" spans="1:4" ht="14.1" thickBot="1" x14ac:dyDescent="0.45">
      <c r="A64" s="353">
        <v>9</v>
      </c>
      <c r="B64" s="349" t="s">
        <v>1065</v>
      </c>
      <c r="C64" s="348" t="s">
        <v>557</v>
      </c>
      <c r="D64" s="348">
        <v>2</v>
      </c>
    </row>
    <row r="65" spans="1:4" ht="14.1" thickBot="1" x14ac:dyDescent="0.45">
      <c r="A65" s="353">
        <v>10</v>
      </c>
      <c r="B65" s="349" t="s">
        <v>1047</v>
      </c>
      <c r="C65" s="348" t="s">
        <v>557</v>
      </c>
      <c r="D65" s="348">
        <v>4</v>
      </c>
    </row>
    <row r="66" spans="1:4" ht="27.9" thickBot="1" x14ac:dyDescent="0.45">
      <c r="A66" s="353">
        <v>11</v>
      </c>
      <c r="B66" s="349" t="s">
        <v>1048</v>
      </c>
      <c r="C66" s="348" t="s">
        <v>557</v>
      </c>
      <c r="D66" s="348">
        <v>1</v>
      </c>
    </row>
    <row r="67" spans="1:4" ht="14.1" thickBot="1" x14ac:dyDescent="0.45">
      <c r="A67" s="353">
        <v>12</v>
      </c>
      <c r="B67" s="347" t="s">
        <v>1049</v>
      </c>
      <c r="C67" s="348" t="s">
        <v>557</v>
      </c>
      <c r="D67" s="348">
        <v>2</v>
      </c>
    </row>
    <row r="68" spans="1:4" x14ac:dyDescent="0.4">
      <c r="A68" s="513">
        <v>13</v>
      </c>
      <c r="B68" s="350" t="s">
        <v>1050</v>
      </c>
      <c r="C68" s="517" t="s">
        <v>557</v>
      </c>
      <c r="D68" s="517">
        <v>1</v>
      </c>
    </row>
    <row r="69" spans="1:4" ht="14.1" thickBot="1" x14ac:dyDescent="0.45">
      <c r="A69" s="514"/>
      <c r="B69" s="349" t="s">
        <v>1051</v>
      </c>
      <c r="C69" s="518"/>
      <c r="D69" s="518"/>
    </row>
    <row r="70" spans="1:4" ht="12.3" x14ac:dyDescent="0.4">
      <c r="A70" s="513">
        <v>14</v>
      </c>
      <c r="B70" s="523" t="s">
        <v>1052</v>
      </c>
      <c r="C70" s="517" t="s">
        <v>557</v>
      </c>
      <c r="D70" s="517">
        <v>1</v>
      </c>
    </row>
    <row r="71" spans="1:4" ht="12.6" thickBot="1" x14ac:dyDescent="0.45">
      <c r="A71" s="514"/>
      <c r="B71" s="524"/>
      <c r="C71" s="518"/>
      <c r="D71" s="518"/>
    </row>
    <row r="72" spans="1:4" ht="14.1" thickBot="1" x14ac:dyDescent="0.45">
      <c r="A72" s="353">
        <v>15</v>
      </c>
      <c r="B72" s="349" t="s">
        <v>1053</v>
      </c>
      <c r="C72" s="348" t="s">
        <v>4</v>
      </c>
      <c r="D72" s="348">
        <v>1</v>
      </c>
    </row>
    <row r="73" spans="1:4" ht="14.1" thickBot="1" x14ac:dyDescent="0.45">
      <c r="A73" s="353">
        <v>16</v>
      </c>
      <c r="B73" s="349" t="s">
        <v>1066</v>
      </c>
      <c r="C73" s="348" t="s">
        <v>557</v>
      </c>
      <c r="D73" s="348">
        <v>4</v>
      </c>
    </row>
    <row r="74" spans="1:4" ht="12.3" x14ac:dyDescent="0.4">
      <c r="A74" s="513">
        <v>17</v>
      </c>
      <c r="B74" s="523" t="s">
        <v>1067</v>
      </c>
      <c r="C74" s="517" t="s">
        <v>4</v>
      </c>
      <c r="D74" s="517">
        <v>4</v>
      </c>
    </row>
    <row r="75" spans="1:4" ht="12.6" thickBot="1" x14ac:dyDescent="0.45">
      <c r="A75" s="514"/>
      <c r="B75" s="524"/>
      <c r="C75" s="518"/>
      <c r="D75" s="518"/>
    </row>
    <row r="76" spans="1:4" ht="14.1" thickBot="1" x14ac:dyDescent="0.45">
      <c r="A76" s="353">
        <v>18</v>
      </c>
      <c r="B76" s="349" t="s">
        <v>1068</v>
      </c>
      <c r="C76" s="348" t="s">
        <v>4</v>
      </c>
      <c r="D76" s="348">
        <v>4</v>
      </c>
    </row>
    <row r="77" spans="1:4" ht="14.1" thickBot="1" x14ac:dyDescent="0.45">
      <c r="A77" s="353">
        <v>19</v>
      </c>
      <c r="B77" s="349" t="s">
        <v>1069</v>
      </c>
      <c r="C77" s="348" t="s">
        <v>4</v>
      </c>
      <c r="D77" s="348">
        <v>17</v>
      </c>
    </row>
    <row r="78" spans="1:4" ht="14.1" thickBot="1" x14ac:dyDescent="0.45">
      <c r="A78" s="353">
        <v>20</v>
      </c>
      <c r="B78" s="349" t="s">
        <v>1070</v>
      </c>
      <c r="C78" s="348" t="s">
        <v>4</v>
      </c>
      <c r="D78" s="348">
        <v>2</v>
      </c>
    </row>
    <row r="79" spans="1:4" ht="27.9" thickBot="1" x14ac:dyDescent="0.45">
      <c r="A79" s="362">
        <v>21</v>
      </c>
      <c r="B79" s="351" t="s">
        <v>1284</v>
      </c>
      <c r="C79" s="363" t="s">
        <v>4</v>
      </c>
      <c r="D79" s="363">
        <v>4</v>
      </c>
    </row>
    <row r="80" spans="1:4" ht="14.1" thickBot="1" x14ac:dyDescent="0.45">
      <c r="A80" s="343">
        <v>22</v>
      </c>
      <c r="B80" s="364" t="s">
        <v>1071</v>
      </c>
      <c r="C80" s="346" t="s">
        <v>4</v>
      </c>
      <c r="D80" s="346">
        <v>3</v>
      </c>
    </row>
    <row r="81" spans="1:4" ht="12.3" x14ac:dyDescent="0.4">
      <c r="A81" s="513">
        <v>23</v>
      </c>
      <c r="B81" s="523" t="s">
        <v>1054</v>
      </c>
      <c r="C81" s="517" t="s">
        <v>1055</v>
      </c>
      <c r="D81" s="517">
        <v>1</v>
      </c>
    </row>
    <row r="82" spans="1:4" ht="12.6" thickBot="1" x14ac:dyDescent="0.45">
      <c r="A82" s="514"/>
      <c r="B82" s="524"/>
      <c r="C82" s="518"/>
      <c r="D82" s="518"/>
    </row>
    <row r="83" spans="1:4" x14ac:dyDescent="0.45">
      <c r="A83" s="264"/>
    </row>
    <row r="84" spans="1:4" x14ac:dyDescent="0.45">
      <c r="A84" s="354"/>
    </row>
    <row r="85" spans="1:4" x14ac:dyDescent="0.45">
      <c r="A85" s="354"/>
    </row>
    <row r="86" spans="1:4" x14ac:dyDescent="0.45">
      <c r="A86" s="354"/>
    </row>
    <row r="87" spans="1:4" x14ac:dyDescent="0.45">
      <c r="A87" s="345"/>
    </row>
    <row r="88" spans="1:4" x14ac:dyDescent="0.45">
      <c r="A88" s="344" t="s">
        <v>1059</v>
      </c>
    </row>
    <row r="89" spans="1:4" x14ac:dyDescent="0.45">
      <c r="A89" s="264" t="s">
        <v>1060</v>
      </c>
    </row>
    <row r="90" spans="1:4" x14ac:dyDescent="0.45">
      <c r="A90" s="264"/>
    </row>
    <row r="91" spans="1:4" ht="14.25" customHeight="1" x14ac:dyDescent="0.4">
      <c r="A91" s="457" t="s">
        <v>1072</v>
      </c>
      <c r="B91" s="457"/>
      <c r="C91" s="457"/>
      <c r="D91" s="457"/>
    </row>
    <row r="92" spans="1:4" x14ac:dyDescent="0.45">
      <c r="A92" s="355"/>
    </row>
    <row r="93" spans="1:4" ht="14.1" thickBot="1" x14ac:dyDescent="0.5">
      <c r="A93" s="355"/>
    </row>
    <row r="94" spans="1:4" ht="14.1" thickBot="1" x14ac:dyDescent="0.45">
      <c r="A94" s="343" t="s">
        <v>7</v>
      </c>
      <c r="B94" s="346" t="s">
        <v>1036</v>
      </c>
      <c r="C94" s="346" t="s">
        <v>1037</v>
      </c>
      <c r="D94" s="346" t="s">
        <v>1038</v>
      </c>
    </row>
    <row r="95" spans="1:4" ht="12.3" x14ac:dyDescent="0.4">
      <c r="A95" s="527"/>
      <c r="B95" s="519" t="s">
        <v>1073</v>
      </c>
      <c r="C95" s="523"/>
      <c r="D95" s="523"/>
    </row>
    <row r="96" spans="1:4" ht="12.3" x14ac:dyDescent="0.4">
      <c r="A96" s="528"/>
      <c r="B96" s="530"/>
      <c r="C96" s="531"/>
      <c r="D96" s="531"/>
    </row>
    <row r="97" spans="1:4" ht="12.6" thickBot="1" x14ac:dyDescent="0.45">
      <c r="A97" s="529"/>
      <c r="B97" s="520"/>
      <c r="C97" s="524"/>
      <c r="D97" s="524"/>
    </row>
    <row r="98" spans="1:4" ht="14.1" thickBot="1" x14ac:dyDescent="0.45">
      <c r="A98" s="353">
        <v>1</v>
      </c>
      <c r="B98" s="347" t="s">
        <v>1074</v>
      </c>
      <c r="C98" s="348" t="s">
        <v>557</v>
      </c>
      <c r="D98" s="348">
        <v>1</v>
      </c>
    </row>
    <row r="99" spans="1:4" ht="14.1" thickBot="1" x14ac:dyDescent="0.45">
      <c r="A99" s="353">
        <v>2</v>
      </c>
      <c r="B99" s="349" t="s">
        <v>1040</v>
      </c>
      <c r="C99" s="348" t="s">
        <v>622</v>
      </c>
      <c r="D99" s="348">
        <v>450</v>
      </c>
    </row>
    <row r="100" spans="1:4" ht="14.1" thickBot="1" x14ac:dyDescent="0.45">
      <c r="A100" s="353">
        <v>3</v>
      </c>
      <c r="B100" s="347" t="s">
        <v>1075</v>
      </c>
      <c r="C100" s="348" t="s">
        <v>557</v>
      </c>
      <c r="D100" s="348">
        <v>1</v>
      </c>
    </row>
    <row r="101" spans="1:4" x14ac:dyDescent="0.4">
      <c r="A101" s="513">
        <v>4</v>
      </c>
      <c r="B101" s="351" t="s">
        <v>1043</v>
      </c>
      <c r="C101" s="517" t="s">
        <v>557</v>
      </c>
      <c r="D101" s="517">
        <v>1</v>
      </c>
    </row>
    <row r="102" spans="1:4" ht="27.9" thickBot="1" x14ac:dyDescent="0.45">
      <c r="A102" s="514"/>
      <c r="B102" s="349" t="s">
        <v>1044</v>
      </c>
      <c r="C102" s="518"/>
      <c r="D102" s="518"/>
    </row>
    <row r="103" spans="1:4" ht="14.1" thickBot="1" x14ac:dyDescent="0.45">
      <c r="A103" s="353">
        <v>5</v>
      </c>
      <c r="B103" s="349" t="s">
        <v>1045</v>
      </c>
      <c r="C103" s="348" t="s">
        <v>557</v>
      </c>
      <c r="D103" s="348">
        <v>8</v>
      </c>
    </row>
    <row r="104" spans="1:4" ht="14.1" thickBot="1" x14ac:dyDescent="0.45">
      <c r="A104" s="353">
        <v>6</v>
      </c>
      <c r="B104" s="349" t="s">
        <v>1065</v>
      </c>
      <c r="C104" s="348" t="s">
        <v>557</v>
      </c>
      <c r="D104" s="348">
        <v>3</v>
      </c>
    </row>
    <row r="105" spans="1:4" ht="14.1" thickBot="1" x14ac:dyDescent="0.45">
      <c r="A105" s="353">
        <v>7</v>
      </c>
      <c r="B105" s="349" t="s">
        <v>1047</v>
      </c>
      <c r="C105" s="348" t="s">
        <v>557</v>
      </c>
      <c r="D105" s="348">
        <v>2</v>
      </c>
    </row>
    <row r="106" spans="1:4" ht="14.1" thickBot="1" x14ac:dyDescent="0.45">
      <c r="A106" s="353">
        <v>8</v>
      </c>
      <c r="B106" s="349" t="s">
        <v>1076</v>
      </c>
      <c r="C106" s="348" t="s">
        <v>557</v>
      </c>
      <c r="D106" s="348">
        <v>1</v>
      </c>
    </row>
    <row r="107" spans="1:4" ht="14.1" thickBot="1" x14ac:dyDescent="0.45">
      <c r="A107" s="353">
        <v>9</v>
      </c>
      <c r="B107" s="347" t="s">
        <v>1077</v>
      </c>
      <c r="C107" s="348" t="s">
        <v>4</v>
      </c>
      <c r="D107" s="348">
        <v>1</v>
      </c>
    </row>
    <row r="108" spans="1:4" ht="14.1" thickBot="1" x14ac:dyDescent="0.45">
      <c r="A108" s="353">
        <v>10</v>
      </c>
      <c r="B108" s="347" t="s">
        <v>1078</v>
      </c>
      <c r="C108" s="348" t="s">
        <v>557</v>
      </c>
      <c r="D108" s="348">
        <v>1</v>
      </c>
    </row>
    <row r="109" spans="1:4" ht="14.1" thickBot="1" x14ac:dyDescent="0.45">
      <c r="A109" s="353">
        <v>11</v>
      </c>
      <c r="B109" s="347" t="s">
        <v>1071</v>
      </c>
      <c r="C109" s="348" t="s">
        <v>4</v>
      </c>
      <c r="D109" s="348">
        <v>2</v>
      </c>
    </row>
    <row r="110" spans="1:4" ht="14.1" thickBot="1" x14ac:dyDescent="0.45">
      <c r="A110" s="353">
        <v>12</v>
      </c>
      <c r="B110" s="347" t="s">
        <v>1079</v>
      </c>
      <c r="C110" s="348" t="s">
        <v>4</v>
      </c>
      <c r="D110" s="348">
        <v>1</v>
      </c>
    </row>
    <row r="111" spans="1:4" x14ac:dyDescent="0.4">
      <c r="A111" s="513">
        <v>13</v>
      </c>
      <c r="B111" s="351" t="s">
        <v>1043</v>
      </c>
      <c r="C111" s="517" t="s">
        <v>4</v>
      </c>
      <c r="D111" s="517">
        <v>2</v>
      </c>
    </row>
    <row r="112" spans="1:4" ht="27.9" thickBot="1" x14ac:dyDescent="0.45">
      <c r="A112" s="514"/>
      <c r="B112" s="347" t="s">
        <v>1044</v>
      </c>
      <c r="C112" s="518"/>
      <c r="D112" s="518"/>
    </row>
    <row r="113" spans="1:4" ht="14.1" thickBot="1" x14ac:dyDescent="0.45">
      <c r="A113" s="353">
        <v>14</v>
      </c>
      <c r="B113" s="352" t="s">
        <v>1080</v>
      </c>
      <c r="C113" s="348" t="s">
        <v>557</v>
      </c>
      <c r="D113" s="348">
        <v>1</v>
      </c>
    </row>
    <row r="114" spans="1:4" ht="12.3" x14ac:dyDescent="0.4">
      <c r="A114" s="513">
        <v>15</v>
      </c>
      <c r="B114" s="531" t="s">
        <v>1081</v>
      </c>
      <c r="C114" s="517" t="s">
        <v>557</v>
      </c>
      <c r="D114" s="517">
        <v>1</v>
      </c>
    </row>
    <row r="115" spans="1:4" ht="12.6" thickBot="1" x14ac:dyDescent="0.45">
      <c r="A115" s="514"/>
      <c r="B115" s="524"/>
      <c r="C115" s="518"/>
      <c r="D115" s="518"/>
    </row>
    <row r="116" spans="1:4" ht="14.1" thickBot="1" x14ac:dyDescent="0.45">
      <c r="A116" s="353">
        <v>16</v>
      </c>
      <c r="B116" s="349" t="s">
        <v>1053</v>
      </c>
      <c r="C116" s="348" t="s">
        <v>557</v>
      </c>
      <c r="D116" s="348">
        <v>1</v>
      </c>
    </row>
    <row r="117" spans="1:4" ht="12.3" x14ac:dyDescent="0.4">
      <c r="A117" s="513">
        <v>17</v>
      </c>
      <c r="B117" s="523" t="s">
        <v>1054</v>
      </c>
      <c r="C117" s="517" t="s">
        <v>1055</v>
      </c>
      <c r="D117" s="517">
        <v>1</v>
      </c>
    </row>
    <row r="118" spans="1:4" ht="12.6" thickBot="1" x14ac:dyDescent="0.45">
      <c r="A118" s="514"/>
      <c r="B118" s="524"/>
      <c r="C118" s="518"/>
      <c r="D118" s="518"/>
    </row>
    <row r="119" spans="1:4" x14ac:dyDescent="0.45">
      <c r="A119" s="355"/>
    </row>
    <row r="120" spans="1:4" x14ac:dyDescent="0.45">
      <c r="A120" s="355"/>
    </row>
    <row r="121" spans="1:4" x14ac:dyDescent="0.45">
      <c r="A121" s="355"/>
    </row>
    <row r="122" spans="1:4" x14ac:dyDescent="0.45">
      <c r="A122" s="355"/>
    </row>
    <row r="123" spans="1:4" x14ac:dyDescent="0.45">
      <c r="A123" s="355"/>
    </row>
    <row r="124" spans="1:4" x14ac:dyDescent="0.45">
      <c r="A124" s="355"/>
    </row>
    <row r="125" spans="1:4" x14ac:dyDescent="0.45">
      <c r="A125" s="355"/>
    </row>
    <row r="126" spans="1:4" x14ac:dyDescent="0.45">
      <c r="A126" s="355"/>
    </row>
    <row r="127" spans="1:4" x14ac:dyDescent="0.45">
      <c r="A127" s="355"/>
    </row>
    <row r="128" spans="1:4" x14ac:dyDescent="0.45">
      <c r="A128" s="355"/>
    </row>
    <row r="129" spans="1:1" x14ac:dyDescent="0.45">
      <c r="A129" s="355"/>
    </row>
    <row r="130" spans="1:1" x14ac:dyDescent="0.45">
      <c r="A130" s="355"/>
    </row>
    <row r="131" spans="1:1" x14ac:dyDescent="0.45">
      <c r="A131" s="355"/>
    </row>
    <row r="132" spans="1:1" x14ac:dyDescent="0.45">
      <c r="A132" s="355"/>
    </row>
    <row r="133" spans="1:1" x14ac:dyDescent="0.45">
      <c r="A133" s="355" t="s">
        <v>1082</v>
      </c>
    </row>
    <row r="134" spans="1:1" x14ac:dyDescent="0.45">
      <c r="A134" s="355" t="s">
        <v>1282</v>
      </c>
    </row>
  </sheetData>
  <mergeCells count="67">
    <mergeCell ref="A3:D3"/>
    <mergeCell ref="A6:D6"/>
    <mergeCell ref="A10:D10"/>
    <mergeCell ref="A48:D48"/>
    <mergeCell ref="A91:D91"/>
    <mergeCell ref="A111:A112"/>
    <mergeCell ref="C111:C112"/>
    <mergeCell ref="D111:D112"/>
    <mergeCell ref="D95:D97"/>
    <mergeCell ref="A101:A102"/>
    <mergeCell ref="C101:C102"/>
    <mergeCell ref="A117:A118"/>
    <mergeCell ref="B117:B118"/>
    <mergeCell ref="C117:C118"/>
    <mergeCell ref="D117:D118"/>
    <mergeCell ref="C70:C71"/>
    <mergeCell ref="D70:D71"/>
    <mergeCell ref="A74:A75"/>
    <mergeCell ref="A114:A115"/>
    <mergeCell ref="B114:B115"/>
    <mergeCell ref="C114:C115"/>
    <mergeCell ref="D114:D115"/>
    <mergeCell ref="A95:A97"/>
    <mergeCell ref="B95:B97"/>
    <mergeCell ref="C95:C97"/>
    <mergeCell ref="A68:A69"/>
    <mergeCell ref="C68:C69"/>
    <mergeCell ref="D68:D69"/>
    <mergeCell ref="D101:D102"/>
    <mergeCell ref="A81:A82"/>
    <mergeCell ref="B81:B82"/>
    <mergeCell ref="C81:C82"/>
    <mergeCell ref="D81:D82"/>
    <mergeCell ref="A70:A71"/>
    <mergeCell ref="B70:B71"/>
    <mergeCell ref="A58:A59"/>
    <mergeCell ref="B58:B59"/>
    <mergeCell ref="C58:C59"/>
    <mergeCell ref="D58:D59"/>
    <mergeCell ref="B74:B75"/>
    <mergeCell ref="C74:C75"/>
    <mergeCell ref="D74:D75"/>
    <mergeCell ref="A60:A61"/>
    <mergeCell ref="C60:C61"/>
    <mergeCell ref="D60:D61"/>
    <mergeCell ref="A34:A35"/>
    <mergeCell ref="B34:B35"/>
    <mergeCell ref="C34:C35"/>
    <mergeCell ref="D34:D35"/>
    <mergeCell ref="A52:A53"/>
    <mergeCell ref="B52:B53"/>
    <mergeCell ref="C52:C53"/>
    <mergeCell ref="D52:D53"/>
    <mergeCell ref="A28:A29"/>
    <mergeCell ref="C28:C29"/>
    <mergeCell ref="D28:D29"/>
    <mergeCell ref="A30:A31"/>
    <mergeCell ref="B30:B31"/>
    <mergeCell ref="C30:C31"/>
    <mergeCell ref="D30:D31"/>
    <mergeCell ref="A19:A20"/>
    <mergeCell ref="B19:B20"/>
    <mergeCell ref="C19:C20"/>
    <mergeCell ref="D19:D20"/>
    <mergeCell ref="A21:A22"/>
    <mergeCell ref="C21:C22"/>
    <mergeCell ref="D21:D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1481-0363-4379-A166-AC134D4D9B76}">
  <dimension ref="A1:D423"/>
  <sheetViews>
    <sheetView workbookViewId="0"/>
  </sheetViews>
  <sheetFormatPr defaultRowHeight="13.8" x14ac:dyDescent="0.4"/>
  <cols>
    <col min="1" max="1" width="4.109375" style="247" customWidth="1"/>
    <col min="2" max="2" width="76.609375" style="248" customWidth="1"/>
    <col min="3" max="3" width="6.71875" style="249" customWidth="1"/>
    <col min="4" max="4" width="11.88671875" style="247" customWidth="1"/>
  </cols>
  <sheetData>
    <row r="1" spans="1:4" s="214" customFormat="1" ht="15" x14ac:dyDescent="0.5">
      <c r="A1" s="451" t="s">
        <v>267</v>
      </c>
      <c r="B1" s="209"/>
      <c r="C1" s="210"/>
      <c r="D1" s="50"/>
    </row>
    <row r="2" spans="1:4" s="214" customFormat="1" ht="15" x14ac:dyDescent="0.5">
      <c r="A2" s="225"/>
      <c r="B2" s="209"/>
      <c r="C2" s="210"/>
      <c r="D2" s="50"/>
    </row>
    <row r="3" spans="1:4" s="214" customFormat="1" ht="48" customHeight="1" x14ac:dyDescent="0.5">
      <c r="A3" s="452" t="s">
        <v>493</v>
      </c>
      <c r="B3" s="452"/>
      <c r="C3" s="452"/>
      <c r="D3" s="452"/>
    </row>
    <row r="4" spans="1:4" ht="30" customHeight="1" x14ac:dyDescent="0.4">
      <c r="A4" s="226"/>
      <c r="B4" s="204"/>
      <c r="C4" s="206"/>
      <c r="D4" s="206"/>
    </row>
    <row r="5" spans="1:4" ht="30" customHeight="1" x14ac:dyDescent="0.4">
      <c r="A5" s="226"/>
      <c r="B5" s="215" t="s">
        <v>555</v>
      </c>
      <c r="C5" s="206"/>
      <c r="D5" s="206"/>
    </row>
    <row r="6" spans="1:4" ht="30" customHeight="1" x14ac:dyDescent="0.4">
      <c r="A6" s="226"/>
      <c r="B6" s="81"/>
      <c r="C6" s="206"/>
      <c r="D6" s="206"/>
    </row>
    <row r="7" spans="1:4" ht="30" customHeight="1" x14ac:dyDescent="0.45">
      <c r="A7" s="228" t="s">
        <v>805</v>
      </c>
      <c r="B7" s="208"/>
      <c r="C7" s="206"/>
      <c r="D7" s="206"/>
    </row>
    <row r="9" spans="1:4" ht="24.6" x14ac:dyDescent="0.4">
      <c r="A9" s="230" t="s">
        <v>7</v>
      </c>
      <c r="B9" s="86" t="s">
        <v>558</v>
      </c>
      <c r="C9" s="230" t="s">
        <v>9</v>
      </c>
      <c r="D9" s="231" t="s">
        <v>11</v>
      </c>
    </row>
    <row r="10" spans="1:4" x14ac:dyDescent="0.4">
      <c r="A10" s="230"/>
      <c r="B10" s="86"/>
      <c r="C10" s="230"/>
      <c r="D10" s="231"/>
    </row>
    <row r="11" spans="1:4" ht="25" customHeight="1" x14ac:dyDescent="0.4">
      <c r="A11" s="137"/>
      <c r="B11" s="40" t="s">
        <v>559</v>
      </c>
      <c r="C11" s="218"/>
      <c r="D11" s="219"/>
    </row>
    <row r="12" spans="1:4" ht="12.75" customHeight="1" x14ac:dyDescent="0.4">
      <c r="A12" s="477">
        <v>1</v>
      </c>
      <c r="B12" s="533" t="s">
        <v>560</v>
      </c>
      <c r="C12" s="474" t="s">
        <v>556</v>
      </c>
      <c r="D12" s="474">
        <v>1</v>
      </c>
    </row>
    <row r="13" spans="1:4" ht="12.75" customHeight="1" x14ac:dyDescent="0.4">
      <c r="A13" s="478"/>
      <c r="B13" s="533"/>
      <c r="C13" s="475"/>
      <c r="D13" s="475"/>
    </row>
    <row r="14" spans="1:4" ht="12.75" customHeight="1" x14ac:dyDescent="0.4">
      <c r="A14" s="478"/>
      <c r="B14" s="533"/>
      <c r="C14" s="475"/>
      <c r="D14" s="475"/>
    </row>
    <row r="15" spans="1:4" ht="12.75" customHeight="1" x14ac:dyDescent="0.4">
      <c r="A15" s="478"/>
      <c r="B15" s="533"/>
      <c r="C15" s="475"/>
      <c r="D15" s="475"/>
    </row>
    <row r="16" spans="1:4" x14ac:dyDescent="0.4">
      <c r="A16" s="478"/>
      <c r="B16" s="234" t="s">
        <v>561</v>
      </c>
      <c r="C16" s="475"/>
      <c r="D16" s="475"/>
    </row>
    <row r="17" spans="1:4" x14ac:dyDescent="0.4">
      <c r="A17" s="478"/>
      <c r="B17" s="234" t="s">
        <v>562</v>
      </c>
      <c r="C17" s="475"/>
      <c r="D17" s="475"/>
    </row>
    <row r="18" spans="1:4" x14ac:dyDescent="0.4">
      <c r="A18" s="478"/>
      <c r="B18" s="234" t="s">
        <v>563</v>
      </c>
      <c r="C18" s="475"/>
      <c r="D18" s="475"/>
    </row>
    <row r="19" spans="1:4" x14ac:dyDescent="0.4">
      <c r="A19" s="478"/>
      <c r="B19" s="234" t="s">
        <v>564</v>
      </c>
      <c r="C19" s="475"/>
      <c r="D19" s="475"/>
    </row>
    <row r="20" spans="1:4" x14ac:dyDescent="0.4">
      <c r="A20" s="478"/>
      <c r="B20" s="234" t="s">
        <v>565</v>
      </c>
      <c r="C20" s="475"/>
      <c r="D20" s="475"/>
    </row>
    <row r="21" spans="1:4" ht="41.4" x14ac:dyDescent="0.4">
      <c r="A21" s="478"/>
      <c r="B21" s="252" t="s">
        <v>566</v>
      </c>
      <c r="C21" s="475"/>
      <c r="D21" s="475"/>
    </row>
    <row r="22" spans="1:4" ht="27.6" x14ac:dyDescent="0.4">
      <c r="A22" s="478"/>
      <c r="B22" s="252" t="s">
        <v>567</v>
      </c>
      <c r="C22" s="475"/>
      <c r="D22" s="475"/>
    </row>
    <row r="23" spans="1:4" ht="27.6" x14ac:dyDescent="0.4">
      <c r="A23" s="478"/>
      <c r="B23" s="234" t="s">
        <v>568</v>
      </c>
      <c r="C23" s="475"/>
      <c r="D23" s="475"/>
    </row>
    <row r="24" spans="1:4" ht="27.6" x14ac:dyDescent="0.4">
      <c r="A24" s="478"/>
      <c r="B24" s="252" t="s">
        <v>569</v>
      </c>
      <c r="C24" s="475"/>
      <c r="D24" s="475"/>
    </row>
    <row r="25" spans="1:4" x14ac:dyDescent="0.4">
      <c r="A25" s="478"/>
      <c r="B25" s="234" t="s">
        <v>570</v>
      </c>
      <c r="C25" s="475"/>
      <c r="D25" s="475"/>
    </row>
    <row r="26" spans="1:4" x14ac:dyDescent="0.4">
      <c r="A26" s="478"/>
      <c r="B26" s="252" t="s">
        <v>571</v>
      </c>
      <c r="C26" s="475"/>
      <c r="D26" s="475"/>
    </row>
    <row r="27" spans="1:4" x14ac:dyDescent="0.4">
      <c r="A27" s="478"/>
      <c r="B27" s="234" t="s">
        <v>572</v>
      </c>
      <c r="C27" s="475"/>
      <c r="D27" s="475"/>
    </row>
    <row r="28" spans="1:4" x14ac:dyDescent="0.4">
      <c r="A28" s="478"/>
      <c r="B28" s="234" t="s">
        <v>565</v>
      </c>
      <c r="C28" s="475"/>
      <c r="D28" s="475"/>
    </row>
    <row r="29" spans="1:4" ht="41.4" x14ac:dyDescent="0.4">
      <c r="A29" s="478"/>
      <c r="B29" s="252" t="s">
        <v>566</v>
      </c>
      <c r="C29" s="475"/>
      <c r="D29" s="475"/>
    </row>
    <row r="30" spans="1:4" ht="27.6" x14ac:dyDescent="0.4">
      <c r="A30" s="478"/>
      <c r="B30" s="252" t="s">
        <v>573</v>
      </c>
      <c r="C30" s="475"/>
      <c r="D30" s="475"/>
    </row>
    <row r="31" spans="1:4" x14ac:dyDescent="0.4">
      <c r="A31" s="478"/>
      <c r="B31" s="252" t="s">
        <v>574</v>
      </c>
      <c r="C31" s="475"/>
      <c r="D31" s="475"/>
    </row>
    <row r="32" spans="1:4" x14ac:dyDescent="0.4">
      <c r="A32" s="478"/>
      <c r="B32" s="252" t="s">
        <v>575</v>
      </c>
      <c r="C32" s="475"/>
      <c r="D32" s="475"/>
    </row>
    <row r="33" spans="1:4" x14ac:dyDescent="0.4">
      <c r="A33" s="478"/>
      <c r="B33" s="252" t="s">
        <v>576</v>
      </c>
      <c r="C33" s="475"/>
      <c r="D33" s="475"/>
    </row>
    <row r="34" spans="1:4" x14ac:dyDescent="0.4">
      <c r="A34" s="478"/>
      <c r="B34" s="252" t="s">
        <v>577</v>
      </c>
      <c r="C34" s="475"/>
      <c r="D34" s="475"/>
    </row>
    <row r="35" spans="1:4" x14ac:dyDescent="0.4">
      <c r="A35" s="478"/>
      <c r="B35" s="252" t="s">
        <v>578</v>
      </c>
      <c r="C35" s="475"/>
      <c r="D35" s="475"/>
    </row>
    <row r="36" spans="1:4" x14ac:dyDescent="0.4">
      <c r="A36" s="478"/>
      <c r="B36" s="252" t="s">
        <v>579</v>
      </c>
      <c r="C36" s="475"/>
      <c r="D36" s="475"/>
    </row>
    <row r="37" spans="1:4" x14ac:dyDescent="0.4">
      <c r="A37" s="478"/>
      <c r="B37" s="252" t="s">
        <v>580</v>
      </c>
      <c r="C37" s="475"/>
      <c r="D37" s="475"/>
    </row>
    <row r="38" spans="1:4" x14ac:dyDescent="0.4">
      <c r="A38" s="478"/>
      <c r="B38" s="252" t="s">
        <v>581</v>
      </c>
      <c r="C38" s="475"/>
      <c r="D38" s="475"/>
    </row>
    <row r="39" spans="1:4" x14ac:dyDescent="0.4">
      <c r="A39" s="478"/>
      <c r="B39" s="252" t="s">
        <v>582</v>
      </c>
      <c r="C39" s="475"/>
      <c r="D39" s="475"/>
    </row>
    <row r="40" spans="1:4" x14ac:dyDescent="0.4">
      <c r="A40" s="479"/>
      <c r="B40" s="252" t="s">
        <v>583</v>
      </c>
      <c r="C40" s="476"/>
      <c r="D40" s="476"/>
    </row>
    <row r="41" spans="1:4" ht="27.6" x14ac:dyDescent="0.4">
      <c r="A41" s="216">
        <v>2</v>
      </c>
      <c r="B41" s="212" t="s">
        <v>584</v>
      </c>
      <c r="C41" s="240" t="s">
        <v>4</v>
      </c>
      <c r="D41" s="39">
        <v>24</v>
      </c>
    </row>
    <row r="42" spans="1:4" ht="27.6" x14ac:dyDescent="0.4">
      <c r="A42" s="132">
        <v>3</v>
      </c>
      <c r="B42" s="212" t="s">
        <v>585</v>
      </c>
      <c r="C42" s="240" t="s">
        <v>4</v>
      </c>
      <c r="D42" s="241">
        <v>12</v>
      </c>
    </row>
    <row r="43" spans="1:4" x14ac:dyDescent="0.4">
      <c r="A43" s="132">
        <v>4</v>
      </c>
      <c r="B43" s="213" t="s">
        <v>586</v>
      </c>
      <c r="C43" s="240" t="s">
        <v>4</v>
      </c>
      <c r="D43" s="241">
        <v>1</v>
      </c>
    </row>
    <row r="44" spans="1:4" x14ac:dyDescent="0.4">
      <c r="A44" s="132">
        <v>5</v>
      </c>
      <c r="B44" s="213" t="s">
        <v>587</v>
      </c>
      <c r="C44" s="240" t="s">
        <v>4</v>
      </c>
      <c r="D44" s="241">
        <v>1</v>
      </c>
    </row>
    <row r="45" spans="1:4" x14ac:dyDescent="0.4">
      <c r="A45" s="132">
        <v>6</v>
      </c>
      <c r="B45" s="213" t="s">
        <v>588</v>
      </c>
      <c r="C45" s="240" t="s">
        <v>4</v>
      </c>
      <c r="D45" s="241">
        <v>2</v>
      </c>
    </row>
    <row r="46" spans="1:4" x14ac:dyDescent="0.4">
      <c r="A46" s="132">
        <v>7</v>
      </c>
      <c r="B46" s="213" t="s">
        <v>589</v>
      </c>
      <c r="C46" s="240" t="s">
        <v>4</v>
      </c>
      <c r="D46" s="241">
        <v>1</v>
      </c>
    </row>
    <row r="47" spans="1:4" x14ac:dyDescent="0.4">
      <c r="A47" s="132">
        <v>8</v>
      </c>
      <c r="B47" s="213" t="s">
        <v>590</v>
      </c>
      <c r="C47" s="240" t="s">
        <v>4</v>
      </c>
      <c r="D47" s="241">
        <v>1</v>
      </c>
    </row>
    <row r="48" spans="1:4" x14ac:dyDescent="0.4">
      <c r="A48" s="132">
        <v>9</v>
      </c>
      <c r="B48" s="213" t="s">
        <v>591</v>
      </c>
      <c r="C48" s="240" t="s">
        <v>4</v>
      </c>
      <c r="D48" s="242">
        <v>2</v>
      </c>
    </row>
    <row r="49" spans="1:4" x14ac:dyDescent="0.4">
      <c r="A49" s="132">
        <v>10</v>
      </c>
      <c r="B49" s="212" t="s">
        <v>592</v>
      </c>
      <c r="C49" s="243" t="s">
        <v>1</v>
      </c>
      <c r="D49" s="39">
        <v>326</v>
      </c>
    </row>
    <row r="50" spans="1:4" x14ac:dyDescent="0.4">
      <c r="A50" s="132">
        <v>11</v>
      </c>
      <c r="B50" s="212" t="s">
        <v>593</v>
      </c>
      <c r="C50" s="243" t="s">
        <v>1</v>
      </c>
      <c r="D50" s="39">
        <v>171</v>
      </c>
    </row>
    <row r="51" spans="1:4" x14ac:dyDescent="0.4">
      <c r="A51" s="132">
        <v>12</v>
      </c>
      <c r="B51" s="212" t="s">
        <v>594</v>
      </c>
      <c r="C51" s="243" t="s">
        <v>5</v>
      </c>
      <c r="D51" s="39">
        <v>17</v>
      </c>
    </row>
    <row r="52" spans="1:4" x14ac:dyDescent="0.4">
      <c r="A52" s="132">
        <v>13</v>
      </c>
      <c r="B52" s="212" t="s">
        <v>595</v>
      </c>
      <c r="C52" s="243" t="s">
        <v>5</v>
      </c>
      <c r="D52" s="39">
        <v>15</v>
      </c>
    </row>
    <row r="53" spans="1:4" x14ac:dyDescent="0.4">
      <c r="A53" s="132">
        <v>14</v>
      </c>
      <c r="B53" s="212" t="s">
        <v>596</v>
      </c>
      <c r="C53" s="243" t="s">
        <v>5</v>
      </c>
      <c r="D53" s="39">
        <v>6</v>
      </c>
    </row>
    <row r="54" spans="1:4" x14ac:dyDescent="0.4">
      <c r="A54" s="132">
        <v>15</v>
      </c>
      <c r="B54" s="212" t="s">
        <v>597</v>
      </c>
      <c r="C54" s="243" t="s">
        <v>5</v>
      </c>
      <c r="D54" s="39">
        <v>12</v>
      </c>
    </row>
    <row r="55" spans="1:4" x14ac:dyDescent="0.4">
      <c r="A55" s="132">
        <v>16</v>
      </c>
      <c r="B55" s="212" t="s">
        <v>598</v>
      </c>
      <c r="C55" s="243" t="s">
        <v>5</v>
      </c>
      <c r="D55" s="39">
        <v>16</v>
      </c>
    </row>
    <row r="56" spans="1:4" x14ac:dyDescent="0.4">
      <c r="A56" s="132">
        <v>17</v>
      </c>
      <c r="B56" s="212" t="s">
        <v>599</v>
      </c>
      <c r="C56" s="243" t="s">
        <v>5</v>
      </c>
      <c r="D56" s="39">
        <v>15</v>
      </c>
    </row>
    <row r="57" spans="1:4" x14ac:dyDescent="0.4">
      <c r="A57" s="132">
        <v>18</v>
      </c>
      <c r="B57" s="212" t="s">
        <v>600</v>
      </c>
      <c r="C57" s="243" t="s">
        <v>5</v>
      </c>
      <c r="D57" s="39">
        <v>38</v>
      </c>
    </row>
    <row r="58" spans="1:4" x14ac:dyDescent="0.4">
      <c r="A58" s="132">
        <v>19</v>
      </c>
      <c r="B58" s="212" t="s">
        <v>601</v>
      </c>
      <c r="C58" s="243" t="s">
        <v>5</v>
      </c>
      <c r="D58" s="39">
        <v>6</v>
      </c>
    </row>
    <row r="59" spans="1:4" x14ac:dyDescent="0.4">
      <c r="A59" s="132">
        <v>20</v>
      </c>
      <c r="B59" s="212" t="s">
        <v>602</v>
      </c>
      <c r="C59" s="243" t="s">
        <v>5</v>
      </c>
      <c r="D59" s="39">
        <v>14</v>
      </c>
    </row>
    <row r="60" spans="1:4" x14ac:dyDescent="0.4">
      <c r="A60" s="132">
        <v>21</v>
      </c>
      <c r="B60" s="212" t="s">
        <v>603</v>
      </c>
      <c r="C60" s="243" t="s">
        <v>5</v>
      </c>
      <c r="D60" s="39">
        <v>12</v>
      </c>
    </row>
    <row r="61" spans="1:4" x14ac:dyDescent="0.4">
      <c r="A61" s="132">
        <v>22</v>
      </c>
      <c r="B61" s="212" t="s">
        <v>604</v>
      </c>
      <c r="C61" s="240" t="s">
        <v>4</v>
      </c>
      <c r="D61" s="241">
        <v>3</v>
      </c>
    </row>
    <row r="62" spans="1:4" x14ac:dyDescent="0.4">
      <c r="A62" s="132">
        <v>23</v>
      </c>
      <c r="B62" s="212" t="s">
        <v>605</v>
      </c>
      <c r="C62" s="240" t="s">
        <v>4</v>
      </c>
      <c r="D62" s="241">
        <v>2</v>
      </c>
    </row>
    <row r="63" spans="1:4" x14ac:dyDescent="0.4">
      <c r="A63" s="132">
        <v>24</v>
      </c>
      <c r="B63" s="212" t="s">
        <v>606</v>
      </c>
      <c r="C63" s="240" t="s">
        <v>4</v>
      </c>
      <c r="D63" s="241">
        <v>4</v>
      </c>
    </row>
    <row r="64" spans="1:4" x14ac:dyDescent="0.4">
      <c r="A64" s="132">
        <v>25</v>
      </c>
      <c r="B64" s="212" t="s">
        <v>607</v>
      </c>
      <c r="C64" s="240" t="s">
        <v>4</v>
      </c>
      <c r="D64" s="241">
        <v>3</v>
      </c>
    </row>
    <row r="65" spans="1:4" x14ac:dyDescent="0.4">
      <c r="A65" s="132">
        <v>26</v>
      </c>
      <c r="B65" s="212" t="s">
        <v>608</v>
      </c>
      <c r="C65" s="240" t="s">
        <v>4</v>
      </c>
      <c r="D65" s="241">
        <v>2</v>
      </c>
    </row>
    <row r="66" spans="1:4" x14ac:dyDescent="0.4">
      <c r="A66" s="132">
        <v>27</v>
      </c>
      <c r="B66" s="212" t="s">
        <v>609</v>
      </c>
      <c r="C66" s="240" t="s">
        <v>4</v>
      </c>
      <c r="D66" s="241">
        <v>1</v>
      </c>
    </row>
    <row r="67" spans="1:4" x14ac:dyDescent="0.4">
      <c r="A67" s="132">
        <v>28</v>
      </c>
      <c r="B67" s="212" t="s">
        <v>610</v>
      </c>
      <c r="C67" s="240" t="s">
        <v>4</v>
      </c>
      <c r="D67" s="241">
        <v>2</v>
      </c>
    </row>
    <row r="68" spans="1:4" x14ac:dyDescent="0.4">
      <c r="A68" s="132">
        <v>29</v>
      </c>
      <c r="B68" s="212" t="s">
        <v>611</v>
      </c>
      <c r="C68" s="240" t="s">
        <v>4</v>
      </c>
      <c r="D68" s="241">
        <v>3</v>
      </c>
    </row>
    <row r="69" spans="1:4" x14ac:dyDescent="0.4">
      <c r="A69" s="132">
        <v>30</v>
      </c>
      <c r="B69" s="212" t="s">
        <v>612</v>
      </c>
      <c r="C69" s="240" t="s">
        <v>4</v>
      </c>
      <c r="D69" s="241">
        <v>3</v>
      </c>
    </row>
    <row r="70" spans="1:4" x14ac:dyDescent="0.4">
      <c r="A70" s="132">
        <v>31</v>
      </c>
      <c r="B70" s="212" t="s">
        <v>613</v>
      </c>
      <c r="C70" s="240" t="s">
        <v>4</v>
      </c>
      <c r="D70" s="241">
        <v>3</v>
      </c>
    </row>
    <row r="71" spans="1:4" x14ac:dyDescent="0.4">
      <c r="A71" s="132">
        <v>32</v>
      </c>
      <c r="B71" s="212" t="s">
        <v>614</v>
      </c>
      <c r="C71" s="240" t="s">
        <v>4</v>
      </c>
      <c r="D71" s="241">
        <v>1</v>
      </c>
    </row>
    <row r="72" spans="1:4" x14ac:dyDescent="0.4">
      <c r="A72" s="132">
        <v>33</v>
      </c>
      <c r="B72" s="212" t="s">
        <v>615</v>
      </c>
      <c r="C72" s="240" t="s">
        <v>4</v>
      </c>
      <c r="D72" s="241">
        <v>1</v>
      </c>
    </row>
    <row r="73" spans="1:4" x14ac:dyDescent="0.4">
      <c r="A73" s="132">
        <v>34</v>
      </c>
      <c r="B73" s="212" t="s">
        <v>616</v>
      </c>
      <c r="C73" s="240" t="s">
        <v>4</v>
      </c>
      <c r="D73" s="241">
        <v>1</v>
      </c>
    </row>
    <row r="74" spans="1:4" x14ac:dyDescent="0.4">
      <c r="A74" s="132">
        <v>35</v>
      </c>
      <c r="B74" s="212" t="s">
        <v>617</v>
      </c>
      <c r="C74" s="240" t="s">
        <v>4</v>
      </c>
      <c r="D74" s="241">
        <v>2</v>
      </c>
    </row>
    <row r="75" spans="1:4" x14ac:dyDescent="0.4">
      <c r="A75" s="132">
        <v>36</v>
      </c>
      <c r="B75" s="212" t="s">
        <v>618</v>
      </c>
      <c r="C75" s="240" t="s">
        <v>4</v>
      </c>
      <c r="D75" s="241">
        <v>1</v>
      </c>
    </row>
    <row r="76" spans="1:4" x14ac:dyDescent="0.4">
      <c r="A76" s="132">
        <v>37</v>
      </c>
      <c r="B76" s="212" t="s">
        <v>619</v>
      </c>
      <c r="C76" s="240" t="s">
        <v>4</v>
      </c>
      <c r="D76" s="241">
        <v>2</v>
      </c>
    </row>
    <row r="77" spans="1:4" x14ac:dyDescent="0.4">
      <c r="A77" s="132">
        <v>38</v>
      </c>
      <c r="B77" s="36" t="s">
        <v>620</v>
      </c>
      <c r="C77" s="243" t="s">
        <v>1</v>
      </c>
      <c r="D77" s="32">
        <v>497</v>
      </c>
    </row>
    <row r="78" spans="1:4" x14ac:dyDescent="0.4">
      <c r="A78" s="132">
        <v>39</v>
      </c>
      <c r="B78" s="36" t="s">
        <v>620</v>
      </c>
      <c r="C78" s="243" t="s">
        <v>5</v>
      </c>
      <c r="D78" s="32">
        <v>151</v>
      </c>
    </row>
    <row r="79" spans="1:4" x14ac:dyDescent="0.4">
      <c r="A79" s="132">
        <v>40</v>
      </c>
      <c r="B79" s="36" t="s">
        <v>621</v>
      </c>
      <c r="C79" s="243" t="s">
        <v>622</v>
      </c>
      <c r="D79" s="32">
        <v>520</v>
      </c>
    </row>
    <row r="80" spans="1:4" x14ac:dyDescent="0.4">
      <c r="A80" s="132">
        <v>41</v>
      </c>
      <c r="B80" s="36" t="s">
        <v>623</v>
      </c>
      <c r="C80" s="243" t="s">
        <v>4</v>
      </c>
      <c r="D80" s="32">
        <v>1</v>
      </c>
    </row>
    <row r="81" spans="1:4" x14ac:dyDescent="0.4">
      <c r="A81" s="132">
        <v>42</v>
      </c>
      <c r="B81" s="36" t="s">
        <v>624</v>
      </c>
      <c r="C81" s="243" t="s">
        <v>4</v>
      </c>
      <c r="D81" s="32">
        <v>1</v>
      </c>
    </row>
    <row r="82" spans="1:4" x14ac:dyDescent="0.4">
      <c r="A82" s="132">
        <v>43</v>
      </c>
      <c r="B82" s="36" t="s">
        <v>625</v>
      </c>
      <c r="C82" s="243" t="s">
        <v>4</v>
      </c>
      <c r="D82" s="32">
        <v>36</v>
      </c>
    </row>
    <row r="83" spans="1:4" x14ac:dyDescent="0.4">
      <c r="A83" s="132">
        <v>44</v>
      </c>
      <c r="B83" s="36" t="s">
        <v>626</v>
      </c>
      <c r="C83" s="243" t="s">
        <v>4</v>
      </c>
      <c r="D83" s="32">
        <v>2</v>
      </c>
    </row>
    <row r="84" spans="1:4" x14ac:dyDescent="0.4">
      <c r="A84" s="132">
        <v>45</v>
      </c>
      <c r="B84" s="36" t="s">
        <v>627</v>
      </c>
      <c r="C84" s="243" t="s">
        <v>4</v>
      </c>
      <c r="D84" s="32">
        <v>1</v>
      </c>
    </row>
    <row r="85" spans="1:4" x14ac:dyDescent="0.4">
      <c r="A85" s="132">
        <v>46</v>
      </c>
      <c r="B85" s="36" t="s">
        <v>628</v>
      </c>
      <c r="C85" s="243" t="s">
        <v>4</v>
      </c>
      <c r="D85" s="32">
        <v>1</v>
      </c>
    </row>
    <row r="86" spans="1:4" x14ac:dyDescent="0.4">
      <c r="A86" s="132">
        <v>47</v>
      </c>
      <c r="B86" s="36" t="s">
        <v>629</v>
      </c>
      <c r="C86" s="243" t="s">
        <v>4</v>
      </c>
      <c r="D86" s="32">
        <v>1</v>
      </c>
    </row>
    <row r="87" spans="1:4" x14ac:dyDescent="0.4">
      <c r="A87" s="205"/>
      <c r="B87" s="36"/>
      <c r="C87" s="243"/>
      <c r="D87" s="244"/>
    </row>
    <row r="88" spans="1:4" ht="25" customHeight="1" x14ac:dyDescent="0.4">
      <c r="A88" s="137"/>
      <c r="B88" s="40" t="s">
        <v>630</v>
      </c>
      <c r="C88" s="218"/>
      <c r="D88" s="219"/>
    </row>
    <row r="89" spans="1:4" x14ac:dyDescent="0.4">
      <c r="A89" s="466">
        <v>1</v>
      </c>
      <c r="B89" s="252" t="s">
        <v>631</v>
      </c>
      <c r="C89" s="469" t="s">
        <v>4</v>
      </c>
      <c r="D89" s="469">
        <v>1</v>
      </c>
    </row>
    <row r="90" spans="1:4" x14ac:dyDescent="0.4">
      <c r="A90" s="467"/>
      <c r="B90" s="252" t="s">
        <v>632</v>
      </c>
      <c r="C90" s="470"/>
      <c r="D90" s="470"/>
    </row>
    <row r="91" spans="1:4" x14ac:dyDescent="0.4">
      <c r="A91" s="467"/>
      <c r="B91" s="252" t="s">
        <v>633</v>
      </c>
      <c r="C91" s="470"/>
      <c r="D91" s="470"/>
    </row>
    <row r="92" spans="1:4" x14ac:dyDescent="0.4">
      <c r="A92" s="467"/>
      <c r="B92" s="252" t="s">
        <v>634</v>
      </c>
      <c r="C92" s="470"/>
      <c r="D92" s="470"/>
    </row>
    <row r="93" spans="1:4" x14ac:dyDescent="0.4">
      <c r="A93" s="467"/>
      <c r="B93" s="252" t="s">
        <v>635</v>
      </c>
      <c r="C93" s="470"/>
      <c r="D93" s="470"/>
    </row>
    <row r="94" spans="1:4" x14ac:dyDescent="0.4">
      <c r="A94" s="468"/>
      <c r="B94" s="252" t="s">
        <v>636</v>
      </c>
      <c r="C94" s="471"/>
      <c r="D94" s="471"/>
    </row>
    <row r="95" spans="1:4" ht="27.6" x14ac:dyDescent="0.4">
      <c r="A95" s="216">
        <v>2</v>
      </c>
      <c r="B95" s="212" t="s">
        <v>637</v>
      </c>
      <c r="C95" s="240" t="s">
        <v>4</v>
      </c>
      <c r="D95" s="39">
        <v>6</v>
      </c>
    </row>
    <row r="96" spans="1:4" x14ac:dyDescent="0.4">
      <c r="A96" s="132">
        <v>3</v>
      </c>
      <c r="B96" s="212" t="s">
        <v>638</v>
      </c>
      <c r="C96" s="240" t="s">
        <v>4</v>
      </c>
      <c r="D96" s="241">
        <v>2</v>
      </c>
    </row>
    <row r="97" spans="1:4" x14ac:dyDescent="0.4">
      <c r="A97" s="132">
        <v>4</v>
      </c>
      <c r="B97" s="212" t="s">
        <v>639</v>
      </c>
      <c r="C97" s="240" t="s">
        <v>4</v>
      </c>
      <c r="D97" s="241">
        <v>2</v>
      </c>
    </row>
    <row r="98" spans="1:4" x14ac:dyDescent="0.4">
      <c r="A98" s="132">
        <v>5</v>
      </c>
      <c r="B98" s="212" t="s">
        <v>640</v>
      </c>
      <c r="C98" s="240" t="s">
        <v>4</v>
      </c>
      <c r="D98" s="241">
        <v>1</v>
      </c>
    </row>
    <row r="99" spans="1:4" x14ac:dyDescent="0.45">
      <c r="A99" s="132">
        <v>6</v>
      </c>
      <c r="B99" s="213" t="s">
        <v>641</v>
      </c>
      <c r="C99" s="159" t="s">
        <v>4</v>
      </c>
      <c r="D99" s="159">
        <v>4</v>
      </c>
    </row>
    <row r="100" spans="1:4" x14ac:dyDescent="0.45">
      <c r="A100" s="132">
        <v>7</v>
      </c>
      <c r="B100" s="213" t="s">
        <v>642</v>
      </c>
      <c r="C100" s="159" t="s">
        <v>4</v>
      </c>
      <c r="D100" s="159">
        <v>2</v>
      </c>
    </row>
    <row r="101" spans="1:4" x14ac:dyDescent="0.4">
      <c r="A101" s="132">
        <v>8</v>
      </c>
      <c r="B101" s="245" t="s">
        <v>643</v>
      </c>
      <c r="C101" s="240" t="s">
        <v>4</v>
      </c>
      <c r="D101" s="241">
        <v>2</v>
      </c>
    </row>
    <row r="102" spans="1:4" x14ac:dyDescent="0.4">
      <c r="A102" s="132">
        <v>9</v>
      </c>
      <c r="B102" s="213" t="s">
        <v>644</v>
      </c>
      <c r="C102" s="240" t="s">
        <v>4</v>
      </c>
      <c r="D102" s="242">
        <v>2</v>
      </c>
    </row>
    <row r="103" spans="1:4" x14ac:dyDescent="0.4">
      <c r="A103" s="132">
        <v>10</v>
      </c>
      <c r="B103" s="213" t="s">
        <v>645</v>
      </c>
      <c r="C103" s="240" t="s">
        <v>4</v>
      </c>
      <c r="D103" s="242">
        <v>1</v>
      </c>
    </row>
    <row r="104" spans="1:4" x14ac:dyDescent="0.4">
      <c r="A104" s="132">
        <v>11</v>
      </c>
      <c r="B104" s="213" t="s">
        <v>646</v>
      </c>
      <c r="C104" s="240" t="s">
        <v>4</v>
      </c>
      <c r="D104" s="242">
        <v>1</v>
      </c>
    </row>
    <row r="105" spans="1:4" x14ac:dyDescent="0.4">
      <c r="A105" s="132">
        <v>12</v>
      </c>
      <c r="B105" s="212" t="s">
        <v>647</v>
      </c>
      <c r="C105" s="243" t="s">
        <v>1</v>
      </c>
      <c r="D105" s="39">
        <v>17</v>
      </c>
    </row>
    <row r="106" spans="1:4" x14ac:dyDescent="0.4">
      <c r="A106" s="132">
        <v>13</v>
      </c>
      <c r="B106" s="212" t="s">
        <v>648</v>
      </c>
      <c r="C106" s="243" t="s">
        <v>1</v>
      </c>
      <c r="D106" s="39">
        <v>98</v>
      </c>
    </row>
    <row r="107" spans="1:4" x14ac:dyDescent="0.4">
      <c r="A107" s="132">
        <v>14</v>
      </c>
      <c r="B107" s="212" t="s">
        <v>649</v>
      </c>
      <c r="C107" s="243" t="s">
        <v>1</v>
      </c>
      <c r="D107" s="39">
        <v>5</v>
      </c>
    </row>
    <row r="108" spans="1:4" x14ac:dyDescent="0.4">
      <c r="A108" s="132">
        <v>15</v>
      </c>
      <c r="B108" s="212" t="s">
        <v>650</v>
      </c>
      <c r="C108" s="243" t="s">
        <v>1</v>
      </c>
      <c r="D108" s="39">
        <v>29</v>
      </c>
    </row>
    <row r="109" spans="1:4" x14ac:dyDescent="0.4">
      <c r="A109" s="132">
        <v>16</v>
      </c>
      <c r="B109" s="212" t="s">
        <v>651</v>
      </c>
      <c r="C109" s="243" t="s">
        <v>5</v>
      </c>
      <c r="D109" s="39">
        <v>10</v>
      </c>
    </row>
    <row r="110" spans="1:4" x14ac:dyDescent="0.4">
      <c r="A110" s="132">
        <v>17</v>
      </c>
      <c r="B110" s="212" t="s">
        <v>652</v>
      </c>
      <c r="C110" s="243" t="s">
        <v>5</v>
      </c>
      <c r="D110" s="39">
        <v>3</v>
      </c>
    </row>
    <row r="111" spans="1:4" x14ac:dyDescent="0.4">
      <c r="A111" s="132">
        <v>18</v>
      </c>
      <c r="B111" s="212" t="s">
        <v>653</v>
      </c>
      <c r="C111" s="243" t="s">
        <v>5</v>
      </c>
      <c r="D111" s="39">
        <v>4</v>
      </c>
    </row>
    <row r="112" spans="1:4" x14ac:dyDescent="0.4">
      <c r="A112" s="132">
        <v>19</v>
      </c>
      <c r="B112" s="212" t="s">
        <v>654</v>
      </c>
      <c r="C112" s="243" t="s">
        <v>4</v>
      </c>
      <c r="D112" s="32">
        <v>4</v>
      </c>
    </row>
    <row r="113" spans="1:4" x14ac:dyDescent="0.4">
      <c r="A113" s="132">
        <v>20</v>
      </c>
      <c r="B113" s="212" t="s">
        <v>655</v>
      </c>
      <c r="C113" s="243" t="s">
        <v>4</v>
      </c>
      <c r="D113" s="32">
        <v>3</v>
      </c>
    </row>
    <row r="114" spans="1:4" x14ac:dyDescent="0.4">
      <c r="A114" s="132">
        <v>21</v>
      </c>
      <c r="B114" s="36" t="s">
        <v>620</v>
      </c>
      <c r="C114" s="243" t="s">
        <v>1</v>
      </c>
      <c r="D114" s="32">
        <v>149</v>
      </c>
    </row>
    <row r="115" spans="1:4" x14ac:dyDescent="0.4">
      <c r="A115" s="132">
        <v>22</v>
      </c>
      <c r="B115" s="36" t="s">
        <v>656</v>
      </c>
      <c r="C115" s="243" t="s">
        <v>622</v>
      </c>
      <c r="D115" s="32">
        <v>150</v>
      </c>
    </row>
    <row r="116" spans="1:4" x14ac:dyDescent="0.4">
      <c r="A116" s="132">
        <v>23</v>
      </c>
      <c r="B116" s="36" t="s">
        <v>657</v>
      </c>
      <c r="C116" s="243" t="s">
        <v>4</v>
      </c>
      <c r="D116" s="32">
        <v>1</v>
      </c>
    </row>
    <row r="117" spans="1:4" x14ac:dyDescent="0.4">
      <c r="A117" s="132">
        <v>24</v>
      </c>
      <c r="B117" s="36" t="s">
        <v>625</v>
      </c>
      <c r="C117" s="243" t="s">
        <v>4</v>
      </c>
      <c r="D117" s="32">
        <v>16</v>
      </c>
    </row>
    <row r="118" spans="1:4" x14ac:dyDescent="0.4">
      <c r="A118" s="132">
        <v>25</v>
      </c>
      <c r="B118" s="36" t="s">
        <v>626</v>
      </c>
      <c r="C118" s="243" t="s">
        <v>4</v>
      </c>
      <c r="D118" s="32">
        <v>2</v>
      </c>
    </row>
    <row r="119" spans="1:4" x14ac:dyDescent="0.4">
      <c r="A119" s="132">
        <v>26</v>
      </c>
      <c r="B119" s="36" t="s">
        <v>658</v>
      </c>
      <c r="C119" s="243" t="s">
        <v>4</v>
      </c>
      <c r="D119" s="32">
        <v>1</v>
      </c>
    </row>
    <row r="120" spans="1:4" x14ac:dyDescent="0.4">
      <c r="A120" s="132">
        <v>27</v>
      </c>
      <c r="B120" s="36" t="s">
        <v>659</v>
      </c>
      <c r="C120" s="243" t="s">
        <v>4</v>
      </c>
      <c r="D120" s="32">
        <v>1</v>
      </c>
    </row>
    <row r="121" spans="1:4" x14ac:dyDescent="0.4">
      <c r="A121" s="132">
        <v>28</v>
      </c>
      <c r="B121" s="36" t="s">
        <v>660</v>
      </c>
      <c r="C121" s="243" t="s">
        <v>4</v>
      </c>
      <c r="D121" s="32">
        <v>1</v>
      </c>
    </row>
    <row r="122" spans="1:4" x14ac:dyDescent="0.4">
      <c r="A122" s="205"/>
      <c r="B122" s="246"/>
      <c r="C122" s="28"/>
      <c r="D122" s="32"/>
    </row>
    <row r="123" spans="1:4" ht="25" customHeight="1" x14ac:dyDescent="0.4">
      <c r="A123" s="137"/>
      <c r="B123" s="40" t="s">
        <v>494</v>
      </c>
      <c r="C123" s="218"/>
      <c r="D123" s="219"/>
    </row>
    <row r="124" spans="1:4" x14ac:dyDescent="0.4">
      <c r="A124" s="132">
        <v>1</v>
      </c>
      <c r="B124" s="36" t="s">
        <v>661</v>
      </c>
      <c r="C124" s="243" t="s">
        <v>4</v>
      </c>
      <c r="D124" s="32">
        <v>1</v>
      </c>
    </row>
    <row r="125" spans="1:4" x14ac:dyDescent="0.4">
      <c r="A125" s="132">
        <v>2</v>
      </c>
      <c r="B125" s="36" t="s">
        <v>662</v>
      </c>
      <c r="C125" s="243" t="s">
        <v>4</v>
      </c>
      <c r="D125" s="32">
        <v>1</v>
      </c>
    </row>
    <row r="126" spans="1:4" x14ac:dyDescent="0.4">
      <c r="A126" s="132">
        <v>3</v>
      </c>
      <c r="B126" s="36" t="s">
        <v>639</v>
      </c>
      <c r="C126" s="243" t="s">
        <v>4</v>
      </c>
      <c r="D126" s="32">
        <v>2</v>
      </c>
    </row>
    <row r="127" spans="1:4" x14ac:dyDescent="0.4">
      <c r="A127" s="132">
        <v>4</v>
      </c>
      <c r="B127" s="36" t="s">
        <v>663</v>
      </c>
      <c r="C127" s="243" t="s">
        <v>4</v>
      </c>
      <c r="D127" s="32">
        <v>1</v>
      </c>
    </row>
    <row r="128" spans="1:4" x14ac:dyDescent="0.4">
      <c r="A128" s="132">
        <v>5</v>
      </c>
      <c r="B128" s="36" t="s">
        <v>664</v>
      </c>
      <c r="C128" s="243" t="s">
        <v>4</v>
      </c>
      <c r="D128" s="32">
        <v>4</v>
      </c>
    </row>
    <row r="129" spans="1:4" x14ac:dyDescent="0.4">
      <c r="A129" s="132">
        <v>6</v>
      </c>
      <c r="B129" s="36" t="s">
        <v>665</v>
      </c>
      <c r="C129" s="243" t="s">
        <v>4</v>
      </c>
      <c r="D129" s="32">
        <v>1</v>
      </c>
    </row>
    <row r="130" spans="1:4" x14ac:dyDescent="0.4">
      <c r="A130" s="132">
        <v>7</v>
      </c>
      <c r="B130" s="36" t="s">
        <v>666</v>
      </c>
      <c r="C130" s="243" t="s">
        <v>4</v>
      </c>
      <c r="D130" s="32">
        <v>1</v>
      </c>
    </row>
    <row r="131" spans="1:4" x14ac:dyDescent="0.4">
      <c r="A131" s="132">
        <v>8</v>
      </c>
      <c r="B131" s="213" t="s">
        <v>644</v>
      </c>
      <c r="C131" s="243" t="s">
        <v>4</v>
      </c>
      <c r="D131" s="32">
        <v>2</v>
      </c>
    </row>
    <row r="132" spans="1:4" x14ac:dyDescent="0.4">
      <c r="A132" s="132">
        <v>9</v>
      </c>
      <c r="B132" s="212" t="s">
        <v>667</v>
      </c>
      <c r="C132" s="243" t="s">
        <v>4</v>
      </c>
      <c r="D132" s="32">
        <v>2</v>
      </c>
    </row>
    <row r="133" spans="1:4" x14ac:dyDescent="0.4">
      <c r="A133" s="132">
        <v>10</v>
      </c>
      <c r="B133" s="212" t="s">
        <v>668</v>
      </c>
      <c r="C133" s="243" t="s">
        <v>4</v>
      </c>
      <c r="D133" s="32">
        <v>2</v>
      </c>
    </row>
    <row r="134" spans="1:4" x14ac:dyDescent="0.4">
      <c r="A134" s="132">
        <v>11</v>
      </c>
      <c r="B134" s="212" t="s">
        <v>669</v>
      </c>
      <c r="C134" s="243" t="s">
        <v>4</v>
      </c>
      <c r="D134" s="32">
        <v>7</v>
      </c>
    </row>
    <row r="135" spans="1:4" x14ac:dyDescent="0.4">
      <c r="A135" s="132">
        <v>12</v>
      </c>
      <c r="B135" s="212" t="s">
        <v>670</v>
      </c>
      <c r="C135" s="243" t="s">
        <v>4</v>
      </c>
      <c r="D135" s="32">
        <v>4</v>
      </c>
    </row>
    <row r="136" spans="1:4" ht="27.6" x14ac:dyDescent="0.4">
      <c r="A136" s="132">
        <v>13</v>
      </c>
      <c r="B136" s="212" t="s">
        <v>671</v>
      </c>
      <c r="C136" s="243" t="s">
        <v>4</v>
      </c>
      <c r="D136" s="32">
        <v>2</v>
      </c>
    </row>
    <row r="137" spans="1:4" ht="27.6" x14ac:dyDescent="0.4">
      <c r="A137" s="132">
        <v>14</v>
      </c>
      <c r="B137" s="212" t="s">
        <v>584</v>
      </c>
      <c r="C137" s="243" t="s">
        <v>4</v>
      </c>
      <c r="D137" s="32">
        <v>1</v>
      </c>
    </row>
    <row r="138" spans="1:4" x14ac:dyDescent="0.4">
      <c r="A138" s="132">
        <v>15</v>
      </c>
      <c r="B138" s="213" t="s">
        <v>672</v>
      </c>
      <c r="C138" s="240" t="s">
        <v>4</v>
      </c>
      <c r="D138" s="241">
        <v>1</v>
      </c>
    </row>
    <row r="139" spans="1:4" x14ac:dyDescent="0.4">
      <c r="A139" s="132">
        <v>16</v>
      </c>
      <c r="B139" s="213" t="s">
        <v>673</v>
      </c>
      <c r="C139" s="240" t="s">
        <v>4</v>
      </c>
      <c r="D139" s="241">
        <v>1</v>
      </c>
    </row>
    <row r="140" spans="1:4" x14ac:dyDescent="0.4">
      <c r="A140" s="132">
        <v>17</v>
      </c>
      <c r="B140" s="212" t="s">
        <v>647</v>
      </c>
      <c r="C140" s="240" t="s">
        <v>4</v>
      </c>
      <c r="D140" s="242">
        <v>15</v>
      </c>
    </row>
    <row r="141" spans="1:4" x14ac:dyDescent="0.4">
      <c r="A141" s="132">
        <v>18</v>
      </c>
      <c r="B141" s="212" t="s">
        <v>648</v>
      </c>
      <c r="C141" s="243" t="s">
        <v>1</v>
      </c>
      <c r="D141" s="39">
        <v>43</v>
      </c>
    </row>
    <row r="142" spans="1:4" x14ac:dyDescent="0.4">
      <c r="A142" s="132">
        <v>19</v>
      </c>
      <c r="B142" s="212" t="s">
        <v>649</v>
      </c>
      <c r="C142" s="243" t="s">
        <v>1</v>
      </c>
      <c r="D142" s="32">
        <v>7</v>
      </c>
    </row>
    <row r="143" spans="1:4" x14ac:dyDescent="0.4">
      <c r="A143" s="132">
        <v>20</v>
      </c>
      <c r="B143" s="212" t="s">
        <v>650</v>
      </c>
      <c r="C143" s="243" t="s">
        <v>1</v>
      </c>
      <c r="D143" s="32">
        <v>19</v>
      </c>
    </row>
    <row r="144" spans="1:4" x14ac:dyDescent="0.4">
      <c r="A144" s="132">
        <v>21</v>
      </c>
      <c r="B144" s="212" t="s">
        <v>674</v>
      </c>
      <c r="C144" s="240" t="s">
        <v>4</v>
      </c>
      <c r="D144" s="241">
        <v>5</v>
      </c>
    </row>
    <row r="145" spans="1:4" x14ac:dyDescent="0.4">
      <c r="A145" s="132">
        <v>22</v>
      </c>
      <c r="B145" s="212" t="s">
        <v>675</v>
      </c>
      <c r="C145" s="240" t="s">
        <v>4</v>
      </c>
      <c r="D145" s="241">
        <v>2</v>
      </c>
    </row>
    <row r="146" spans="1:4" x14ac:dyDescent="0.4">
      <c r="A146" s="132">
        <v>23</v>
      </c>
      <c r="B146" s="212" t="s">
        <v>676</v>
      </c>
      <c r="C146" s="240" t="s">
        <v>4</v>
      </c>
      <c r="D146" s="241">
        <v>1</v>
      </c>
    </row>
    <row r="147" spans="1:4" x14ac:dyDescent="0.4">
      <c r="A147" s="132">
        <v>24</v>
      </c>
      <c r="B147" s="212" t="s">
        <v>651</v>
      </c>
      <c r="C147" s="243" t="s">
        <v>5</v>
      </c>
      <c r="D147" s="39">
        <v>10</v>
      </c>
    </row>
    <row r="148" spans="1:4" x14ac:dyDescent="0.4">
      <c r="A148" s="132">
        <v>25</v>
      </c>
      <c r="B148" s="212" t="s">
        <v>652</v>
      </c>
      <c r="C148" s="243" t="s">
        <v>5</v>
      </c>
      <c r="D148" s="39">
        <v>3</v>
      </c>
    </row>
    <row r="149" spans="1:4" x14ac:dyDescent="0.4">
      <c r="A149" s="132">
        <v>26</v>
      </c>
      <c r="B149" s="212" t="s">
        <v>653</v>
      </c>
      <c r="C149" s="243" t="s">
        <v>5</v>
      </c>
      <c r="D149" s="39">
        <v>4</v>
      </c>
    </row>
    <row r="150" spans="1:4" x14ac:dyDescent="0.4">
      <c r="A150" s="132">
        <v>27</v>
      </c>
      <c r="B150" s="212" t="s">
        <v>654</v>
      </c>
      <c r="C150" s="243" t="s">
        <v>4</v>
      </c>
      <c r="D150" s="32">
        <v>4</v>
      </c>
    </row>
    <row r="151" spans="1:4" x14ac:dyDescent="0.4">
      <c r="A151" s="132">
        <v>28</v>
      </c>
      <c r="B151" s="212" t="s">
        <v>655</v>
      </c>
      <c r="C151" s="243" t="s">
        <v>4</v>
      </c>
      <c r="D151" s="32">
        <v>3</v>
      </c>
    </row>
    <row r="152" spans="1:4" x14ac:dyDescent="0.4">
      <c r="A152" s="132">
        <v>29</v>
      </c>
      <c r="B152" s="36" t="s">
        <v>620</v>
      </c>
      <c r="C152" s="243" t="s">
        <v>1</v>
      </c>
      <c r="D152" s="32">
        <v>84</v>
      </c>
    </row>
    <row r="153" spans="1:4" x14ac:dyDescent="0.4">
      <c r="A153" s="132">
        <v>30</v>
      </c>
      <c r="B153" s="36" t="s">
        <v>625</v>
      </c>
      <c r="C153" s="243" t="s">
        <v>4</v>
      </c>
      <c r="D153" s="32">
        <v>3</v>
      </c>
    </row>
    <row r="154" spans="1:4" x14ac:dyDescent="0.4">
      <c r="A154" s="132">
        <v>31</v>
      </c>
      <c r="B154" s="36" t="s">
        <v>657</v>
      </c>
      <c r="C154" s="243" t="s">
        <v>4</v>
      </c>
      <c r="D154" s="32">
        <v>1</v>
      </c>
    </row>
    <row r="155" spans="1:4" x14ac:dyDescent="0.4">
      <c r="A155" s="132">
        <v>32</v>
      </c>
      <c r="B155" s="36" t="s">
        <v>626</v>
      </c>
      <c r="C155" s="243" t="s">
        <v>4</v>
      </c>
      <c r="D155" s="32">
        <v>2</v>
      </c>
    </row>
    <row r="156" spans="1:4" x14ac:dyDescent="0.4">
      <c r="A156" s="132">
        <v>33</v>
      </c>
      <c r="B156" s="36" t="s">
        <v>658</v>
      </c>
      <c r="C156" s="243" t="s">
        <v>4</v>
      </c>
      <c r="D156" s="32">
        <v>2</v>
      </c>
    </row>
    <row r="157" spans="1:4" x14ac:dyDescent="0.4">
      <c r="A157" s="132">
        <v>34</v>
      </c>
      <c r="B157" s="36" t="s">
        <v>659</v>
      </c>
      <c r="C157" s="243" t="s">
        <v>4</v>
      </c>
      <c r="D157" s="32">
        <v>2</v>
      </c>
    </row>
    <row r="158" spans="1:4" x14ac:dyDescent="0.4">
      <c r="A158" s="132">
        <v>35</v>
      </c>
      <c r="B158" s="36" t="s">
        <v>656</v>
      </c>
      <c r="C158" s="243" t="s">
        <v>622</v>
      </c>
      <c r="D158" s="32">
        <v>150</v>
      </c>
    </row>
    <row r="159" spans="1:4" x14ac:dyDescent="0.4">
      <c r="A159" s="132">
        <v>36</v>
      </c>
      <c r="B159" s="36" t="s">
        <v>629</v>
      </c>
      <c r="C159" s="243" t="s">
        <v>4</v>
      </c>
      <c r="D159" s="32">
        <v>2</v>
      </c>
    </row>
    <row r="160" spans="1:4" x14ac:dyDescent="0.4">
      <c r="A160" s="216"/>
      <c r="B160" s="36"/>
      <c r="C160" s="243"/>
      <c r="D160" s="32"/>
    </row>
    <row r="161" spans="1:4" ht="25" customHeight="1" x14ac:dyDescent="0.4">
      <c r="A161" s="216"/>
      <c r="B161" s="127" t="s">
        <v>677</v>
      </c>
      <c r="C161" s="243"/>
      <c r="D161" s="32"/>
    </row>
    <row r="162" spans="1:4" x14ac:dyDescent="0.4">
      <c r="A162" s="466">
        <v>1</v>
      </c>
      <c r="B162" s="252" t="s">
        <v>631</v>
      </c>
      <c r="C162" s="469" t="s">
        <v>4</v>
      </c>
      <c r="D162" s="469">
        <v>1</v>
      </c>
    </row>
    <row r="163" spans="1:4" x14ac:dyDescent="0.4">
      <c r="A163" s="467"/>
      <c r="B163" s="252" t="s">
        <v>632</v>
      </c>
      <c r="C163" s="470"/>
      <c r="D163" s="470"/>
    </row>
    <row r="164" spans="1:4" x14ac:dyDescent="0.4">
      <c r="A164" s="467"/>
      <c r="B164" s="252" t="s">
        <v>633</v>
      </c>
      <c r="C164" s="470"/>
      <c r="D164" s="470"/>
    </row>
    <row r="165" spans="1:4" x14ac:dyDescent="0.4">
      <c r="A165" s="467"/>
      <c r="B165" s="252" t="s">
        <v>634</v>
      </c>
      <c r="C165" s="470"/>
      <c r="D165" s="470"/>
    </row>
    <row r="166" spans="1:4" x14ac:dyDescent="0.4">
      <c r="A166" s="467"/>
      <c r="B166" s="252" t="s">
        <v>635</v>
      </c>
      <c r="C166" s="470"/>
      <c r="D166" s="470"/>
    </row>
    <row r="167" spans="1:4" x14ac:dyDescent="0.4">
      <c r="A167" s="468"/>
      <c r="B167" s="252" t="s">
        <v>636</v>
      </c>
      <c r="C167" s="471"/>
      <c r="D167" s="471"/>
    </row>
    <row r="168" spans="1:4" ht="27.6" x14ac:dyDescent="0.4">
      <c r="A168" s="216">
        <v>2</v>
      </c>
      <c r="B168" s="212" t="s">
        <v>637</v>
      </c>
      <c r="C168" s="240" t="s">
        <v>4</v>
      </c>
      <c r="D168" s="39">
        <v>12</v>
      </c>
    </row>
    <row r="169" spans="1:4" x14ac:dyDescent="0.4">
      <c r="A169" s="132">
        <v>3</v>
      </c>
      <c r="B169" s="212" t="s">
        <v>638</v>
      </c>
      <c r="C169" s="240" t="s">
        <v>4</v>
      </c>
      <c r="D169" s="241">
        <v>1</v>
      </c>
    </row>
    <row r="170" spans="1:4" x14ac:dyDescent="0.4">
      <c r="A170" s="132">
        <v>4</v>
      </c>
      <c r="B170" s="212" t="s">
        <v>639</v>
      </c>
      <c r="C170" s="240" t="s">
        <v>4</v>
      </c>
      <c r="D170" s="241">
        <v>2</v>
      </c>
    </row>
    <row r="171" spans="1:4" x14ac:dyDescent="0.45">
      <c r="A171" s="132">
        <v>5</v>
      </c>
      <c r="B171" s="213" t="s">
        <v>641</v>
      </c>
      <c r="C171" s="159" t="s">
        <v>4</v>
      </c>
      <c r="D171" s="159">
        <v>4</v>
      </c>
    </row>
    <row r="172" spans="1:4" x14ac:dyDescent="0.4">
      <c r="A172" s="132">
        <v>6</v>
      </c>
      <c r="B172" s="213" t="s">
        <v>644</v>
      </c>
      <c r="C172" s="240" t="s">
        <v>4</v>
      </c>
      <c r="D172" s="242">
        <v>2</v>
      </c>
    </row>
    <row r="173" spans="1:4" x14ac:dyDescent="0.4">
      <c r="A173" s="132">
        <v>7</v>
      </c>
      <c r="B173" s="213" t="s">
        <v>678</v>
      </c>
      <c r="C173" s="240" t="s">
        <v>4</v>
      </c>
      <c r="D173" s="242">
        <v>1</v>
      </c>
    </row>
    <row r="174" spans="1:4" x14ac:dyDescent="0.4">
      <c r="A174" s="132">
        <v>8</v>
      </c>
      <c r="B174" s="212" t="s">
        <v>647</v>
      </c>
      <c r="C174" s="243" t="s">
        <v>1</v>
      </c>
      <c r="D174" s="39">
        <v>24</v>
      </c>
    </row>
    <row r="175" spans="1:4" x14ac:dyDescent="0.4">
      <c r="A175" s="132">
        <v>9</v>
      </c>
      <c r="B175" s="212" t="s">
        <v>648</v>
      </c>
      <c r="C175" s="243" t="s">
        <v>1</v>
      </c>
      <c r="D175" s="39">
        <v>70</v>
      </c>
    </row>
    <row r="176" spans="1:4" x14ac:dyDescent="0.4">
      <c r="A176" s="132">
        <v>10</v>
      </c>
      <c r="B176" s="212" t="s">
        <v>649</v>
      </c>
      <c r="C176" s="243" t="s">
        <v>1</v>
      </c>
      <c r="D176" s="39">
        <v>5</v>
      </c>
    </row>
    <row r="177" spans="1:4" x14ac:dyDescent="0.4">
      <c r="A177" s="132">
        <v>11</v>
      </c>
      <c r="B177" s="212" t="s">
        <v>650</v>
      </c>
      <c r="C177" s="243" t="s">
        <v>1</v>
      </c>
      <c r="D177" s="39">
        <v>24</v>
      </c>
    </row>
    <row r="178" spans="1:4" x14ac:dyDescent="0.4">
      <c r="A178" s="132">
        <v>12</v>
      </c>
      <c r="B178" s="36" t="s">
        <v>620</v>
      </c>
      <c r="C178" s="243" t="s">
        <v>1</v>
      </c>
      <c r="D178" s="32">
        <v>123</v>
      </c>
    </row>
    <row r="179" spans="1:4" x14ac:dyDescent="0.4">
      <c r="A179" s="132">
        <v>13</v>
      </c>
      <c r="B179" s="36" t="s">
        <v>656</v>
      </c>
      <c r="C179" s="243" t="s">
        <v>622</v>
      </c>
      <c r="D179" s="32">
        <v>120</v>
      </c>
    </row>
    <row r="180" spans="1:4" x14ac:dyDescent="0.4">
      <c r="A180" s="132">
        <v>14</v>
      </c>
      <c r="B180" s="36" t="s">
        <v>657</v>
      </c>
      <c r="C180" s="243" t="s">
        <v>4</v>
      </c>
      <c r="D180" s="32">
        <v>1</v>
      </c>
    </row>
    <row r="181" spans="1:4" x14ac:dyDescent="0.4">
      <c r="A181" s="132">
        <v>15</v>
      </c>
      <c r="B181" s="36" t="s">
        <v>625</v>
      </c>
      <c r="C181" s="243" t="s">
        <v>4</v>
      </c>
      <c r="D181" s="32">
        <v>12</v>
      </c>
    </row>
    <row r="182" spans="1:4" x14ac:dyDescent="0.4">
      <c r="A182" s="132">
        <v>16</v>
      </c>
      <c r="B182" s="36" t="s">
        <v>626</v>
      </c>
      <c r="C182" s="243" t="s">
        <v>4</v>
      </c>
      <c r="D182" s="32">
        <v>2</v>
      </c>
    </row>
    <row r="183" spans="1:4" x14ac:dyDescent="0.4">
      <c r="A183" s="132">
        <v>17</v>
      </c>
      <c r="B183" s="36" t="s">
        <v>658</v>
      </c>
      <c r="C183" s="243" t="s">
        <v>4</v>
      </c>
      <c r="D183" s="32">
        <v>1</v>
      </c>
    </row>
    <row r="184" spans="1:4" x14ac:dyDescent="0.4">
      <c r="A184" s="132">
        <v>18</v>
      </c>
      <c r="B184" s="36" t="s">
        <v>659</v>
      </c>
      <c r="C184" s="243" t="s">
        <v>4</v>
      </c>
      <c r="D184" s="32">
        <v>1</v>
      </c>
    </row>
    <row r="185" spans="1:4" x14ac:dyDescent="0.4">
      <c r="A185" s="132">
        <v>19</v>
      </c>
      <c r="B185" s="36" t="s">
        <v>660</v>
      </c>
      <c r="C185" s="243" t="s">
        <v>4</v>
      </c>
      <c r="D185" s="32">
        <v>1</v>
      </c>
    </row>
    <row r="186" spans="1:4" x14ac:dyDescent="0.4">
      <c r="A186" s="205"/>
      <c r="B186" s="246"/>
      <c r="C186" s="28"/>
      <c r="D186" s="32"/>
    </row>
    <row r="187" spans="1:4" ht="25" customHeight="1" x14ac:dyDescent="0.4">
      <c r="A187" s="216"/>
      <c r="B187" s="127" t="s">
        <v>679</v>
      </c>
      <c r="C187" s="243"/>
      <c r="D187" s="32"/>
    </row>
    <row r="188" spans="1:4" x14ac:dyDescent="0.4">
      <c r="A188" s="466">
        <v>1</v>
      </c>
      <c r="B188" s="252" t="s">
        <v>631</v>
      </c>
      <c r="C188" s="469" t="s">
        <v>4</v>
      </c>
      <c r="D188" s="469">
        <v>1</v>
      </c>
    </row>
    <row r="189" spans="1:4" x14ac:dyDescent="0.4">
      <c r="A189" s="467"/>
      <c r="B189" s="252" t="s">
        <v>632</v>
      </c>
      <c r="C189" s="470"/>
      <c r="D189" s="470"/>
    </row>
    <row r="190" spans="1:4" x14ac:dyDescent="0.4">
      <c r="A190" s="467"/>
      <c r="B190" s="252" t="s">
        <v>633</v>
      </c>
      <c r="C190" s="470"/>
      <c r="D190" s="470"/>
    </row>
    <row r="191" spans="1:4" x14ac:dyDescent="0.4">
      <c r="A191" s="467"/>
      <c r="B191" s="252" t="s">
        <v>634</v>
      </c>
      <c r="C191" s="470"/>
      <c r="D191" s="470"/>
    </row>
    <row r="192" spans="1:4" x14ac:dyDescent="0.4">
      <c r="A192" s="467"/>
      <c r="B192" s="252" t="s">
        <v>635</v>
      </c>
      <c r="C192" s="470"/>
      <c r="D192" s="470"/>
    </row>
    <row r="193" spans="1:4" x14ac:dyDescent="0.4">
      <c r="A193" s="468"/>
      <c r="B193" s="252" t="s">
        <v>636</v>
      </c>
      <c r="C193" s="471"/>
      <c r="D193" s="471"/>
    </row>
    <row r="194" spans="1:4" ht="27.6" x14ac:dyDescent="0.4">
      <c r="A194" s="216">
        <v>2</v>
      </c>
      <c r="B194" s="212" t="s">
        <v>637</v>
      </c>
      <c r="C194" s="240" t="s">
        <v>4</v>
      </c>
      <c r="D194" s="39">
        <v>12</v>
      </c>
    </row>
    <row r="195" spans="1:4" x14ac:dyDescent="0.4">
      <c r="A195" s="132">
        <v>3</v>
      </c>
      <c r="B195" s="212" t="s">
        <v>638</v>
      </c>
      <c r="C195" s="240" t="s">
        <v>4</v>
      </c>
      <c r="D195" s="241">
        <v>1</v>
      </c>
    </row>
    <row r="196" spans="1:4" x14ac:dyDescent="0.4">
      <c r="A196" s="132">
        <v>4</v>
      </c>
      <c r="B196" s="212" t="s">
        <v>639</v>
      </c>
      <c r="C196" s="240" t="s">
        <v>4</v>
      </c>
      <c r="D196" s="241">
        <v>2</v>
      </c>
    </row>
    <row r="197" spans="1:4" x14ac:dyDescent="0.45">
      <c r="A197" s="132">
        <v>5</v>
      </c>
      <c r="B197" s="213" t="s">
        <v>641</v>
      </c>
      <c r="C197" s="159" t="s">
        <v>4</v>
      </c>
      <c r="D197" s="159">
        <v>4</v>
      </c>
    </row>
    <row r="198" spans="1:4" x14ac:dyDescent="0.4">
      <c r="A198" s="132">
        <v>6</v>
      </c>
      <c r="B198" s="213" t="s">
        <v>644</v>
      </c>
      <c r="C198" s="240" t="s">
        <v>4</v>
      </c>
      <c r="D198" s="242">
        <v>2</v>
      </c>
    </row>
    <row r="199" spans="1:4" x14ac:dyDescent="0.4">
      <c r="A199" s="132">
        <v>7</v>
      </c>
      <c r="B199" s="213" t="s">
        <v>678</v>
      </c>
      <c r="C199" s="240" t="s">
        <v>4</v>
      </c>
      <c r="D199" s="242">
        <v>1</v>
      </c>
    </row>
    <row r="200" spans="1:4" x14ac:dyDescent="0.4">
      <c r="A200" s="132">
        <v>8</v>
      </c>
      <c r="B200" s="212" t="s">
        <v>647</v>
      </c>
      <c r="C200" s="243" t="s">
        <v>1</v>
      </c>
      <c r="D200" s="39">
        <v>24</v>
      </c>
    </row>
    <row r="201" spans="1:4" x14ac:dyDescent="0.4">
      <c r="A201" s="132">
        <v>9</v>
      </c>
      <c r="B201" s="212" t="s">
        <v>648</v>
      </c>
      <c r="C201" s="243" t="s">
        <v>1</v>
      </c>
      <c r="D201" s="39">
        <v>70</v>
      </c>
    </row>
    <row r="202" spans="1:4" x14ac:dyDescent="0.4">
      <c r="A202" s="132">
        <v>10</v>
      </c>
      <c r="B202" s="212" t="s">
        <v>649</v>
      </c>
      <c r="C202" s="243" t="s">
        <v>1</v>
      </c>
      <c r="D202" s="39">
        <v>5</v>
      </c>
    </row>
    <row r="203" spans="1:4" x14ac:dyDescent="0.4">
      <c r="A203" s="132">
        <v>11</v>
      </c>
      <c r="B203" s="212" t="s">
        <v>650</v>
      </c>
      <c r="C203" s="243" t="s">
        <v>1</v>
      </c>
      <c r="D203" s="39">
        <v>24</v>
      </c>
    </row>
    <row r="204" spans="1:4" x14ac:dyDescent="0.4">
      <c r="A204" s="132">
        <v>12</v>
      </c>
      <c r="B204" s="36" t="s">
        <v>620</v>
      </c>
      <c r="C204" s="243" t="s">
        <v>1</v>
      </c>
      <c r="D204" s="32">
        <v>123</v>
      </c>
    </row>
    <row r="205" spans="1:4" x14ac:dyDescent="0.4">
      <c r="A205" s="132">
        <v>13</v>
      </c>
      <c r="B205" s="36" t="s">
        <v>656</v>
      </c>
      <c r="C205" s="243" t="s">
        <v>622</v>
      </c>
      <c r="D205" s="32">
        <v>120</v>
      </c>
    </row>
    <row r="206" spans="1:4" x14ac:dyDescent="0.4">
      <c r="A206" s="132">
        <v>14</v>
      </c>
      <c r="B206" s="36" t="s">
        <v>657</v>
      </c>
      <c r="C206" s="243" t="s">
        <v>4</v>
      </c>
      <c r="D206" s="32">
        <v>1</v>
      </c>
    </row>
    <row r="207" spans="1:4" x14ac:dyDescent="0.4">
      <c r="A207" s="132">
        <v>15</v>
      </c>
      <c r="B207" s="36" t="s">
        <v>625</v>
      </c>
      <c r="C207" s="243" t="s">
        <v>4</v>
      </c>
      <c r="D207" s="32">
        <v>12</v>
      </c>
    </row>
    <row r="208" spans="1:4" x14ac:dyDescent="0.4">
      <c r="A208" s="132">
        <v>16</v>
      </c>
      <c r="B208" s="36" t="s">
        <v>626</v>
      </c>
      <c r="C208" s="243" t="s">
        <v>4</v>
      </c>
      <c r="D208" s="32">
        <v>2</v>
      </c>
    </row>
    <row r="209" spans="1:4" x14ac:dyDescent="0.4">
      <c r="A209" s="132">
        <v>17</v>
      </c>
      <c r="B209" s="36" t="s">
        <v>658</v>
      </c>
      <c r="C209" s="243" t="s">
        <v>4</v>
      </c>
      <c r="D209" s="32">
        <v>1</v>
      </c>
    </row>
    <row r="210" spans="1:4" x14ac:dyDescent="0.4">
      <c r="A210" s="132">
        <v>18</v>
      </c>
      <c r="B210" s="36" t="s">
        <v>659</v>
      </c>
      <c r="C210" s="243" t="s">
        <v>4</v>
      </c>
      <c r="D210" s="32">
        <v>1</v>
      </c>
    </row>
    <row r="211" spans="1:4" x14ac:dyDescent="0.4">
      <c r="A211" s="132">
        <v>19</v>
      </c>
      <c r="B211" s="36" t="s">
        <v>660</v>
      </c>
      <c r="C211" s="243" t="s">
        <v>4</v>
      </c>
      <c r="D211" s="32">
        <v>1</v>
      </c>
    </row>
    <row r="212" spans="1:4" x14ac:dyDescent="0.4">
      <c r="A212" s="205"/>
      <c r="B212" s="246"/>
      <c r="C212" s="28"/>
      <c r="D212" s="32"/>
    </row>
    <row r="213" spans="1:4" ht="25" customHeight="1" x14ac:dyDescent="0.4">
      <c r="A213" s="216"/>
      <c r="B213" s="127" t="s">
        <v>680</v>
      </c>
      <c r="C213" s="243"/>
      <c r="D213" s="32"/>
    </row>
    <row r="214" spans="1:4" x14ac:dyDescent="0.4">
      <c r="A214" s="466">
        <v>1</v>
      </c>
      <c r="B214" s="252" t="s">
        <v>631</v>
      </c>
      <c r="C214" s="469" t="s">
        <v>4</v>
      </c>
      <c r="D214" s="469">
        <v>1</v>
      </c>
    </row>
    <row r="215" spans="1:4" x14ac:dyDescent="0.4">
      <c r="A215" s="467"/>
      <c r="B215" s="252" t="s">
        <v>681</v>
      </c>
      <c r="C215" s="470"/>
      <c r="D215" s="470"/>
    </row>
    <row r="216" spans="1:4" x14ac:dyDescent="0.4">
      <c r="A216" s="467"/>
      <c r="B216" s="252" t="s">
        <v>682</v>
      </c>
      <c r="C216" s="470"/>
      <c r="D216" s="470"/>
    </row>
    <row r="217" spans="1:4" x14ac:dyDescent="0.4">
      <c r="A217" s="467"/>
      <c r="B217" s="252" t="s">
        <v>683</v>
      </c>
      <c r="C217" s="470"/>
      <c r="D217" s="470"/>
    </row>
    <row r="218" spans="1:4" x14ac:dyDescent="0.4">
      <c r="A218" s="467"/>
      <c r="B218" s="252" t="s">
        <v>635</v>
      </c>
      <c r="C218" s="470"/>
      <c r="D218" s="470"/>
    </row>
    <row r="219" spans="1:4" x14ac:dyDescent="0.4">
      <c r="A219" s="468"/>
      <c r="B219" s="252" t="s">
        <v>684</v>
      </c>
      <c r="C219" s="471"/>
      <c r="D219" s="471"/>
    </row>
    <row r="220" spans="1:4" ht="27.6" x14ac:dyDescent="0.4">
      <c r="A220" s="216">
        <v>2</v>
      </c>
      <c r="B220" s="212" t="s">
        <v>637</v>
      </c>
      <c r="C220" s="240" t="s">
        <v>4</v>
      </c>
      <c r="D220" s="39">
        <v>7</v>
      </c>
    </row>
    <row r="221" spans="1:4" ht="27.6" x14ac:dyDescent="0.4">
      <c r="A221" s="216">
        <v>3</v>
      </c>
      <c r="B221" s="212" t="s">
        <v>685</v>
      </c>
      <c r="C221" s="240" t="s">
        <v>4</v>
      </c>
      <c r="D221" s="39">
        <v>1</v>
      </c>
    </row>
    <row r="222" spans="1:4" x14ac:dyDescent="0.4">
      <c r="A222" s="132">
        <v>4</v>
      </c>
      <c r="B222" s="212" t="s">
        <v>686</v>
      </c>
      <c r="C222" s="240" t="s">
        <v>4</v>
      </c>
      <c r="D222" s="241">
        <v>1</v>
      </c>
    </row>
    <row r="223" spans="1:4" x14ac:dyDescent="0.4">
      <c r="A223" s="132">
        <v>5</v>
      </c>
      <c r="B223" s="212" t="s">
        <v>639</v>
      </c>
      <c r="C223" s="240" t="s">
        <v>4</v>
      </c>
      <c r="D223" s="241">
        <v>1</v>
      </c>
    </row>
    <row r="224" spans="1:4" x14ac:dyDescent="0.45">
      <c r="A224" s="132">
        <v>6</v>
      </c>
      <c r="B224" s="213" t="s">
        <v>687</v>
      </c>
      <c r="C224" s="159" t="s">
        <v>4</v>
      </c>
      <c r="D224" s="159">
        <v>4</v>
      </c>
    </row>
    <row r="225" spans="1:4" x14ac:dyDescent="0.4">
      <c r="A225" s="132">
        <v>7</v>
      </c>
      <c r="B225" s="213" t="s">
        <v>688</v>
      </c>
      <c r="C225" s="240" t="s">
        <v>4</v>
      </c>
      <c r="D225" s="242">
        <v>2</v>
      </c>
    </row>
    <row r="226" spans="1:4" x14ac:dyDescent="0.4">
      <c r="A226" s="132">
        <v>8</v>
      </c>
      <c r="B226" s="213" t="s">
        <v>689</v>
      </c>
      <c r="C226" s="240" t="s">
        <v>4</v>
      </c>
      <c r="D226" s="242">
        <v>1</v>
      </c>
    </row>
    <row r="227" spans="1:4" x14ac:dyDescent="0.4">
      <c r="A227" s="132">
        <v>9</v>
      </c>
      <c r="B227" s="212" t="s">
        <v>647</v>
      </c>
      <c r="C227" s="243" t="s">
        <v>1</v>
      </c>
      <c r="D227" s="39">
        <v>52</v>
      </c>
    </row>
    <row r="228" spans="1:4" x14ac:dyDescent="0.4">
      <c r="A228" s="132">
        <v>10</v>
      </c>
      <c r="B228" s="212" t="s">
        <v>649</v>
      </c>
      <c r="C228" s="243" t="s">
        <v>1</v>
      </c>
      <c r="D228" s="39">
        <v>11</v>
      </c>
    </row>
    <row r="229" spans="1:4" x14ac:dyDescent="0.4">
      <c r="A229" s="132">
        <v>11</v>
      </c>
      <c r="B229" s="36" t="s">
        <v>620</v>
      </c>
      <c r="C229" s="243" t="s">
        <v>1</v>
      </c>
      <c r="D229" s="32">
        <v>63</v>
      </c>
    </row>
    <row r="230" spans="1:4" x14ac:dyDescent="0.4">
      <c r="A230" s="132">
        <v>12</v>
      </c>
      <c r="B230" s="36" t="s">
        <v>656</v>
      </c>
      <c r="C230" s="243" t="s">
        <v>622</v>
      </c>
      <c r="D230" s="32">
        <v>100</v>
      </c>
    </row>
    <row r="231" spans="1:4" x14ac:dyDescent="0.4">
      <c r="A231" s="132">
        <v>13</v>
      </c>
      <c r="B231" s="36" t="s">
        <v>657</v>
      </c>
      <c r="C231" s="243" t="s">
        <v>4</v>
      </c>
      <c r="D231" s="32">
        <v>1</v>
      </c>
    </row>
    <row r="232" spans="1:4" x14ac:dyDescent="0.4">
      <c r="A232" s="132">
        <v>14</v>
      </c>
      <c r="B232" s="36" t="s">
        <v>625</v>
      </c>
      <c r="C232" s="243" t="s">
        <v>4</v>
      </c>
      <c r="D232" s="32">
        <v>8</v>
      </c>
    </row>
    <row r="233" spans="1:4" x14ac:dyDescent="0.4">
      <c r="A233" s="132">
        <v>15</v>
      </c>
      <c r="B233" s="36" t="s">
        <v>626</v>
      </c>
      <c r="C233" s="243" t="s">
        <v>4</v>
      </c>
      <c r="D233" s="32">
        <v>2</v>
      </c>
    </row>
    <row r="234" spans="1:4" x14ac:dyDescent="0.4">
      <c r="A234" s="132">
        <v>16</v>
      </c>
      <c r="B234" s="36" t="s">
        <v>658</v>
      </c>
      <c r="C234" s="243" t="s">
        <v>4</v>
      </c>
      <c r="D234" s="32">
        <v>1</v>
      </c>
    </row>
    <row r="235" spans="1:4" x14ac:dyDescent="0.4">
      <c r="A235" s="132">
        <v>17</v>
      </c>
      <c r="B235" s="36" t="s">
        <v>659</v>
      </c>
      <c r="C235" s="243" t="s">
        <v>4</v>
      </c>
      <c r="D235" s="32">
        <v>1</v>
      </c>
    </row>
    <row r="236" spans="1:4" x14ac:dyDescent="0.4">
      <c r="A236" s="132">
        <v>18</v>
      </c>
      <c r="B236" s="36" t="s">
        <v>660</v>
      </c>
      <c r="C236" s="243" t="s">
        <v>4</v>
      </c>
      <c r="D236" s="32">
        <v>1</v>
      </c>
    </row>
    <row r="237" spans="1:4" x14ac:dyDescent="0.4">
      <c r="A237" s="205"/>
      <c r="B237" s="246"/>
      <c r="C237" s="28"/>
      <c r="D237" s="32"/>
    </row>
    <row r="238" spans="1:4" ht="25" customHeight="1" x14ac:dyDescent="0.4">
      <c r="A238" s="205"/>
      <c r="B238" s="40" t="s">
        <v>690</v>
      </c>
      <c r="C238" s="28"/>
      <c r="D238" s="32"/>
    </row>
    <row r="239" spans="1:4" x14ac:dyDescent="0.4">
      <c r="A239" s="205">
        <v>1</v>
      </c>
      <c r="B239" s="246" t="s">
        <v>691</v>
      </c>
      <c r="C239" s="28" t="s">
        <v>4</v>
      </c>
      <c r="D239" s="32">
        <v>1</v>
      </c>
    </row>
    <row r="240" spans="1:4" x14ac:dyDescent="0.4">
      <c r="A240" s="205">
        <v>2</v>
      </c>
      <c r="B240" s="246" t="s">
        <v>692</v>
      </c>
      <c r="C240" s="28" t="s">
        <v>4</v>
      </c>
      <c r="D240" s="32">
        <v>12</v>
      </c>
    </row>
    <row r="241" spans="1:4" x14ac:dyDescent="0.4">
      <c r="A241" s="205">
        <v>3</v>
      </c>
      <c r="B241" s="246" t="s">
        <v>693</v>
      </c>
      <c r="C241" s="28" t="s">
        <v>4</v>
      </c>
      <c r="D241" s="32">
        <v>1</v>
      </c>
    </row>
    <row r="242" spans="1:4" x14ac:dyDescent="0.4">
      <c r="A242" s="205">
        <v>4</v>
      </c>
      <c r="B242" s="246" t="s">
        <v>694</v>
      </c>
      <c r="C242" s="28" t="s">
        <v>4</v>
      </c>
      <c r="D242" s="32">
        <v>2</v>
      </c>
    </row>
    <row r="243" spans="1:4" x14ac:dyDescent="0.4">
      <c r="A243" s="205">
        <v>5</v>
      </c>
      <c r="B243" s="246" t="s">
        <v>695</v>
      </c>
      <c r="C243" s="28" t="s">
        <v>4</v>
      </c>
      <c r="D243" s="32">
        <v>13</v>
      </c>
    </row>
    <row r="244" spans="1:4" x14ac:dyDescent="0.4">
      <c r="A244" s="205">
        <v>6</v>
      </c>
      <c r="B244" s="246" t="s">
        <v>696</v>
      </c>
      <c r="C244" s="28" t="s">
        <v>4</v>
      </c>
      <c r="D244" s="32">
        <v>1</v>
      </c>
    </row>
    <row r="245" spans="1:4" x14ac:dyDescent="0.4">
      <c r="A245" s="205">
        <v>7</v>
      </c>
      <c r="B245" s="246" t="s">
        <v>697</v>
      </c>
      <c r="C245" s="28" t="s">
        <v>4</v>
      </c>
      <c r="D245" s="32">
        <v>5</v>
      </c>
    </row>
    <row r="246" spans="1:4" x14ac:dyDescent="0.4">
      <c r="A246" s="205">
        <v>8</v>
      </c>
      <c r="B246" s="246" t="s">
        <v>604</v>
      </c>
      <c r="C246" s="28" t="s">
        <v>4</v>
      </c>
      <c r="D246" s="32">
        <v>1</v>
      </c>
    </row>
    <row r="247" spans="1:4" x14ac:dyDescent="0.4">
      <c r="A247" s="205">
        <v>9</v>
      </c>
      <c r="B247" s="246" t="s">
        <v>698</v>
      </c>
      <c r="C247" s="28" t="s">
        <v>4</v>
      </c>
      <c r="D247" s="32">
        <v>9</v>
      </c>
    </row>
    <row r="248" spans="1:4" x14ac:dyDescent="0.4">
      <c r="A248" s="205">
        <v>10</v>
      </c>
      <c r="B248" s="246" t="s">
        <v>699</v>
      </c>
      <c r="C248" s="28" t="s">
        <v>4</v>
      </c>
      <c r="D248" s="32">
        <v>1</v>
      </c>
    </row>
    <row r="249" spans="1:4" x14ac:dyDescent="0.4">
      <c r="A249" s="205">
        <v>11</v>
      </c>
      <c r="B249" s="246" t="s">
        <v>700</v>
      </c>
      <c r="C249" s="28" t="s">
        <v>701</v>
      </c>
      <c r="D249" s="32">
        <v>18</v>
      </c>
    </row>
    <row r="250" spans="1:4" x14ac:dyDescent="0.4">
      <c r="A250" s="205">
        <v>12</v>
      </c>
      <c r="B250" s="246" t="s">
        <v>702</v>
      </c>
      <c r="C250" s="28" t="s">
        <v>701</v>
      </c>
      <c r="D250" s="32">
        <v>2</v>
      </c>
    </row>
    <row r="251" spans="1:4" x14ac:dyDescent="0.4">
      <c r="A251" s="205">
        <v>13</v>
      </c>
      <c r="B251" s="246" t="s">
        <v>703</v>
      </c>
      <c r="C251" s="28" t="s">
        <v>701</v>
      </c>
      <c r="D251" s="32">
        <v>4</v>
      </c>
    </row>
    <row r="252" spans="1:4" x14ac:dyDescent="0.4">
      <c r="A252" s="205">
        <v>14</v>
      </c>
      <c r="B252" s="246" t="s">
        <v>704</v>
      </c>
      <c r="C252" s="28" t="s">
        <v>4</v>
      </c>
      <c r="D252" s="32">
        <v>12</v>
      </c>
    </row>
    <row r="253" spans="1:4" x14ac:dyDescent="0.4">
      <c r="A253" s="205">
        <v>15</v>
      </c>
      <c r="B253" s="246" t="s">
        <v>705</v>
      </c>
      <c r="C253" s="28" t="s">
        <v>4</v>
      </c>
      <c r="D253" s="32">
        <v>4</v>
      </c>
    </row>
    <row r="254" spans="1:4" x14ac:dyDescent="0.4">
      <c r="A254" s="205">
        <v>16</v>
      </c>
      <c r="B254" s="246" t="s">
        <v>706</v>
      </c>
      <c r="C254" s="28" t="s">
        <v>4</v>
      </c>
      <c r="D254" s="32">
        <v>4</v>
      </c>
    </row>
    <row r="255" spans="1:4" x14ac:dyDescent="0.4">
      <c r="A255" s="205">
        <v>17</v>
      </c>
      <c r="B255" s="36" t="s">
        <v>626</v>
      </c>
      <c r="C255" s="243" t="s">
        <v>4</v>
      </c>
      <c r="D255" s="32">
        <v>1</v>
      </c>
    </row>
    <row r="256" spans="1:4" x14ac:dyDescent="0.4">
      <c r="A256" s="205"/>
      <c r="B256" s="36"/>
      <c r="C256" s="243"/>
      <c r="D256" s="32"/>
    </row>
    <row r="257" spans="1:4" ht="25" customHeight="1" x14ac:dyDescent="0.4">
      <c r="A257" s="205"/>
      <c r="B257" s="40" t="s">
        <v>707</v>
      </c>
      <c r="C257" s="28"/>
      <c r="D257" s="32"/>
    </row>
    <row r="258" spans="1:4" x14ac:dyDescent="0.4">
      <c r="A258" s="205">
        <v>1</v>
      </c>
      <c r="B258" s="246" t="s">
        <v>708</v>
      </c>
      <c r="C258" s="28" t="s">
        <v>4</v>
      </c>
      <c r="D258" s="32">
        <v>1</v>
      </c>
    </row>
    <row r="259" spans="1:4" x14ac:dyDescent="0.4">
      <c r="A259" s="205">
        <v>2</v>
      </c>
      <c r="B259" s="246" t="s">
        <v>709</v>
      </c>
      <c r="C259" s="28" t="s">
        <v>4</v>
      </c>
      <c r="D259" s="32">
        <v>1</v>
      </c>
    </row>
    <row r="260" spans="1:4" x14ac:dyDescent="0.4">
      <c r="A260" s="205">
        <v>3</v>
      </c>
      <c r="B260" s="246" t="s">
        <v>710</v>
      </c>
      <c r="C260" s="28" t="s">
        <v>4</v>
      </c>
      <c r="D260" s="32">
        <v>2</v>
      </c>
    </row>
    <row r="261" spans="1:4" x14ac:dyDescent="0.4">
      <c r="A261" s="205">
        <v>4</v>
      </c>
      <c r="B261" s="246" t="s">
        <v>692</v>
      </c>
      <c r="C261" s="28" t="s">
        <v>4</v>
      </c>
      <c r="D261" s="32">
        <v>15</v>
      </c>
    </row>
    <row r="262" spans="1:4" x14ac:dyDescent="0.4">
      <c r="A262" s="205">
        <v>5</v>
      </c>
      <c r="B262" s="246" t="s">
        <v>711</v>
      </c>
      <c r="C262" s="28" t="s">
        <v>4</v>
      </c>
      <c r="D262" s="32">
        <v>1</v>
      </c>
    </row>
    <row r="263" spans="1:4" x14ac:dyDescent="0.4">
      <c r="A263" s="205">
        <v>6</v>
      </c>
      <c r="B263" s="246" t="s">
        <v>693</v>
      </c>
      <c r="C263" s="28" t="s">
        <v>4</v>
      </c>
      <c r="D263" s="32">
        <v>1</v>
      </c>
    </row>
    <row r="264" spans="1:4" x14ac:dyDescent="0.4">
      <c r="A264" s="205">
        <v>7</v>
      </c>
      <c r="B264" s="246" t="s">
        <v>694</v>
      </c>
      <c r="C264" s="28" t="s">
        <v>4</v>
      </c>
      <c r="D264" s="32">
        <v>2</v>
      </c>
    </row>
    <row r="265" spans="1:4" x14ac:dyDescent="0.4">
      <c r="A265" s="205">
        <v>8</v>
      </c>
      <c r="B265" s="246" t="s">
        <v>712</v>
      </c>
      <c r="C265" s="28" t="s">
        <v>4</v>
      </c>
      <c r="D265" s="32">
        <v>5</v>
      </c>
    </row>
    <row r="266" spans="1:4" x14ac:dyDescent="0.4">
      <c r="A266" s="205">
        <v>9</v>
      </c>
      <c r="B266" s="246" t="s">
        <v>695</v>
      </c>
      <c r="C266" s="28" t="s">
        <v>4</v>
      </c>
      <c r="D266" s="32">
        <v>17</v>
      </c>
    </row>
    <row r="267" spans="1:4" x14ac:dyDescent="0.4">
      <c r="A267" s="205">
        <v>10</v>
      </c>
      <c r="B267" s="246" t="s">
        <v>713</v>
      </c>
      <c r="C267" s="28" t="s">
        <v>4</v>
      </c>
      <c r="D267" s="32">
        <v>1</v>
      </c>
    </row>
    <row r="268" spans="1:4" x14ac:dyDescent="0.4">
      <c r="A268" s="205">
        <v>11</v>
      </c>
      <c r="B268" s="246" t="s">
        <v>714</v>
      </c>
      <c r="C268" s="28" t="s">
        <v>4</v>
      </c>
      <c r="D268" s="32">
        <v>2</v>
      </c>
    </row>
    <row r="269" spans="1:4" x14ac:dyDescent="0.4">
      <c r="A269" s="205">
        <v>12</v>
      </c>
      <c r="B269" s="246" t="s">
        <v>697</v>
      </c>
      <c r="C269" s="28" t="s">
        <v>4</v>
      </c>
      <c r="D269" s="32">
        <v>5</v>
      </c>
    </row>
    <row r="270" spans="1:4" x14ac:dyDescent="0.4">
      <c r="A270" s="205">
        <v>13</v>
      </c>
      <c r="B270" s="246" t="s">
        <v>715</v>
      </c>
      <c r="C270" s="28" t="s">
        <v>4</v>
      </c>
      <c r="D270" s="32">
        <v>1</v>
      </c>
    </row>
    <row r="271" spans="1:4" x14ac:dyDescent="0.4">
      <c r="A271" s="205">
        <v>14</v>
      </c>
      <c r="B271" s="246" t="s">
        <v>716</v>
      </c>
      <c r="C271" s="28" t="s">
        <v>4</v>
      </c>
      <c r="D271" s="32">
        <v>5</v>
      </c>
    </row>
    <row r="272" spans="1:4" x14ac:dyDescent="0.4">
      <c r="A272" s="205">
        <v>15</v>
      </c>
      <c r="B272" s="246" t="s">
        <v>698</v>
      </c>
      <c r="C272" s="28" t="s">
        <v>4</v>
      </c>
      <c r="D272" s="32">
        <v>12</v>
      </c>
    </row>
    <row r="273" spans="1:4" x14ac:dyDescent="0.4">
      <c r="A273" s="205">
        <v>16</v>
      </c>
      <c r="B273" s="246" t="s">
        <v>699</v>
      </c>
      <c r="C273" s="28" t="s">
        <v>4</v>
      </c>
      <c r="D273" s="32">
        <v>1</v>
      </c>
    </row>
    <row r="274" spans="1:4" x14ac:dyDescent="0.4">
      <c r="A274" s="205">
        <v>17</v>
      </c>
      <c r="B274" s="246" t="s">
        <v>717</v>
      </c>
      <c r="C274" s="28" t="s">
        <v>4</v>
      </c>
      <c r="D274" s="32">
        <v>2</v>
      </c>
    </row>
    <row r="275" spans="1:4" x14ac:dyDescent="0.4">
      <c r="A275" s="205">
        <v>18</v>
      </c>
      <c r="B275" s="246" t="s">
        <v>718</v>
      </c>
      <c r="C275" s="28" t="s">
        <v>701</v>
      </c>
      <c r="D275" s="32">
        <v>11</v>
      </c>
    </row>
    <row r="276" spans="1:4" x14ac:dyDescent="0.4">
      <c r="A276" s="205">
        <v>19</v>
      </c>
      <c r="B276" s="246" t="s">
        <v>719</v>
      </c>
      <c r="C276" s="28" t="s">
        <v>701</v>
      </c>
      <c r="D276" s="32">
        <v>7</v>
      </c>
    </row>
    <row r="277" spans="1:4" x14ac:dyDescent="0.4">
      <c r="A277" s="205">
        <v>20</v>
      </c>
      <c r="B277" s="246" t="s">
        <v>700</v>
      </c>
      <c r="C277" s="28" t="s">
        <v>701</v>
      </c>
      <c r="D277" s="32">
        <v>20</v>
      </c>
    </row>
    <row r="278" spans="1:4" x14ac:dyDescent="0.4">
      <c r="A278" s="205">
        <v>21</v>
      </c>
      <c r="B278" s="246" t="s">
        <v>702</v>
      </c>
      <c r="C278" s="28" t="s">
        <v>701</v>
      </c>
      <c r="D278" s="32">
        <v>5</v>
      </c>
    </row>
    <row r="279" spans="1:4" x14ac:dyDescent="0.4">
      <c r="A279" s="205">
        <v>22</v>
      </c>
      <c r="B279" s="246" t="s">
        <v>703</v>
      </c>
      <c r="C279" s="28" t="s">
        <v>701</v>
      </c>
      <c r="D279" s="32">
        <v>4</v>
      </c>
    </row>
    <row r="280" spans="1:4" x14ac:dyDescent="0.4">
      <c r="A280" s="205">
        <v>23</v>
      </c>
      <c r="B280" s="246" t="s">
        <v>720</v>
      </c>
      <c r="C280" s="28" t="s">
        <v>4</v>
      </c>
      <c r="D280" s="32">
        <v>10</v>
      </c>
    </row>
    <row r="281" spans="1:4" x14ac:dyDescent="0.4">
      <c r="A281" s="205">
        <v>24</v>
      </c>
      <c r="B281" s="246" t="s">
        <v>721</v>
      </c>
      <c r="C281" s="28" t="s">
        <v>4</v>
      </c>
      <c r="D281" s="32">
        <v>4</v>
      </c>
    </row>
    <row r="282" spans="1:4" x14ac:dyDescent="0.4">
      <c r="A282" s="205">
        <v>25</v>
      </c>
      <c r="B282" s="246" t="s">
        <v>704</v>
      </c>
      <c r="C282" s="28" t="s">
        <v>4</v>
      </c>
      <c r="D282" s="32">
        <v>12</v>
      </c>
    </row>
    <row r="283" spans="1:4" x14ac:dyDescent="0.4">
      <c r="A283" s="205">
        <v>26</v>
      </c>
      <c r="B283" s="246" t="s">
        <v>705</v>
      </c>
      <c r="C283" s="28" t="s">
        <v>4</v>
      </c>
      <c r="D283" s="32">
        <v>3</v>
      </c>
    </row>
    <row r="284" spans="1:4" x14ac:dyDescent="0.4">
      <c r="A284" s="205">
        <v>27</v>
      </c>
      <c r="B284" s="246" t="s">
        <v>706</v>
      </c>
      <c r="C284" s="28" t="s">
        <v>4</v>
      </c>
      <c r="D284" s="32">
        <v>2</v>
      </c>
    </row>
    <row r="285" spans="1:4" x14ac:dyDescent="0.4">
      <c r="A285" s="205">
        <v>28</v>
      </c>
      <c r="B285" s="36" t="s">
        <v>626</v>
      </c>
      <c r="C285" s="243" t="s">
        <v>4</v>
      </c>
      <c r="D285" s="32">
        <v>4</v>
      </c>
    </row>
    <row r="286" spans="1:4" x14ac:dyDescent="0.4">
      <c r="A286" s="205"/>
      <c r="B286" s="36"/>
      <c r="C286" s="243"/>
      <c r="D286" s="32"/>
    </row>
    <row r="287" spans="1:4" ht="25" customHeight="1" x14ac:dyDescent="0.4">
      <c r="A287" s="205"/>
      <c r="B287" s="40" t="s">
        <v>722</v>
      </c>
      <c r="C287" s="28"/>
      <c r="D287" s="32"/>
    </row>
    <row r="288" spans="1:4" x14ac:dyDescent="0.4">
      <c r="A288" s="205">
        <v>1</v>
      </c>
      <c r="B288" s="246" t="s">
        <v>709</v>
      </c>
      <c r="C288" s="28" t="s">
        <v>4</v>
      </c>
      <c r="D288" s="32">
        <v>1</v>
      </c>
    </row>
    <row r="289" spans="1:4" x14ac:dyDescent="0.4">
      <c r="A289" s="205">
        <v>2</v>
      </c>
      <c r="B289" s="246" t="s">
        <v>723</v>
      </c>
      <c r="C289" s="28" t="s">
        <v>4</v>
      </c>
      <c r="D289" s="32">
        <v>2</v>
      </c>
    </row>
    <row r="290" spans="1:4" x14ac:dyDescent="0.4">
      <c r="A290" s="205">
        <v>3</v>
      </c>
      <c r="B290" s="246" t="s">
        <v>724</v>
      </c>
      <c r="C290" s="28" t="s">
        <v>4</v>
      </c>
      <c r="D290" s="32">
        <v>6</v>
      </c>
    </row>
    <row r="291" spans="1:4" x14ac:dyDescent="0.4">
      <c r="A291" s="205">
        <v>4</v>
      </c>
      <c r="B291" s="246" t="s">
        <v>700</v>
      </c>
      <c r="C291" s="28" t="s">
        <v>701</v>
      </c>
      <c r="D291" s="32">
        <v>14</v>
      </c>
    </row>
    <row r="292" spans="1:4" x14ac:dyDescent="0.4">
      <c r="A292" s="205">
        <v>5</v>
      </c>
      <c r="B292" s="246" t="s">
        <v>725</v>
      </c>
      <c r="C292" s="28" t="s">
        <v>4</v>
      </c>
      <c r="D292" s="32">
        <v>5</v>
      </c>
    </row>
    <row r="293" spans="1:4" x14ac:dyDescent="0.4">
      <c r="A293" s="205">
        <v>6</v>
      </c>
      <c r="B293" s="246" t="s">
        <v>726</v>
      </c>
      <c r="C293" s="28" t="s">
        <v>4</v>
      </c>
      <c r="D293" s="32">
        <v>3</v>
      </c>
    </row>
    <row r="294" spans="1:4" x14ac:dyDescent="0.4">
      <c r="A294" s="205">
        <v>7</v>
      </c>
      <c r="B294" s="246" t="s">
        <v>727</v>
      </c>
      <c r="C294" s="28" t="s">
        <v>4</v>
      </c>
      <c r="D294" s="32">
        <v>1</v>
      </c>
    </row>
    <row r="295" spans="1:4" x14ac:dyDescent="0.4">
      <c r="A295" s="205">
        <v>8</v>
      </c>
      <c r="B295" s="246" t="s">
        <v>704</v>
      </c>
      <c r="C295" s="28" t="s">
        <v>4</v>
      </c>
      <c r="D295" s="32">
        <v>10</v>
      </c>
    </row>
    <row r="296" spans="1:4" x14ac:dyDescent="0.4">
      <c r="A296" s="205">
        <v>9</v>
      </c>
      <c r="B296" s="36" t="s">
        <v>626</v>
      </c>
      <c r="C296" s="243" t="s">
        <v>4</v>
      </c>
      <c r="D296" s="32">
        <v>1</v>
      </c>
    </row>
    <row r="297" spans="1:4" x14ac:dyDescent="0.4">
      <c r="A297" s="205">
        <v>10</v>
      </c>
      <c r="B297" s="36" t="s">
        <v>728</v>
      </c>
      <c r="C297" s="243" t="s">
        <v>4</v>
      </c>
      <c r="D297" s="32">
        <v>1</v>
      </c>
    </row>
    <row r="298" spans="1:4" x14ac:dyDescent="0.4">
      <c r="A298" s="205">
        <v>11</v>
      </c>
      <c r="B298" s="36" t="s">
        <v>729</v>
      </c>
      <c r="C298" s="243" t="s">
        <v>4</v>
      </c>
      <c r="D298" s="32">
        <v>1</v>
      </c>
    </row>
    <row r="299" spans="1:4" x14ac:dyDescent="0.4">
      <c r="A299" s="205">
        <v>12</v>
      </c>
      <c r="B299" s="36" t="s">
        <v>730</v>
      </c>
      <c r="C299" s="243" t="s">
        <v>4</v>
      </c>
      <c r="D299" s="32">
        <v>1</v>
      </c>
    </row>
    <row r="300" spans="1:4" x14ac:dyDescent="0.4">
      <c r="A300" s="205"/>
      <c r="B300" s="246"/>
      <c r="C300" s="28"/>
      <c r="D300" s="32"/>
    </row>
    <row r="301" spans="1:4" ht="25" customHeight="1" x14ac:dyDescent="0.4">
      <c r="A301" s="205"/>
      <c r="B301" s="40" t="s">
        <v>731</v>
      </c>
      <c r="C301" s="28"/>
      <c r="D301" s="32"/>
    </row>
    <row r="302" spans="1:4" x14ac:dyDescent="0.4">
      <c r="A302" s="205">
        <v>1</v>
      </c>
      <c r="B302" s="246" t="s">
        <v>732</v>
      </c>
      <c r="C302" s="28" t="s">
        <v>4</v>
      </c>
      <c r="D302" s="32">
        <v>1</v>
      </c>
    </row>
    <row r="303" spans="1:4" x14ac:dyDescent="0.4">
      <c r="A303" s="205">
        <v>2</v>
      </c>
      <c r="B303" s="246" t="s">
        <v>733</v>
      </c>
      <c r="C303" s="28" t="s">
        <v>4</v>
      </c>
      <c r="D303" s="32">
        <v>2</v>
      </c>
    </row>
    <row r="304" spans="1:4" x14ac:dyDescent="0.4">
      <c r="A304" s="205">
        <v>3</v>
      </c>
      <c r="B304" s="246" t="s">
        <v>734</v>
      </c>
      <c r="C304" s="28" t="s">
        <v>4</v>
      </c>
      <c r="D304" s="32">
        <v>3</v>
      </c>
    </row>
    <row r="305" spans="1:4" x14ac:dyDescent="0.4">
      <c r="A305" s="205">
        <v>4</v>
      </c>
      <c r="B305" s="246" t="s">
        <v>735</v>
      </c>
      <c r="C305" s="28" t="s">
        <v>4</v>
      </c>
      <c r="D305" s="32">
        <v>3</v>
      </c>
    </row>
    <row r="306" spans="1:4" x14ac:dyDescent="0.4">
      <c r="A306" s="205">
        <v>5</v>
      </c>
      <c r="B306" s="246" t="s">
        <v>736</v>
      </c>
      <c r="C306" s="28" t="s">
        <v>4</v>
      </c>
      <c r="D306" s="32">
        <v>3</v>
      </c>
    </row>
    <row r="307" spans="1:4" x14ac:dyDescent="0.4">
      <c r="A307" s="205">
        <v>6</v>
      </c>
      <c r="B307" s="246" t="s">
        <v>702</v>
      </c>
      <c r="C307" s="28" t="s">
        <v>701</v>
      </c>
      <c r="D307" s="32">
        <v>3</v>
      </c>
    </row>
    <row r="308" spans="1:4" x14ac:dyDescent="0.4">
      <c r="A308" s="205">
        <v>7</v>
      </c>
      <c r="B308" s="246" t="s">
        <v>703</v>
      </c>
      <c r="C308" s="28" t="s">
        <v>701</v>
      </c>
      <c r="D308" s="32">
        <v>25</v>
      </c>
    </row>
    <row r="309" spans="1:4" x14ac:dyDescent="0.4">
      <c r="A309" s="205">
        <v>8</v>
      </c>
      <c r="B309" s="246" t="s">
        <v>737</v>
      </c>
      <c r="C309" s="28" t="s">
        <v>701</v>
      </c>
      <c r="D309" s="32">
        <v>18</v>
      </c>
    </row>
    <row r="310" spans="1:4" x14ac:dyDescent="0.4">
      <c r="A310" s="205">
        <v>9</v>
      </c>
      <c r="B310" s="246" t="s">
        <v>738</v>
      </c>
      <c r="C310" s="28" t="s">
        <v>4</v>
      </c>
      <c r="D310" s="32">
        <v>2</v>
      </c>
    </row>
    <row r="311" spans="1:4" x14ac:dyDescent="0.4">
      <c r="A311" s="205">
        <v>10</v>
      </c>
      <c r="B311" s="246" t="s">
        <v>739</v>
      </c>
      <c r="C311" s="28" t="s">
        <v>4</v>
      </c>
      <c r="D311" s="32">
        <v>1</v>
      </c>
    </row>
    <row r="312" spans="1:4" x14ac:dyDescent="0.4">
      <c r="A312" s="205">
        <v>11</v>
      </c>
      <c r="B312" s="246" t="s">
        <v>740</v>
      </c>
      <c r="C312" s="28" t="s">
        <v>4</v>
      </c>
      <c r="D312" s="32">
        <v>2</v>
      </c>
    </row>
    <row r="313" spans="1:4" x14ac:dyDescent="0.4">
      <c r="A313" s="205">
        <v>12</v>
      </c>
      <c r="B313" s="246" t="s">
        <v>604</v>
      </c>
      <c r="C313" s="28" t="s">
        <v>4</v>
      </c>
      <c r="D313" s="32">
        <v>1</v>
      </c>
    </row>
    <row r="314" spans="1:4" x14ac:dyDescent="0.4">
      <c r="A314" s="205">
        <v>13</v>
      </c>
      <c r="B314" s="246" t="s">
        <v>741</v>
      </c>
      <c r="C314" s="28" t="s">
        <v>4</v>
      </c>
      <c r="D314" s="32">
        <v>3</v>
      </c>
    </row>
    <row r="315" spans="1:4" x14ac:dyDescent="0.4">
      <c r="A315" s="205">
        <v>14</v>
      </c>
      <c r="B315" s="246" t="s">
        <v>607</v>
      </c>
      <c r="C315" s="28" t="s">
        <v>4</v>
      </c>
      <c r="D315" s="32">
        <v>1</v>
      </c>
    </row>
    <row r="316" spans="1:4" x14ac:dyDescent="0.4">
      <c r="A316" s="205">
        <v>15</v>
      </c>
      <c r="B316" s="246" t="s">
        <v>742</v>
      </c>
      <c r="C316" s="28" t="s">
        <v>4</v>
      </c>
      <c r="D316" s="32">
        <v>6</v>
      </c>
    </row>
    <row r="317" spans="1:4" x14ac:dyDescent="0.4">
      <c r="A317" s="205">
        <v>16</v>
      </c>
      <c r="B317" s="246" t="s">
        <v>743</v>
      </c>
      <c r="C317" s="28" t="s">
        <v>4</v>
      </c>
      <c r="D317" s="32">
        <v>14</v>
      </c>
    </row>
    <row r="318" spans="1:4" x14ac:dyDescent="0.4">
      <c r="A318" s="205">
        <v>17</v>
      </c>
      <c r="B318" s="246" t="s">
        <v>744</v>
      </c>
      <c r="C318" s="28" t="s">
        <v>4</v>
      </c>
      <c r="D318" s="32">
        <v>16</v>
      </c>
    </row>
    <row r="319" spans="1:4" x14ac:dyDescent="0.4">
      <c r="A319" s="205">
        <v>18</v>
      </c>
      <c r="B319" s="36" t="s">
        <v>626</v>
      </c>
      <c r="C319" s="28" t="s">
        <v>4</v>
      </c>
      <c r="D319" s="32">
        <v>1</v>
      </c>
    </row>
    <row r="320" spans="1:4" x14ac:dyDescent="0.4">
      <c r="A320" s="205">
        <v>19</v>
      </c>
      <c r="B320" s="36" t="s">
        <v>728</v>
      </c>
      <c r="C320" s="28" t="s">
        <v>4</v>
      </c>
      <c r="D320" s="32">
        <v>1</v>
      </c>
    </row>
    <row r="321" spans="1:4" x14ac:dyDescent="0.4">
      <c r="A321" s="205">
        <v>20</v>
      </c>
      <c r="B321" s="36" t="s">
        <v>729</v>
      </c>
      <c r="C321" s="28" t="s">
        <v>4</v>
      </c>
      <c r="D321" s="32">
        <v>1</v>
      </c>
    </row>
    <row r="322" spans="1:4" x14ac:dyDescent="0.4">
      <c r="A322" s="205">
        <v>21</v>
      </c>
      <c r="B322" s="36" t="s">
        <v>730</v>
      </c>
      <c r="C322" s="28" t="s">
        <v>4</v>
      </c>
      <c r="D322" s="32">
        <v>1</v>
      </c>
    </row>
    <row r="323" spans="1:4" x14ac:dyDescent="0.4">
      <c r="A323" s="205"/>
      <c r="B323" s="246"/>
      <c r="C323" s="28"/>
      <c r="D323" s="32"/>
    </row>
    <row r="324" spans="1:4" ht="25" customHeight="1" x14ac:dyDescent="0.4">
      <c r="A324" s="205"/>
      <c r="B324" s="40" t="s">
        <v>745</v>
      </c>
      <c r="C324" s="28"/>
      <c r="D324" s="32"/>
    </row>
    <row r="325" spans="1:4" x14ac:dyDescent="0.4">
      <c r="A325" s="205">
        <v>1</v>
      </c>
      <c r="B325" s="246" t="s">
        <v>746</v>
      </c>
      <c r="C325" s="28" t="s">
        <v>4</v>
      </c>
      <c r="D325" s="32">
        <v>1</v>
      </c>
    </row>
    <row r="326" spans="1:4" x14ac:dyDescent="0.4">
      <c r="A326" s="205">
        <v>2</v>
      </c>
      <c r="B326" s="246" t="s">
        <v>747</v>
      </c>
      <c r="C326" s="28" t="s">
        <v>4</v>
      </c>
      <c r="D326" s="32">
        <v>2</v>
      </c>
    </row>
    <row r="327" spans="1:4" x14ac:dyDescent="0.4">
      <c r="A327" s="205">
        <v>3</v>
      </c>
      <c r="B327" s="246" t="s">
        <v>748</v>
      </c>
      <c r="C327" s="28" t="s">
        <v>4</v>
      </c>
      <c r="D327" s="32">
        <v>3</v>
      </c>
    </row>
    <row r="328" spans="1:4" x14ac:dyDescent="0.4">
      <c r="A328" s="205">
        <v>3</v>
      </c>
      <c r="B328" s="246" t="s">
        <v>734</v>
      </c>
      <c r="C328" s="28" t="s">
        <v>4</v>
      </c>
      <c r="D328" s="32">
        <v>2</v>
      </c>
    </row>
    <row r="329" spans="1:4" x14ac:dyDescent="0.4">
      <c r="A329" s="205">
        <v>4</v>
      </c>
      <c r="B329" s="246" t="s">
        <v>735</v>
      </c>
      <c r="C329" s="28" t="s">
        <v>4</v>
      </c>
      <c r="D329" s="32">
        <v>3</v>
      </c>
    </row>
    <row r="330" spans="1:4" x14ac:dyDescent="0.4">
      <c r="A330" s="205">
        <v>5</v>
      </c>
      <c r="B330" s="246" t="s">
        <v>700</v>
      </c>
      <c r="C330" s="28" t="s">
        <v>701</v>
      </c>
      <c r="D330" s="32">
        <v>17</v>
      </c>
    </row>
    <row r="331" spans="1:4" x14ac:dyDescent="0.4">
      <c r="A331" s="205">
        <v>6</v>
      </c>
      <c r="B331" s="246" t="s">
        <v>702</v>
      </c>
      <c r="C331" s="28" t="s">
        <v>701</v>
      </c>
      <c r="D331" s="32">
        <v>11</v>
      </c>
    </row>
    <row r="332" spans="1:4" x14ac:dyDescent="0.4">
      <c r="A332" s="205">
        <v>7</v>
      </c>
      <c r="B332" s="246" t="s">
        <v>703</v>
      </c>
      <c r="C332" s="28" t="s">
        <v>701</v>
      </c>
      <c r="D332" s="32">
        <v>19</v>
      </c>
    </row>
    <row r="333" spans="1:4" x14ac:dyDescent="0.4">
      <c r="A333" s="205">
        <v>8</v>
      </c>
      <c r="B333" s="246" t="s">
        <v>749</v>
      </c>
      <c r="C333" s="28" t="s">
        <v>4</v>
      </c>
      <c r="D333" s="32">
        <v>1</v>
      </c>
    </row>
    <row r="334" spans="1:4" x14ac:dyDescent="0.4">
      <c r="A334" s="205">
        <v>9</v>
      </c>
      <c r="B334" s="246" t="s">
        <v>750</v>
      </c>
      <c r="C334" s="28" t="s">
        <v>4</v>
      </c>
      <c r="D334" s="32">
        <v>1</v>
      </c>
    </row>
    <row r="335" spans="1:4" x14ac:dyDescent="0.4">
      <c r="A335" s="205">
        <v>10</v>
      </c>
      <c r="B335" s="246" t="s">
        <v>751</v>
      </c>
      <c r="C335" s="28" t="s">
        <v>4</v>
      </c>
      <c r="D335" s="32">
        <v>1</v>
      </c>
    </row>
    <row r="336" spans="1:4" x14ac:dyDescent="0.4">
      <c r="A336" s="205">
        <v>11</v>
      </c>
      <c r="B336" s="246" t="s">
        <v>752</v>
      </c>
      <c r="C336" s="28" t="s">
        <v>4</v>
      </c>
      <c r="D336" s="32">
        <v>1</v>
      </c>
    </row>
    <row r="337" spans="1:4" x14ac:dyDescent="0.4">
      <c r="A337" s="205">
        <v>12</v>
      </c>
      <c r="B337" s="246" t="s">
        <v>697</v>
      </c>
      <c r="C337" s="28" t="s">
        <v>4</v>
      </c>
      <c r="D337" s="32">
        <v>4</v>
      </c>
    </row>
    <row r="338" spans="1:4" x14ac:dyDescent="0.4">
      <c r="A338" s="205">
        <v>13</v>
      </c>
      <c r="B338" s="246" t="s">
        <v>715</v>
      </c>
      <c r="C338" s="28" t="s">
        <v>4</v>
      </c>
      <c r="D338" s="32">
        <v>2</v>
      </c>
    </row>
    <row r="339" spans="1:4" x14ac:dyDescent="0.4">
      <c r="A339" s="205">
        <v>14</v>
      </c>
      <c r="B339" s="246" t="s">
        <v>604</v>
      </c>
      <c r="C339" s="28" t="s">
        <v>4</v>
      </c>
      <c r="D339" s="32">
        <v>3</v>
      </c>
    </row>
    <row r="340" spans="1:4" x14ac:dyDescent="0.4">
      <c r="A340" s="205">
        <v>15</v>
      </c>
      <c r="B340" s="246" t="s">
        <v>753</v>
      </c>
      <c r="C340" s="28" t="s">
        <v>4</v>
      </c>
      <c r="D340" s="32">
        <v>1</v>
      </c>
    </row>
    <row r="341" spans="1:4" x14ac:dyDescent="0.4">
      <c r="A341" s="205">
        <v>16</v>
      </c>
      <c r="B341" s="246" t="s">
        <v>754</v>
      </c>
      <c r="C341" s="28" t="s">
        <v>4</v>
      </c>
      <c r="D341" s="32">
        <v>1</v>
      </c>
    </row>
    <row r="342" spans="1:4" x14ac:dyDescent="0.4">
      <c r="A342" s="205">
        <v>17</v>
      </c>
      <c r="B342" s="246" t="s">
        <v>755</v>
      </c>
      <c r="C342" s="28" t="s">
        <v>4</v>
      </c>
      <c r="D342" s="32">
        <v>1</v>
      </c>
    </row>
    <row r="343" spans="1:4" x14ac:dyDescent="0.4">
      <c r="A343" s="205">
        <v>18</v>
      </c>
      <c r="B343" s="246" t="s">
        <v>756</v>
      </c>
      <c r="C343" s="28" t="s">
        <v>4</v>
      </c>
      <c r="D343" s="32">
        <v>10</v>
      </c>
    </row>
    <row r="344" spans="1:4" x14ac:dyDescent="0.4">
      <c r="A344" s="205">
        <v>19</v>
      </c>
      <c r="B344" s="246" t="s">
        <v>742</v>
      </c>
      <c r="C344" s="28" t="s">
        <v>4</v>
      </c>
      <c r="D344" s="32">
        <v>6</v>
      </c>
    </row>
    <row r="345" spans="1:4" x14ac:dyDescent="0.4">
      <c r="A345" s="205">
        <v>20</v>
      </c>
      <c r="B345" s="246" t="s">
        <v>743</v>
      </c>
      <c r="C345" s="28" t="s">
        <v>4</v>
      </c>
      <c r="D345" s="32">
        <v>8</v>
      </c>
    </row>
    <row r="346" spans="1:4" x14ac:dyDescent="0.4">
      <c r="A346" s="205">
        <v>21</v>
      </c>
      <c r="B346" s="36" t="s">
        <v>626</v>
      </c>
      <c r="C346" s="28" t="s">
        <v>4</v>
      </c>
      <c r="D346" s="32">
        <v>1</v>
      </c>
    </row>
    <row r="347" spans="1:4" x14ac:dyDescent="0.4">
      <c r="A347" s="205">
        <v>22</v>
      </c>
      <c r="B347" s="36" t="s">
        <v>728</v>
      </c>
      <c r="C347" s="28" t="s">
        <v>4</v>
      </c>
      <c r="D347" s="32">
        <v>1</v>
      </c>
    </row>
    <row r="348" spans="1:4" x14ac:dyDescent="0.4">
      <c r="A348" s="205">
        <v>23</v>
      </c>
      <c r="B348" s="36" t="s">
        <v>729</v>
      </c>
      <c r="C348" s="28" t="s">
        <v>4</v>
      </c>
      <c r="D348" s="32">
        <v>1</v>
      </c>
    </row>
    <row r="349" spans="1:4" x14ac:dyDescent="0.4">
      <c r="A349" s="205">
        <v>24</v>
      </c>
      <c r="B349" s="36" t="s">
        <v>730</v>
      </c>
      <c r="C349" s="28" t="s">
        <v>4</v>
      </c>
      <c r="D349" s="32">
        <v>1</v>
      </c>
    </row>
    <row r="350" spans="1:4" x14ac:dyDescent="0.4">
      <c r="A350" s="205"/>
      <c r="B350" s="246"/>
      <c r="C350" s="28"/>
      <c r="D350" s="32"/>
    </row>
    <row r="351" spans="1:4" ht="25" customHeight="1" x14ac:dyDescent="0.4">
      <c r="A351" s="205"/>
      <c r="B351" s="40" t="s">
        <v>757</v>
      </c>
      <c r="C351" s="28"/>
      <c r="D351" s="32"/>
    </row>
    <row r="352" spans="1:4" x14ac:dyDescent="0.4">
      <c r="A352" s="205">
        <v>1</v>
      </c>
      <c r="B352" s="246" t="s">
        <v>758</v>
      </c>
      <c r="C352" s="28" t="s">
        <v>4</v>
      </c>
      <c r="D352" s="32">
        <v>1</v>
      </c>
    </row>
    <row r="353" spans="1:4" x14ac:dyDescent="0.4">
      <c r="A353" s="205">
        <v>2</v>
      </c>
      <c r="B353" s="246" t="s">
        <v>759</v>
      </c>
      <c r="C353" s="28" t="s">
        <v>4</v>
      </c>
      <c r="D353" s="32">
        <v>1</v>
      </c>
    </row>
    <row r="354" spans="1:4" x14ac:dyDescent="0.4">
      <c r="A354" s="205">
        <v>3</v>
      </c>
      <c r="B354" s="246" t="s">
        <v>723</v>
      </c>
      <c r="C354" s="28" t="s">
        <v>4</v>
      </c>
      <c r="D354" s="32">
        <v>2</v>
      </c>
    </row>
    <row r="355" spans="1:4" x14ac:dyDescent="0.4">
      <c r="A355" s="205">
        <v>4</v>
      </c>
      <c r="B355" s="246" t="s">
        <v>748</v>
      </c>
      <c r="C355" s="28" t="s">
        <v>4</v>
      </c>
      <c r="D355" s="32">
        <v>2</v>
      </c>
    </row>
    <row r="356" spans="1:4" x14ac:dyDescent="0.4">
      <c r="A356" s="205">
        <v>5</v>
      </c>
      <c r="B356" s="246" t="s">
        <v>700</v>
      </c>
      <c r="C356" s="28" t="s">
        <v>701</v>
      </c>
      <c r="D356" s="32">
        <v>20</v>
      </c>
    </row>
    <row r="357" spans="1:4" x14ac:dyDescent="0.4">
      <c r="A357" s="205">
        <v>6</v>
      </c>
      <c r="B357" s="246" t="s">
        <v>749</v>
      </c>
      <c r="C357" s="28" t="s">
        <v>4</v>
      </c>
      <c r="D357" s="32">
        <v>1</v>
      </c>
    </row>
    <row r="358" spans="1:4" x14ac:dyDescent="0.4">
      <c r="A358" s="205">
        <v>7</v>
      </c>
      <c r="B358" s="246" t="s">
        <v>697</v>
      </c>
      <c r="C358" s="28" t="s">
        <v>4</v>
      </c>
      <c r="D358" s="32">
        <v>6</v>
      </c>
    </row>
    <row r="359" spans="1:4" x14ac:dyDescent="0.4">
      <c r="A359" s="205">
        <v>8</v>
      </c>
      <c r="B359" s="246" t="s">
        <v>760</v>
      </c>
      <c r="C359" s="28" t="s">
        <v>4</v>
      </c>
      <c r="D359" s="32">
        <v>5</v>
      </c>
    </row>
    <row r="360" spans="1:4" x14ac:dyDescent="0.4">
      <c r="A360" s="205">
        <v>9</v>
      </c>
      <c r="B360" s="246" t="s">
        <v>756</v>
      </c>
      <c r="C360" s="28" t="s">
        <v>4</v>
      </c>
      <c r="D360" s="32">
        <v>20</v>
      </c>
    </row>
    <row r="361" spans="1:4" x14ac:dyDescent="0.4">
      <c r="A361" s="205">
        <v>10</v>
      </c>
      <c r="B361" s="36" t="s">
        <v>626</v>
      </c>
      <c r="C361" s="28" t="s">
        <v>4</v>
      </c>
      <c r="D361" s="32">
        <v>2</v>
      </c>
    </row>
    <row r="362" spans="1:4" x14ac:dyDescent="0.4">
      <c r="A362" s="205">
        <v>11</v>
      </c>
      <c r="B362" s="36" t="s">
        <v>728</v>
      </c>
      <c r="C362" s="28" t="s">
        <v>4</v>
      </c>
      <c r="D362" s="32">
        <v>2</v>
      </c>
    </row>
    <row r="363" spans="1:4" x14ac:dyDescent="0.4">
      <c r="A363" s="205">
        <v>12</v>
      </c>
      <c r="B363" s="36" t="s">
        <v>729</v>
      </c>
      <c r="C363" s="28" t="s">
        <v>4</v>
      </c>
      <c r="D363" s="32">
        <v>2</v>
      </c>
    </row>
    <row r="364" spans="1:4" x14ac:dyDescent="0.4">
      <c r="A364" s="205">
        <v>13</v>
      </c>
      <c r="B364" s="36" t="s">
        <v>730</v>
      </c>
      <c r="C364" s="28" t="s">
        <v>4</v>
      </c>
      <c r="D364" s="32">
        <v>2</v>
      </c>
    </row>
    <row r="365" spans="1:4" x14ac:dyDescent="0.4">
      <c r="A365" s="205"/>
      <c r="B365" s="246"/>
      <c r="C365" s="28"/>
      <c r="D365" s="32"/>
    </row>
    <row r="366" spans="1:4" ht="25" customHeight="1" x14ac:dyDescent="0.4">
      <c r="A366" s="205"/>
      <c r="B366" s="40" t="s">
        <v>761</v>
      </c>
      <c r="C366" s="28"/>
      <c r="D366" s="32"/>
    </row>
    <row r="367" spans="1:4" x14ac:dyDescent="0.4">
      <c r="A367" s="205">
        <v>1</v>
      </c>
      <c r="B367" s="246" t="s">
        <v>762</v>
      </c>
      <c r="C367" s="28" t="s">
        <v>4</v>
      </c>
      <c r="D367" s="32">
        <v>1</v>
      </c>
    </row>
    <row r="368" spans="1:4" x14ac:dyDescent="0.4">
      <c r="A368" s="205">
        <v>2</v>
      </c>
      <c r="B368" s="246" t="s">
        <v>763</v>
      </c>
      <c r="C368" s="28" t="s">
        <v>4</v>
      </c>
      <c r="D368" s="32">
        <v>1</v>
      </c>
    </row>
    <row r="369" spans="1:4" x14ac:dyDescent="0.4">
      <c r="A369" s="205">
        <v>3</v>
      </c>
      <c r="B369" s="246" t="s">
        <v>764</v>
      </c>
      <c r="C369" s="28" t="s">
        <v>4</v>
      </c>
      <c r="D369" s="32">
        <v>1</v>
      </c>
    </row>
    <row r="370" spans="1:4" x14ac:dyDescent="0.4">
      <c r="A370" s="205">
        <v>4</v>
      </c>
      <c r="B370" s="246" t="s">
        <v>765</v>
      </c>
      <c r="C370" s="28" t="s">
        <v>701</v>
      </c>
      <c r="D370" s="32">
        <v>1</v>
      </c>
    </row>
    <row r="371" spans="1:4" x14ac:dyDescent="0.4">
      <c r="A371" s="205">
        <v>5</v>
      </c>
      <c r="B371" s="246" t="s">
        <v>766</v>
      </c>
      <c r="C371" s="28" t="s">
        <v>4</v>
      </c>
      <c r="D371" s="32">
        <v>1</v>
      </c>
    </row>
    <row r="372" spans="1:4" ht="27.6" x14ac:dyDescent="0.4">
      <c r="A372" s="205">
        <v>6</v>
      </c>
      <c r="B372" s="246" t="s">
        <v>767</v>
      </c>
      <c r="C372" s="28" t="s">
        <v>4</v>
      </c>
      <c r="D372" s="32">
        <v>1</v>
      </c>
    </row>
    <row r="373" spans="1:4" ht="27.6" x14ac:dyDescent="0.4">
      <c r="A373" s="205">
        <v>7</v>
      </c>
      <c r="B373" s="36" t="s">
        <v>768</v>
      </c>
      <c r="C373" s="28" t="s">
        <v>5</v>
      </c>
      <c r="D373" s="32">
        <v>15</v>
      </c>
    </row>
    <row r="374" spans="1:4" ht="27.6" x14ac:dyDescent="0.4">
      <c r="A374" s="205">
        <v>8</v>
      </c>
      <c r="B374" s="36" t="s">
        <v>769</v>
      </c>
      <c r="C374" s="28" t="s">
        <v>5</v>
      </c>
      <c r="D374" s="32">
        <v>47</v>
      </c>
    </row>
    <row r="375" spans="1:4" ht="27.6" x14ac:dyDescent="0.4">
      <c r="A375" s="205">
        <v>9</v>
      </c>
      <c r="B375" s="36" t="s">
        <v>770</v>
      </c>
      <c r="C375" s="28" t="s">
        <v>5</v>
      </c>
      <c r="D375" s="32">
        <v>29</v>
      </c>
    </row>
    <row r="376" spans="1:4" x14ac:dyDescent="0.4">
      <c r="A376" s="205">
        <v>10</v>
      </c>
      <c r="B376" s="36" t="s">
        <v>771</v>
      </c>
      <c r="C376" s="28" t="s">
        <v>4</v>
      </c>
      <c r="D376" s="32">
        <v>10</v>
      </c>
    </row>
    <row r="377" spans="1:4" x14ac:dyDescent="0.4">
      <c r="A377" s="205">
        <v>11</v>
      </c>
      <c r="B377" s="36" t="s">
        <v>772</v>
      </c>
      <c r="C377" s="28" t="s">
        <v>4</v>
      </c>
      <c r="D377" s="32">
        <v>13</v>
      </c>
    </row>
    <row r="378" spans="1:4" x14ac:dyDescent="0.4">
      <c r="A378" s="205">
        <v>12</v>
      </c>
      <c r="B378" s="36" t="s">
        <v>773</v>
      </c>
      <c r="C378" s="28" t="s">
        <v>4</v>
      </c>
      <c r="D378" s="32">
        <v>10</v>
      </c>
    </row>
    <row r="379" spans="1:4" x14ac:dyDescent="0.4">
      <c r="A379" s="205">
        <v>13</v>
      </c>
      <c r="B379" s="36" t="s">
        <v>774</v>
      </c>
      <c r="C379" s="28" t="s">
        <v>4</v>
      </c>
      <c r="D379" s="32">
        <v>1</v>
      </c>
    </row>
    <row r="380" spans="1:4" x14ac:dyDescent="0.4">
      <c r="A380" s="205">
        <v>14</v>
      </c>
      <c r="B380" s="36" t="s">
        <v>775</v>
      </c>
      <c r="C380" s="28" t="s">
        <v>4</v>
      </c>
      <c r="D380" s="32">
        <v>1</v>
      </c>
    </row>
    <row r="381" spans="1:4" x14ac:dyDescent="0.4">
      <c r="A381" s="205">
        <v>15</v>
      </c>
      <c r="B381" s="36" t="s">
        <v>776</v>
      </c>
      <c r="C381" s="28" t="s">
        <v>4</v>
      </c>
      <c r="D381" s="32">
        <v>1</v>
      </c>
    </row>
    <row r="382" spans="1:4" x14ac:dyDescent="0.4">
      <c r="A382" s="205">
        <v>16</v>
      </c>
      <c r="B382" s="36" t="s">
        <v>777</v>
      </c>
      <c r="C382" s="28" t="s">
        <v>4</v>
      </c>
      <c r="D382" s="32">
        <v>22</v>
      </c>
    </row>
    <row r="383" spans="1:4" x14ac:dyDescent="0.4">
      <c r="A383" s="205">
        <v>17</v>
      </c>
      <c r="B383" s="36" t="s">
        <v>778</v>
      </c>
      <c r="C383" s="28" t="s">
        <v>4</v>
      </c>
      <c r="D383" s="32">
        <v>4</v>
      </c>
    </row>
    <row r="384" spans="1:4" x14ac:dyDescent="0.4">
      <c r="A384" s="205">
        <v>18</v>
      </c>
      <c r="B384" s="36" t="s">
        <v>779</v>
      </c>
      <c r="C384" s="28" t="s">
        <v>4</v>
      </c>
      <c r="D384" s="32">
        <v>4</v>
      </c>
    </row>
    <row r="385" spans="1:4" x14ac:dyDescent="0.4">
      <c r="A385" s="205">
        <v>19</v>
      </c>
      <c r="B385" s="253" t="s">
        <v>780</v>
      </c>
      <c r="C385" s="39" t="s">
        <v>4</v>
      </c>
      <c r="D385" s="32">
        <v>3</v>
      </c>
    </row>
    <row r="386" spans="1:4" x14ac:dyDescent="0.4">
      <c r="A386" s="205">
        <v>20</v>
      </c>
      <c r="B386" s="253" t="s">
        <v>781</v>
      </c>
      <c r="C386" s="28" t="s">
        <v>4</v>
      </c>
      <c r="D386" s="32">
        <v>1</v>
      </c>
    </row>
    <row r="387" spans="1:4" x14ac:dyDescent="0.4">
      <c r="A387" s="205">
        <v>21</v>
      </c>
      <c r="B387" s="253" t="s">
        <v>782</v>
      </c>
      <c r="C387" s="28" t="s">
        <v>4</v>
      </c>
      <c r="D387" s="32">
        <v>1</v>
      </c>
    </row>
    <row r="388" spans="1:4" x14ac:dyDescent="0.4">
      <c r="A388" s="205">
        <v>22</v>
      </c>
      <c r="B388" s="253" t="s">
        <v>783</v>
      </c>
      <c r="C388" s="28" t="s">
        <v>4</v>
      </c>
      <c r="D388" s="32">
        <v>1</v>
      </c>
    </row>
    <row r="389" spans="1:4" x14ac:dyDescent="0.4">
      <c r="A389" s="205">
        <v>23</v>
      </c>
      <c r="B389" s="253" t="s">
        <v>784</v>
      </c>
      <c r="C389" s="28" t="s">
        <v>4</v>
      </c>
      <c r="D389" s="32">
        <v>4</v>
      </c>
    </row>
    <row r="390" spans="1:4" x14ac:dyDescent="0.4">
      <c r="A390" s="205">
        <v>24</v>
      </c>
      <c r="B390" s="253" t="s">
        <v>785</v>
      </c>
      <c r="C390" s="28" t="s">
        <v>5</v>
      </c>
      <c r="D390" s="32">
        <v>1081</v>
      </c>
    </row>
    <row r="391" spans="1:4" x14ac:dyDescent="0.4">
      <c r="A391" s="205">
        <v>25</v>
      </c>
      <c r="B391" s="253" t="s">
        <v>786</v>
      </c>
      <c r="C391" s="28" t="s">
        <v>5</v>
      </c>
      <c r="D391" s="32">
        <v>537</v>
      </c>
    </row>
    <row r="392" spans="1:4" x14ac:dyDescent="0.4">
      <c r="A392" s="132">
        <v>26</v>
      </c>
      <c r="B392" s="36" t="s">
        <v>787</v>
      </c>
      <c r="C392" s="28" t="s">
        <v>622</v>
      </c>
      <c r="D392" s="32">
        <v>25</v>
      </c>
    </row>
    <row r="393" spans="1:4" x14ac:dyDescent="0.4">
      <c r="A393" s="255"/>
      <c r="B393" s="236"/>
      <c r="C393" s="256"/>
      <c r="D393" s="257"/>
    </row>
    <row r="394" spans="1:4" x14ac:dyDescent="0.4">
      <c r="A394" s="255"/>
      <c r="B394" s="236"/>
      <c r="C394" s="256"/>
      <c r="D394" s="257"/>
    </row>
    <row r="395" spans="1:4" x14ac:dyDescent="0.4">
      <c r="A395" s="255"/>
      <c r="B395" s="236"/>
      <c r="C395" s="256"/>
      <c r="D395" s="257"/>
    </row>
    <row r="396" spans="1:4" x14ac:dyDescent="0.4">
      <c r="A396" s="258"/>
      <c r="B396" s="259"/>
      <c r="C396" s="256"/>
      <c r="D396" s="257"/>
    </row>
    <row r="397" spans="1:4" ht="24.6" x14ac:dyDescent="0.4">
      <c r="A397" s="230" t="s">
        <v>7</v>
      </c>
      <c r="B397" s="86" t="s">
        <v>558</v>
      </c>
      <c r="C397" s="230" t="s">
        <v>9</v>
      </c>
      <c r="D397" s="231" t="s">
        <v>11</v>
      </c>
    </row>
    <row r="398" spans="1:4" ht="25" customHeight="1" x14ac:dyDescent="0.4">
      <c r="A398" s="230"/>
      <c r="B398" s="40" t="s">
        <v>788</v>
      </c>
      <c r="C398" s="230"/>
      <c r="D398" s="231"/>
    </row>
    <row r="399" spans="1:4" x14ac:dyDescent="0.4">
      <c r="A399" s="132">
        <v>1</v>
      </c>
      <c r="B399" s="36" t="s">
        <v>789</v>
      </c>
      <c r="C399" s="28" t="s">
        <v>4</v>
      </c>
      <c r="D399" s="32">
        <v>1</v>
      </c>
    </row>
    <row r="400" spans="1:4" x14ac:dyDescent="0.4">
      <c r="A400" s="132">
        <v>2</v>
      </c>
      <c r="B400" s="36" t="s">
        <v>790</v>
      </c>
      <c r="C400" s="28" t="s">
        <v>4</v>
      </c>
      <c r="D400" s="32">
        <v>1</v>
      </c>
    </row>
    <row r="401" spans="1:4" x14ac:dyDescent="0.4">
      <c r="A401" s="132">
        <v>3</v>
      </c>
      <c r="B401" s="36" t="s">
        <v>791</v>
      </c>
      <c r="C401" s="28" t="s">
        <v>4</v>
      </c>
      <c r="D401" s="32">
        <v>3</v>
      </c>
    </row>
    <row r="402" spans="1:4" x14ac:dyDescent="0.4">
      <c r="A402" s="254">
        <v>4</v>
      </c>
      <c r="B402" s="36" t="s">
        <v>792</v>
      </c>
      <c r="C402" s="28" t="s">
        <v>4</v>
      </c>
      <c r="D402" s="32">
        <v>2</v>
      </c>
    </row>
    <row r="403" spans="1:4" ht="27.6" x14ac:dyDescent="0.4">
      <c r="A403" s="132">
        <v>5</v>
      </c>
      <c r="B403" s="36" t="s">
        <v>793</v>
      </c>
      <c r="C403" s="28" t="s">
        <v>5</v>
      </c>
      <c r="D403" s="32">
        <v>12</v>
      </c>
    </row>
    <row r="404" spans="1:4" x14ac:dyDescent="0.4">
      <c r="A404" s="132">
        <v>6</v>
      </c>
      <c r="B404" s="36" t="s">
        <v>794</v>
      </c>
      <c r="C404" s="28" t="s">
        <v>4</v>
      </c>
      <c r="D404" s="32">
        <v>6</v>
      </c>
    </row>
    <row r="405" spans="1:4" x14ac:dyDescent="0.4">
      <c r="A405" s="132">
        <v>7</v>
      </c>
      <c r="B405" s="36" t="s">
        <v>795</v>
      </c>
      <c r="C405" s="28" t="s">
        <v>4</v>
      </c>
      <c r="D405" s="32">
        <v>4</v>
      </c>
    </row>
    <row r="406" spans="1:4" x14ac:dyDescent="0.4">
      <c r="A406" s="132">
        <v>8</v>
      </c>
      <c r="B406" s="36" t="s">
        <v>796</v>
      </c>
      <c r="C406" s="28" t="s">
        <v>4</v>
      </c>
      <c r="D406" s="32">
        <v>1</v>
      </c>
    </row>
    <row r="407" spans="1:4" x14ac:dyDescent="0.4">
      <c r="A407" s="132">
        <v>9</v>
      </c>
      <c r="B407" s="36" t="s">
        <v>787</v>
      </c>
      <c r="C407" s="28" t="s">
        <v>622</v>
      </c>
      <c r="D407" s="32">
        <v>15</v>
      </c>
    </row>
    <row r="408" spans="1:4" x14ac:dyDescent="0.45">
      <c r="A408" s="255"/>
      <c r="B408" s="260"/>
      <c r="C408" s="261"/>
      <c r="D408" s="262"/>
    </row>
    <row r="409" spans="1:4" x14ac:dyDescent="0.45">
      <c r="A409" s="255"/>
      <c r="B409" s="260"/>
      <c r="C409" s="261"/>
      <c r="D409" s="262"/>
    </row>
    <row r="410" spans="1:4" x14ac:dyDescent="0.45">
      <c r="A410" s="255"/>
      <c r="B410" s="260"/>
      <c r="C410" s="261"/>
      <c r="D410" s="262"/>
    </row>
    <row r="411" spans="1:4" x14ac:dyDescent="0.4">
      <c r="A411" s="258"/>
      <c r="B411" s="259"/>
      <c r="C411" s="263"/>
      <c r="D411" s="263"/>
    </row>
    <row r="412" spans="1:4" ht="24.6" x14ac:dyDescent="0.4">
      <c r="A412" s="230" t="s">
        <v>7</v>
      </c>
      <c r="B412" s="86" t="s">
        <v>558</v>
      </c>
      <c r="C412" s="230" t="s">
        <v>9</v>
      </c>
      <c r="D412" s="231" t="s">
        <v>11</v>
      </c>
    </row>
    <row r="413" spans="1:4" ht="25" customHeight="1" x14ac:dyDescent="0.4">
      <c r="A413" s="230"/>
      <c r="B413" s="250" t="s">
        <v>797</v>
      </c>
      <c r="C413" s="230"/>
      <c r="D413" s="231"/>
    </row>
    <row r="414" spans="1:4" ht="27.6" x14ac:dyDescent="0.4">
      <c r="A414" s="132">
        <v>1</v>
      </c>
      <c r="B414" s="253" t="s">
        <v>798</v>
      </c>
      <c r="C414" s="39" t="s">
        <v>4</v>
      </c>
      <c r="D414" s="39">
        <v>3</v>
      </c>
    </row>
    <row r="415" spans="1:4" ht="27.6" x14ac:dyDescent="0.4">
      <c r="A415" s="132">
        <v>2</v>
      </c>
      <c r="B415" s="253" t="s">
        <v>799</v>
      </c>
      <c r="C415" s="39" t="s">
        <v>4</v>
      </c>
      <c r="D415" s="39">
        <v>1</v>
      </c>
    </row>
    <row r="416" spans="1:4" ht="27.6" x14ac:dyDescent="0.4">
      <c r="A416" s="132">
        <v>3</v>
      </c>
      <c r="B416" s="253" t="s">
        <v>800</v>
      </c>
      <c r="C416" s="28" t="s">
        <v>4</v>
      </c>
      <c r="D416" s="32">
        <v>6</v>
      </c>
    </row>
    <row r="417" spans="1:4" ht="27.6" x14ac:dyDescent="0.4">
      <c r="A417" s="132">
        <v>4</v>
      </c>
      <c r="B417" s="253" t="s">
        <v>801</v>
      </c>
      <c r="C417" s="28" t="s">
        <v>4</v>
      </c>
      <c r="D417" s="32">
        <v>6</v>
      </c>
    </row>
    <row r="418" spans="1:4" x14ac:dyDescent="0.4">
      <c r="A418" s="216">
        <v>5</v>
      </c>
      <c r="B418" s="36" t="s">
        <v>802</v>
      </c>
      <c r="C418" s="39" t="s">
        <v>557</v>
      </c>
      <c r="D418" s="251">
        <v>16</v>
      </c>
    </row>
    <row r="419" spans="1:4" x14ac:dyDescent="0.4">
      <c r="A419" s="132">
        <v>6</v>
      </c>
      <c r="B419" s="36" t="s">
        <v>803</v>
      </c>
      <c r="C419" s="39" t="s">
        <v>5</v>
      </c>
      <c r="D419" s="251">
        <v>25</v>
      </c>
    </row>
    <row r="420" spans="1:4" x14ac:dyDescent="0.4">
      <c r="A420" s="239"/>
    </row>
    <row r="421" spans="1:4" x14ac:dyDescent="0.4">
      <c r="A421" s="239"/>
    </row>
    <row r="422" spans="1:4" x14ac:dyDescent="0.4">
      <c r="A422" s="239"/>
    </row>
    <row r="423" spans="1:4" x14ac:dyDescent="0.4">
      <c r="A423" s="239"/>
      <c r="B423" s="248" t="s">
        <v>804</v>
      </c>
    </row>
  </sheetData>
  <mergeCells count="17">
    <mergeCell ref="A214:A219"/>
    <mergeCell ref="C214:C219"/>
    <mergeCell ref="D214:D219"/>
    <mergeCell ref="A162:A167"/>
    <mergeCell ref="C162:C167"/>
    <mergeCell ref="D162:D167"/>
    <mergeCell ref="A188:A193"/>
    <mergeCell ref="C188:C193"/>
    <mergeCell ref="D188:D193"/>
    <mergeCell ref="B12:B15"/>
    <mergeCell ref="A3:D3"/>
    <mergeCell ref="A12:A40"/>
    <mergeCell ref="C12:C40"/>
    <mergeCell ref="D12:D40"/>
    <mergeCell ref="A89:A94"/>
    <mergeCell ref="C89:C94"/>
    <mergeCell ref="D89:D94"/>
  </mergeCells>
  <pageMargins left="0.70866141732283472" right="0.19685039370078741" top="0.19685039370078741" bottom="0.19685039370078741" header="0.31496062992125984" footer="0.31496062992125984"/>
  <pageSetup paperSize="9" scale="95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8765-413D-4720-919C-8A66B0AEBB6F}">
  <dimension ref="A1:H52"/>
  <sheetViews>
    <sheetView workbookViewId="0">
      <selection activeCell="L18" sqref="L18"/>
    </sheetView>
  </sheetViews>
  <sheetFormatPr defaultRowHeight="13.8" x14ac:dyDescent="0.45"/>
  <cols>
    <col min="1" max="1" width="4.38671875" style="266" customWidth="1"/>
    <col min="2" max="2" width="76.609375" style="208" customWidth="1"/>
    <col min="3" max="3" width="6.71875" style="249" customWidth="1"/>
    <col min="4" max="4" width="13.27734375" style="249" customWidth="1"/>
  </cols>
  <sheetData>
    <row r="1" spans="1:8" ht="14.7" x14ac:dyDescent="0.4">
      <c r="A1" s="41" t="s">
        <v>267</v>
      </c>
      <c r="B1" s="48"/>
      <c r="C1" s="89"/>
      <c r="D1" s="49"/>
      <c r="E1" s="49"/>
      <c r="F1" s="49"/>
      <c r="G1" s="93"/>
      <c r="H1" s="50"/>
    </row>
    <row r="2" spans="1:8" ht="14.7" x14ac:dyDescent="0.4">
      <c r="A2" s="51"/>
      <c r="B2" s="48"/>
      <c r="C2" s="89"/>
      <c r="D2" s="49"/>
      <c r="E2" s="49"/>
      <c r="F2" s="49"/>
      <c r="G2" s="93"/>
      <c r="H2" s="50"/>
    </row>
    <row r="3" spans="1:8" s="272" customFormat="1" ht="53.25" customHeight="1" x14ac:dyDescent="0.5">
      <c r="A3" s="452" t="s">
        <v>25</v>
      </c>
      <c r="B3" s="452"/>
      <c r="C3" s="452"/>
      <c r="D3" s="452"/>
      <c r="E3" s="76"/>
      <c r="F3" s="76"/>
      <c r="G3" s="76"/>
      <c r="H3" s="76"/>
    </row>
    <row r="4" spans="1:8" s="272" customFormat="1" ht="15" x14ac:dyDescent="0.5">
      <c r="A4" s="276"/>
      <c r="B4" s="277"/>
      <c r="C4" s="276"/>
      <c r="D4" s="276"/>
      <c r="E4" s="271"/>
      <c r="F4" s="271"/>
      <c r="G4" s="271"/>
      <c r="H4" s="271"/>
    </row>
    <row r="5" spans="1:8" s="272" customFormat="1" ht="15" x14ac:dyDescent="0.5">
      <c r="A5" s="276"/>
      <c r="B5" s="277"/>
      <c r="C5" s="276"/>
      <c r="D5" s="276"/>
      <c r="E5" s="271"/>
      <c r="F5" s="271"/>
      <c r="G5" s="271"/>
      <c r="H5" s="271"/>
    </row>
    <row r="6" spans="1:8" ht="19.5" x14ac:dyDescent="0.4">
      <c r="A6" s="509" t="s">
        <v>1083</v>
      </c>
      <c r="B6" s="509"/>
      <c r="C6" s="509"/>
      <c r="D6" s="509"/>
      <c r="E6" s="396"/>
      <c r="F6" s="396"/>
      <c r="G6" s="396"/>
    </row>
    <row r="7" spans="1:8" ht="19.5" x14ac:dyDescent="0.4">
      <c r="A7" s="366"/>
      <c r="B7" s="366"/>
      <c r="C7" s="366"/>
      <c r="D7" s="366"/>
      <c r="E7" s="396"/>
      <c r="F7" s="396"/>
      <c r="G7" s="396"/>
    </row>
    <row r="8" spans="1:8" ht="14.7" x14ac:dyDescent="0.4">
      <c r="A8" s="391"/>
      <c r="B8" s="392"/>
      <c r="C8" s="392"/>
      <c r="D8" s="392"/>
    </row>
    <row r="9" spans="1:8" ht="14.7" x14ac:dyDescent="0.45">
      <c r="A9" s="393" t="s">
        <v>1436</v>
      </c>
      <c r="B9" s="367"/>
      <c r="C9" s="270"/>
      <c r="D9" s="270"/>
    </row>
    <row r="11" spans="1:8" x14ac:dyDescent="0.4">
      <c r="A11" s="534"/>
      <c r="B11" s="534"/>
      <c r="C11" s="534"/>
      <c r="D11" s="534"/>
    </row>
    <row r="13" spans="1:8" x14ac:dyDescent="0.4">
      <c r="A13" s="395" t="s">
        <v>7</v>
      </c>
      <c r="B13" s="388" t="s">
        <v>1389</v>
      </c>
      <c r="C13" s="388" t="s">
        <v>1037</v>
      </c>
      <c r="D13" s="388" t="s">
        <v>1390</v>
      </c>
    </row>
    <row r="14" spans="1:8" x14ac:dyDescent="0.4">
      <c r="A14" s="394" t="s">
        <v>1391</v>
      </c>
      <c r="B14" s="389" t="s">
        <v>1392</v>
      </c>
      <c r="C14" s="28"/>
      <c r="D14" s="28"/>
    </row>
    <row r="15" spans="1:8" ht="27.6" x14ac:dyDescent="0.4">
      <c r="A15" s="205">
        <v>1</v>
      </c>
      <c r="B15" s="253" t="s">
        <v>1393</v>
      </c>
      <c r="C15" s="28" t="s">
        <v>557</v>
      </c>
      <c r="D15" s="28">
        <v>168</v>
      </c>
    </row>
    <row r="16" spans="1:8" x14ac:dyDescent="0.4">
      <c r="A16" s="205">
        <f>A15+1</f>
        <v>2</v>
      </c>
      <c r="B16" s="253" t="s">
        <v>1394</v>
      </c>
      <c r="C16" s="28" t="s">
        <v>557</v>
      </c>
      <c r="D16" s="28">
        <v>2</v>
      </c>
    </row>
    <row r="17" spans="1:4" x14ac:dyDescent="0.4">
      <c r="A17" s="205">
        <f>A16+1</f>
        <v>3</v>
      </c>
      <c r="B17" s="253" t="s">
        <v>1395</v>
      </c>
      <c r="C17" s="28" t="s">
        <v>557</v>
      </c>
      <c r="D17" s="28">
        <v>1</v>
      </c>
    </row>
    <row r="18" spans="1:4" ht="27.6" x14ac:dyDescent="0.4">
      <c r="A18" s="205">
        <f>A17+1</f>
        <v>4</v>
      </c>
      <c r="B18" s="253" t="s">
        <v>1396</v>
      </c>
      <c r="C18" s="28" t="s">
        <v>557</v>
      </c>
      <c r="D18" s="28">
        <v>1</v>
      </c>
    </row>
    <row r="19" spans="1:4" x14ac:dyDescent="0.4">
      <c r="A19" s="394" t="s">
        <v>1397</v>
      </c>
      <c r="B19" s="389" t="s">
        <v>1398</v>
      </c>
      <c r="C19" s="28"/>
      <c r="D19" s="28"/>
    </row>
    <row r="20" spans="1:4" ht="27.6" x14ac:dyDescent="0.4">
      <c r="A20" s="205">
        <v>1</v>
      </c>
      <c r="B20" s="253" t="s">
        <v>1399</v>
      </c>
      <c r="C20" s="28" t="s">
        <v>5</v>
      </c>
      <c r="D20" s="28">
        <v>500</v>
      </c>
    </row>
    <row r="21" spans="1:4" ht="27.6" x14ac:dyDescent="0.4">
      <c r="A21" s="205">
        <f>A20+1</f>
        <v>2</v>
      </c>
      <c r="B21" s="253" t="s">
        <v>1400</v>
      </c>
      <c r="C21" s="28" t="s">
        <v>5</v>
      </c>
      <c r="D21" s="28">
        <v>500</v>
      </c>
    </row>
    <row r="22" spans="1:4" ht="27.6" x14ac:dyDescent="0.4">
      <c r="A22" s="205">
        <f>A21+1</f>
        <v>3</v>
      </c>
      <c r="B22" s="253" t="s">
        <v>1401</v>
      </c>
      <c r="C22" s="28" t="s">
        <v>5</v>
      </c>
      <c r="D22" s="28">
        <v>110</v>
      </c>
    </row>
    <row r="23" spans="1:4" ht="27.6" x14ac:dyDescent="0.4">
      <c r="A23" s="205">
        <f>A22+1</f>
        <v>4</v>
      </c>
      <c r="B23" s="253" t="s">
        <v>1402</v>
      </c>
      <c r="C23" s="28" t="s">
        <v>5</v>
      </c>
      <c r="D23" s="28">
        <v>60</v>
      </c>
    </row>
    <row r="24" spans="1:4" ht="27.6" x14ac:dyDescent="0.4">
      <c r="A24" s="205">
        <f>A23+1</f>
        <v>5</v>
      </c>
      <c r="B24" s="253" t="s">
        <v>1403</v>
      </c>
      <c r="C24" s="28" t="s">
        <v>5</v>
      </c>
      <c r="D24" s="28">
        <v>20</v>
      </c>
    </row>
    <row r="25" spans="1:4" ht="27.6" x14ac:dyDescent="0.4">
      <c r="A25" s="205">
        <f>A24+1</f>
        <v>6</v>
      </c>
      <c r="B25" s="253" t="s">
        <v>1404</v>
      </c>
      <c r="C25" s="28" t="s">
        <v>1405</v>
      </c>
      <c r="D25" s="28">
        <v>30</v>
      </c>
    </row>
    <row r="26" spans="1:4" x14ac:dyDescent="0.4">
      <c r="A26" s="394" t="s">
        <v>1406</v>
      </c>
      <c r="B26" s="389" t="s">
        <v>1407</v>
      </c>
      <c r="C26" s="28"/>
      <c r="D26" s="28"/>
    </row>
    <row r="27" spans="1:4" ht="27.6" x14ac:dyDescent="0.4">
      <c r="A27" s="205">
        <v>1</v>
      </c>
      <c r="B27" s="253" t="s">
        <v>1408</v>
      </c>
      <c r="C27" s="28" t="s">
        <v>557</v>
      </c>
      <c r="D27" s="28">
        <v>2</v>
      </c>
    </row>
    <row r="28" spans="1:4" x14ac:dyDescent="0.4">
      <c r="A28" s="205">
        <v>2</v>
      </c>
      <c r="B28" s="253" t="s">
        <v>1409</v>
      </c>
      <c r="C28" s="28" t="s">
        <v>557</v>
      </c>
      <c r="D28" s="28">
        <v>2</v>
      </c>
    </row>
    <row r="29" spans="1:4" x14ac:dyDescent="0.4">
      <c r="A29" s="205">
        <v>3</v>
      </c>
      <c r="B29" s="253" t="s">
        <v>1410</v>
      </c>
      <c r="C29" s="28" t="s">
        <v>1055</v>
      </c>
      <c r="D29" s="28">
        <v>1</v>
      </c>
    </row>
    <row r="30" spans="1:4" x14ac:dyDescent="0.4">
      <c r="A30" s="394" t="s">
        <v>1411</v>
      </c>
      <c r="B30" s="389" t="s">
        <v>1412</v>
      </c>
      <c r="C30" s="28"/>
      <c r="D30" s="28"/>
    </row>
    <row r="31" spans="1:4" ht="27.6" x14ac:dyDescent="0.4">
      <c r="A31" s="205">
        <v>1</v>
      </c>
      <c r="B31" s="253" t="s">
        <v>1413</v>
      </c>
      <c r="C31" s="28" t="s">
        <v>5</v>
      </c>
      <c r="D31" s="28">
        <v>50</v>
      </c>
    </row>
    <row r="32" spans="1:4" ht="27.6" x14ac:dyDescent="0.4">
      <c r="A32" s="205">
        <f>A31+1</f>
        <v>2</v>
      </c>
      <c r="B32" s="253" t="s">
        <v>1414</v>
      </c>
      <c r="C32" s="28" t="s">
        <v>5</v>
      </c>
      <c r="D32" s="28">
        <v>250</v>
      </c>
    </row>
    <row r="33" spans="1:4" ht="27.6" x14ac:dyDescent="0.4">
      <c r="A33" s="205">
        <f>A32+1</f>
        <v>3</v>
      </c>
      <c r="B33" s="253" t="s">
        <v>1415</v>
      </c>
      <c r="C33" s="28" t="s">
        <v>5</v>
      </c>
      <c r="D33" s="28">
        <v>60</v>
      </c>
    </row>
    <row r="34" spans="1:4" x14ac:dyDescent="0.4">
      <c r="A34" s="132">
        <f t="shared" ref="A34:A39" si="0">A33+1</f>
        <v>4</v>
      </c>
      <c r="B34" s="234" t="s">
        <v>1416</v>
      </c>
      <c r="C34" s="28" t="s">
        <v>557</v>
      </c>
      <c r="D34" s="28">
        <v>4</v>
      </c>
    </row>
    <row r="35" spans="1:4" x14ac:dyDescent="0.4">
      <c r="A35" s="132">
        <f t="shared" si="0"/>
        <v>5</v>
      </c>
      <c r="B35" s="234" t="s">
        <v>1417</v>
      </c>
      <c r="C35" s="28" t="s">
        <v>557</v>
      </c>
      <c r="D35" s="28">
        <v>10</v>
      </c>
    </row>
    <row r="36" spans="1:4" ht="27.6" x14ac:dyDescent="0.4">
      <c r="A36" s="205">
        <f t="shared" si="0"/>
        <v>6</v>
      </c>
      <c r="B36" s="253" t="s">
        <v>1418</v>
      </c>
      <c r="C36" s="28" t="s">
        <v>1419</v>
      </c>
      <c r="D36" s="28">
        <v>1</v>
      </c>
    </row>
    <row r="37" spans="1:4" ht="27.6" x14ac:dyDescent="0.4">
      <c r="A37" s="205">
        <f t="shared" si="0"/>
        <v>7</v>
      </c>
      <c r="B37" s="253" t="s">
        <v>1420</v>
      </c>
      <c r="C37" s="28" t="s">
        <v>557</v>
      </c>
      <c r="D37" s="28">
        <v>500</v>
      </c>
    </row>
    <row r="38" spans="1:4" ht="27.6" x14ac:dyDescent="0.4">
      <c r="A38" s="205">
        <f t="shared" si="0"/>
        <v>8</v>
      </c>
      <c r="B38" s="234" t="s">
        <v>1421</v>
      </c>
      <c r="C38" s="28" t="s">
        <v>557</v>
      </c>
      <c r="D38" s="28">
        <v>24</v>
      </c>
    </row>
    <row r="39" spans="1:4" ht="27.6" x14ac:dyDescent="0.4">
      <c r="A39" s="205">
        <f t="shared" si="0"/>
        <v>9</v>
      </c>
      <c r="B39" s="253" t="s">
        <v>1422</v>
      </c>
      <c r="C39" s="28" t="s">
        <v>1419</v>
      </c>
      <c r="D39" s="28">
        <v>1</v>
      </c>
    </row>
    <row r="40" spans="1:4" x14ac:dyDescent="0.4">
      <c r="A40" s="394" t="s">
        <v>1411</v>
      </c>
      <c r="B40" s="389" t="s">
        <v>1423</v>
      </c>
      <c r="C40" s="28"/>
      <c r="D40" s="28"/>
    </row>
    <row r="41" spans="1:4" ht="27.6" x14ac:dyDescent="0.4">
      <c r="A41" s="205">
        <v>1</v>
      </c>
      <c r="B41" s="253" t="s">
        <v>1424</v>
      </c>
      <c r="C41" s="28" t="s">
        <v>5</v>
      </c>
      <c r="D41" s="28">
        <v>110</v>
      </c>
    </row>
    <row r="42" spans="1:4" ht="27.6" x14ac:dyDescent="0.4">
      <c r="A42" s="205">
        <v>2</v>
      </c>
      <c r="B42" s="253" t="s">
        <v>1425</v>
      </c>
      <c r="C42" s="28" t="s">
        <v>557</v>
      </c>
      <c r="D42" s="28">
        <v>2</v>
      </c>
    </row>
    <row r="43" spans="1:4" ht="27.6" x14ac:dyDescent="0.4">
      <c r="A43" s="205">
        <v>3</v>
      </c>
      <c r="B43" s="253" t="s">
        <v>1426</v>
      </c>
      <c r="C43" s="28" t="s">
        <v>557</v>
      </c>
      <c r="D43" s="28">
        <v>2</v>
      </c>
    </row>
    <row r="44" spans="1:4" x14ac:dyDescent="0.4">
      <c r="A44" s="394" t="s">
        <v>1427</v>
      </c>
      <c r="B44" s="389" t="s">
        <v>1428</v>
      </c>
      <c r="C44" s="28"/>
      <c r="D44" s="28"/>
    </row>
    <row r="45" spans="1:4" x14ac:dyDescent="0.4">
      <c r="A45" s="205">
        <v>1</v>
      </c>
      <c r="B45" s="234" t="s">
        <v>1429</v>
      </c>
      <c r="C45" s="28" t="s">
        <v>557</v>
      </c>
      <c r="D45" s="28">
        <v>3</v>
      </c>
    </row>
    <row r="46" spans="1:4" x14ac:dyDescent="0.45">
      <c r="A46" s="205">
        <f>A45+1</f>
        <v>2</v>
      </c>
      <c r="B46" s="390" t="s">
        <v>1430</v>
      </c>
      <c r="C46" s="28" t="s">
        <v>557</v>
      </c>
      <c r="D46" s="28">
        <v>28</v>
      </c>
    </row>
    <row r="47" spans="1:4" x14ac:dyDescent="0.45">
      <c r="A47" s="205">
        <f>A46+1</f>
        <v>3</v>
      </c>
      <c r="B47" s="390" t="s">
        <v>1431</v>
      </c>
      <c r="C47" s="28" t="s">
        <v>1432</v>
      </c>
      <c r="D47" s="28">
        <v>48</v>
      </c>
    </row>
    <row r="48" spans="1:4" x14ac:dyDescent="0.45">
      <c r="A48" s="205">
        <f>A47+1</f>
        <v>4</v>
      </c>
      <c r="B48" s="390" t="s">
        <v>1433</v>
      </c>
      <c r="C48" s="28" t="s">
        <v>1432</v>
      </c>
      <c r="D48" s="28">
        <v>72</v>
      </c>
    </row>
    <row r="51" spans="2:3" x14ac:dyDescent="0.45">
      <c r="B51" s="208" t="s">
        <v>1434</v>
      </c>
    </row>
    <row r="52" spans="2:3" x14ac:dyDescent="0.45">
      <c r="C52" s="249" t="s">
        <v>1437</v>
      </c>
    </row>
  </sheetData>
  <mergeCells count="3">
    <mergeCell ref="A11:D11"/>
    <mergeCell ref="A3:D3"/>
    <mergeCell ref="A6:D6"/>
  </mergeCells>
  <pageMargins left="0.51181102362204722" right="0.19685039370078741" top="0.19685039370078741" bottom="0.19685039370078741" header="0.31496062992125984" footer="0.31496062992125984"/>
  <pageSetup paperSize="9" scale="95"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7E24-9AF1-4690-A581-61A8CC5AF854}">
  <dimension ref="A1:H57"/>
  <sheetViews>
    <sheetView zoomScaleNormal="100" workbookViewId="0">
      <selection activeCell="N7" sqref="N7"/>
    </sheetView>
  </sheetViews>
  <sheetFormatPr defaultRowHeight="13.8" x14ac:dyDescent="0.4"/>
  <cols>
    <col min="1" max="1" width="3.38671875" style="265" customWidth="1"/>
    <col min="2" max="2" width="76.609375" style="207" customWidth="1"/>
    <col min="3" max="3" width="6.71875" style="224" customWidth="1"/>
    <col min="4" max="4" width="11.88671875" style="224" customWidth="1"/>
  </cols>
  <sheetData>
    <row r="1" spans="1:8" ht="19.5" x14ac:dyDescent="0.4">
      <c r="A1" s="41" t="s">
        <v>267</v>
      </c>
      <c r="B1" s="48"/>
      <c r="C1" s="89"/>
      <c r="D1" s="49"/>
      <c r="E1" s="396"/>
      <c r="F1" s="396"/>
      <c r="G1" s="224"/>
      <c r="H1" s="224"/>
    </row>
    <row r="2" spans="1:8" ht="14.7" x14ac:dyDescent="0.4">
      <c r="A2" s="51"/>
      <c r="B2" s="48"/>
      <c r="C2" s="89"/>
      <c r="D2" s="49"/>
      <c r="E2" s="224"/>
      <c r="F2" s="224"/>
      <c r="G2" s="224"/>
      <c r="H2" s="224"/>
    </row>
    <row r="3" spans="1:8" s="272" customFormat="1" ht="72.75" customHeight="1" x14ac:dyDescent="0.5">
      <c r="A3" s="452" t="s">
        <v>493</v>
      </c>
      <c r="B3" s="452"/>
      <c r="C3" s="452"/>
      <c r="D3" s="452"/>
      <c r="E3" s="271"/>
      <c r="F3" s="271"/>
      <c r="G3" s="271"/>
      <c r="H3" s="271"/>
    </row>
    <row r="4" spans="1:8" s="272" customFormat="1" ht="15" x14ac:dyDescent="0.5">
      <c r="A4" s="276"/>
      <c r="B4" s="277"/>
      <c r="C4" s="276"/>
      <c r="D4" s="276"/>
      <c r="E4" s="271"/>
      <c r="F4" s="271"/>
      <c r="G4" s="271"/>
      <c r="H4" s="271"/>
    </row>
    <row r="5" spans="1:8" s="272" customFormat="1" ht="15" x14ac:dyDescent="0.5">
      <c r="A5" s="276"/>
      <c r="B5" s="277"/>
      <c r="C5" s="276"/>
      <c r="D5" s="276"/>
      <c r="E5" s="271"/>
      <c r="F5" s="271"/>
      <c r="G5" s="271"/>
      <c r="H5" s="271"/>
    </row>
    <row r="6" spans="1:8" ht="19.5" x14ac:dyDescent="0.4">
      <c r="A6" s="509" t="s">
        <v>1083</v>
      </c>
      <c r="B6" s="509"/>
      <c r="C6" s="509"/>
      <c r="D6" s="509"/>
    </row>
    <row r="7" spans="1:8" ht="19.5" x14ac:dyDescent="0.4">
      <c r="A7" s="366"/>
      <c r="B7" s="366"/>
      <c r="C7" s="366"/>
      <c r="D7" s="366"/>
    </row>
    <row r="8" spans="1:8" ht="14.7" x14ac:dyDescent="0.4">
      <c r="A8" s="329" t="s">
        <v>1388</v>
      </c>
    </row>
    <row r="11" spans="1:8" ht="27.6" x14ac:dyDescent="0.4">
      <c r="A11" s="381" t="s">
        <v>7</v>
      </c>
      <c r="B11" s="380" t="s">
        <v>1123</v>
      </c>
      <c r="C11" s="380" t="s">
        <v>1338</v>
      </c>
      <c r="D11" s="380" t="s">
        <v>1339</v>
      </c>
    </row>
    <row r="12" spans="1:8" x14ac:dyDescent="0.4">
      <c r="A12" s="382"/>
      <c r="B12" s="376" t="s">
        <v>1340</v>
      </c>
      <c r="C12" s="28"/>
      <c r="D12" s="130"/>
    </row>
    <row r="13" spans="1:8" ht="14.25" customHeight="1" x14ac:dyDescent="0.4">
      <c r="A13" s="382">
        <v>1</v>
      </c>
      <c r="B13" s="374" t="s">
        <v>1341</v>
      </c>
      <c r="C13" s="378" t="s">
        <v>1</v>
      </c>
      <c r="D13" s="373">
        <v>3235</v>
      </c>
    </row>
    <row r="14" spans="1:8" x14ac:dyDescent="0.4">
      <c r="A14" s="382">
        <v>2</v>
      </c>
      <c r="B14" s="374" t="s">
        <v>1342</v>
      </c>
      <c r="C14" s="378" t="s">
        <v>1</v>
      </c>
      <c r="D14" s="373">
        <v>3235</v>
      </c>
    </row>
    <row r="15" spans="1:8" ht="14.25" customHeight="1" x14ac:dyDescent="0.4">
      <c r="A15" s="382">
        <v>3</v>
      </c>
      <c r="B15" s="374" t="s">
        <v>1343</v>
      </c>
      <c r="C15" s="378" t="s">
        <v>1</v>
      </c>
      <c r="D15" s="373">
        <v>1875</v>
      </c>
    </row>
    <row r="16" spans="1:8" ht="14.25" customHeight="1" x14ac:dyDescent="0.4">
      <c r="A16" s="382">
        <v>4</v>
      </c>
      <c r="B16" s="374" t="s">
        <v>1344</v>
      </c>
      <c r="C16" s="378" t="s">
        <v>1</v>
      </c>
      <c r="D16" s="373">
        <v>280</v>
      </c>
    </row>
    <row r="17" spans="1:4" x14ac:dyDescent="0.4">
      <c r="A17" s="382">
        <v>5</v>
      </c>
      <c r="B17" s="374" t="s">
        <v>1345</v>
      </c>
      <c r="C17" s="378" t="s">
        <v>1</v>
      </c>
      <c r="D17" s="373">
        <v>560</v>
      </c>
    </row>
    <row r="18" spans="1:4" x14ac:dyDescent="0.4">
      <c r="A18" s="382">
        <v>6</v>
      </c>
      <c r="B18" s="374" t="s">
        <v>1346</v>
      </c>
      <c r="C18" s="378" t="s">
        <v>1</v>
      </c>
      <c r="D18" s="373">
        <v>500</v>
      </c>
    </row>
    <row r="19" spans="1:4" x14ac:dyDescent="0.4">
      <c r="A19" s="382">
        <v>7</v>
      </c>
      <c r="B19" s="374" t="s">
        <v>1347</v>
      </c>
      <c r="C19" s="378" t="s">
        <v>1348</v>
      </c>
      <c r="D19" s="30">
        <v>496</v>
      </c>
    </row>
    <row r="20" spans="1:4" x14ac:dyDescent="0.4">
      <c r="A20" s="382">
        <v>8</v>
      </c>
      <c r="B20" s="374" t="s">
        <v>1349</v>
      </c>
      <c r="C20" s="378" t="s">
        <v>1348</v>
      </c>
      <c r="D20" s="30">
        <v>88.4</v>
      </c>
    </row>
    <row r="21" spans="1:4" x14ac:dyDescent="0.4">
      <c r="A21" s="382">
        <v>9</v>
      </c>
      <c r="B21" s="374" t="s">
        <v>1350</v>
      </c>
      <c r="C21" s="378" t="s">
        <v>1</v>
      </c>
      <c r="D21" s="373">
        <v>87</v>
      </c>
    </row>
    <row r="22" spans="1:4" x14ac:dyDescent="0.4">
      <c r="A22" s="382">
        <v>10</v>
      </c>
      <c r="B22" s="374" t="s">
        <v>1351</v>
      </c>
      <c r="C22" s="378" t="s">
        <v>557</v>
      </c>
      <c r="D22" s="373">
        <v>1</v>
      </c>
    </row>
    <row r="23" spans="1:4" x14ac:dyDescent="0.4">
      <c r="A23" s="382">
        <v>11</v>
      </c>
      <c r="B23" s="374" t="s">
        <v>1352</v>
      </c>
      <c r="C23" s="378" t="s">
        <v>1</v>
      </c>
      <c r="D23" s="373">
        <v>220</v>
      </c>
    </row>
    <row r="24" spans="1:4" x14ac:dyDescent="0.4">
      <c r="A24" s="382">
        <v>12</v>
      </c>
      <c r="B24" s="374" t="s">
        <v>1353</v>
      </c>
      <c r="C24" s="378" t="s">
        <v>1</v>
      </c>
      <c r="D24" s="373">
        <v>704</v>
      </c>
    </row>
    <row r="25" spans="1:4" x14ac:dyDescent="0.4">
      <c r="A25" s="382"/>
      <c r="B25" s="375" t="s">
        <v>1354</v>
      </c>
      <c r="C25" s="28"/>
      <c r="D25" s="130"/>
    </row>
    <row r="26" spans="1:4" ht="27.6" x14ac:dyDescent="0.4">
      <c r="A26" s="382">
        <v>13</v>
      </c>
      <c r="B26" s="374" t="s">
        <v>1355</v>
      </c>
      <c r="C26" s="378" t="s">
        <v>557</v>
      </c>
      <c r="D26" s="379">
        <v>20</v>
      </c>
    </row>
    <row r="27" spans="1:4" x14ac:dyDescent="0.4">
      <c r="A27" s="382">
        <v>14</v>
      </c>
      <c r="B27" s="374" t="s">
        <v>1356</v>
      </c>
      <c r="C27" s="378" t="s">
        <v>557</v>
      </c>
      <c r="D27" s="373">
        <v>8</v>
      </c>
    </row>
    <row r="28" spans="1:4" x14ac:dyDescent="0.4">
      <c r="A28" s="382">
        <v>15</v>
      </c>
      <c r="B28" s="374" t="s">
        <v>1357</v>
      </c>
      <c r="C28" s="378" t="s">
        <v>557</v>
      </c>
      <c r="D28" s="373">
        <v>20</v>
      </c>
    </row>
    <row r="29" spans="1:4" ht="27.6" x14ac:dyDescent="0.4">
      <c r="A29" s="382">
        <v>16</v>
      </c>
      <c r="B29" s="374" t="s">
        <v>1358</v>
      </c>
      <c r="C29" s="378" t="s">
        <v>557</v>
      </c>
      <c r="D29" s="373">
        <v>1</v>
      </c>
    </row>
    <row r="30" spans="1:4" ht="27.6" x14ac:dyDescent="0.4">
      <c r="A30" s="382">
        <v>17</v>
      </c>
      <c r="B30" s="374" t="s">
        <v>1359</v>
      </c>
      <c r="C30" s="378" t="s">
        <v>557</v>
      </c>
      <c r="D30" s="373">
        <v>1</v>
      </c>
    </row>
    <row r="31" spans="1:4" x14ac:dyDescent="0.4">
      <c r="A31" s="132"/>
      <c r="B31" s="376" t="s">
        <v>1360</v>
      </c>
      <c r="C31" s="28"/>
      <c r="D31" s="130"/>
    </row>
    <row r="32" spans="1:4" x14ac:dyDescent="0.4">
      <c r="A32" s="382">
        <v>18</v>
      </c>
      <c r="B32" s="374" t="s">
        <v>1361</v>
      </c>
      <c r="C32" s="378" t="s">
        <v>1</v>
      </c>
      <c r="D32" s="373">
        <v>2380</v>
      </c>
    </row>
    <row r="33" spans="1:4" x14ac:dyDescent="0.4">
      <c r="A33" s="382">
        <v>19</v>
      </c>
      <c r="B33" s="374" t="s">
        <v>1362</v>
      </c>
      <c r="C33" s="378" t="s">
        <v>1363</v>
      </c>
      <c r="D33" s="373">
        <v>238</v>
      </c>
    </row>
    <row r="34" spans="1:4" x14ac:dyDescent="0.4">
      <c r="A34" s="382">
        <v>20</v>
      </c>
      <c r="B34" s="374" t="s">
        <v>1364</v>
      </c>
      <c r="C34" s="378" t="s">
        <v>1363</v>
      </c>
      <c r="D34" s="373">
        <v>190.4</v>
      </c>
    </row>
    <row r="35" spans="1:4" x14ac:dyDescent="0.4">
      <c r="A35" s="382">
        <v>21</v>
      </c>
      <c r="B35" s="374" t="s">
        <v>1365</v>
      </c>
      <c r="C35" s="378" t="s">
        <v>1363</v>
      </c>
      <c r="D35" s="373">
        <v>47.6</v>
      </c>
    </row>
    <row r="36" spans="1:4" ht="27.6" x14ac:dyDescent="0.4">
      <c r="A36" s="382">
        <v>22</v>
      </c>
      <c r="B36" s="374" t="s">
        <v>1366</v>
      </c>
      <c r="C36" s="378" t="s">
        <v>1</v>
      </c>
      <c r="D36" s="373">
        <v>2380</v>
      </c>
    </row>
    <row r="37" spans="1:4" x14ac:dyDescent="0.4">
      <c r="A37" s="382">
        <v>23</v>
      </c>
      <c r="B37" s="374" t="s">
        <v>1367</v>
      </c>
      <c r="C37" s="378" t="s">
        <v>557</v>
      </c>
      <c r="D37" s="373">
        <v>74</v>
      </c>
    </row>
    <row r="38" spans="1:4" x14ac:dyDescent="0.4">
      <c r="A38" s="382">
        <v>24</v>
      </c>
      <c r="B38" s="374" t="s">
        <v>1368</v>
      </c>
      <c r="C38" s="378" t="s">
        <v>557</v>
      </c>
      <c r="D38" s="373">
        <v>13</v>
      </c>
    </row>
    <row r="39" spans="1:4" x14ac:dyDescent="0.4">
      <c r="A39" s="382">
        <v>25</v>
      </c>
      <c r="B39" s="374" t="s">
        <v>1369</v>
      </c>
      <c r="C39" s="378" t="s">
        <v>557</v>
      </c>
      <c r="D39" s="373">
        <v>1130</v>
      </c>
    </row>
    <row r="40" spans="1:4" x14ac:dyDescent="0.4">
      <c r="A40" s="382">
        <v>26</v>
      </c>
      <c r="B40" s="374" t="s">
        <v>1370</v>
      </c>
      <c r="C40" s="378" t="s">
        <v>557</v>
      </c>
      <c r="D40" s="373">
        <v>87</v>
      </c>
    </row>
    <row r="41" spans="1:4" x14ac:dyDescent="0.4">
      <c r="A41" s="382">
        <v>27</v>
      </c>
      <c r="B41" s="374" t="s">
        <v>1371</v>
      </c>
      <c r="C41" s="378" t="s">
        <v>1363</v>
      </c>
      <c r="D41" s="373">
        <v>4.5</v>
      </c>
    </row>
    <row r="42" spans="1:4" x14ac:dyDescent="0.4">
      <c r="A42" s="382">
        <v>28</v>
      </c>
      <c r="B42" s="36" t="s">
        <v>1372</v>
      </c>
      <c r="C42" s="378" t="s">
        <v>907</v>
      </c>
      <c r="D42" s="373">
        <v>1</v>
      </c>
    </row>
    <row r="43" spans="1:4" x14ac:dyDescent="0.4">
      <c r="A43" s="132"/>
      <c r="B43" s="376" t="s">
        <v>1373</v>
      </c>
      <c r="C43" s="28"/>
      <c r="D43" s="130"/>
    </row>
    <row r="44" spans="1:4" x14ac:dyDescent="0.4">
      <c r="A44" s="382">
        <v>29</v>
      </c>
      <c r="B44" s="374" t="s">
        <v>1374</v>
      </c>
      <c r="C44" s="378" t="s">
        <v>557</v>
      </c>
      <c r="D44" s="373">
        <v>2</v>
      </c>
    </row>
    <row r="45" spans="1:4" x14ac:dyDescent="0.4">
      <c r="A45" s="382">
        <v>30</v>
      </c>
      <c r="B45" s="374" t="s">
        <v>1375</v>
      </c>
      <c r="C45" s="378" t="s">
        <v>557</v>
      </c>
      <c r="D45" s="373">
        <v>11</v>
      </c>
    </row>
    <row r="46" spans="1:4" x14ac:dyDescent="0.4">
      <c r="A46" s="382">
        <v>31</v>
      </c>
      <c r="B46" s="374" t="s">
        <v>1376</v>
      </c>
      <c r="C46" s="378" t="s">
        <v>557</v>
      </c>
      <c r="D46" s="373">
        <v>3</v>
      </c>
    </row>
    <row r="47" spans="1:4" x14ac:dyDescent="0.4">
      <c r="A47" s="382">
        <v>32</v>
      </c>
      <c r="B47" s="374" t="s">
        <v>1377</v>
      </c>
      <c r="C47" s="378" t="s">
        <v>557</v>
      </c>
      <c r="D47" s="373">
        <v>14</v>
      </c>
    </row>
    <row r="48" spans="1:4" x14ac:dyDescent="0.4">
      <c r="A48" s="382">
        <v>33</v>
      </c>
      <c r="B48" s="374" t="s">
        <v>1378</v>
      </c>
      <c r="C48" s="378" t="s">
        <v>557</v>
      </c>
      <c r="D48" s="373">
        <v>4</v>
      </c>
    </row>
    <row r="49" spans="1:4" x14ac:dyDescent="0.4">
      <c r="A49" s="382">
        <v>34</v>
      </c>
      <c r="B49" s="374" t="s">
        <v>1379</v>
      </c>
      <c r="C49" s="378" t="s">
        <v>557</v>
      </c>
      <c r="D49" s="373">
        <v>8</v>
      </c>
    </row>
    <row r="50" spans="1:4" x14ac:dyDescent="0.4">
      <c r="A50" s="382">
        <v>35</v>
      </c>
      <c r="B50" s="374" t="s">
        <v>1380</v>
      </c>
      <c r="C50" s="378" t="s">
        <v>557</v>
      </c>
      <c r="D50" s="373">
        <v>7</v>
      </c>
    </row>
    <row r="51" spans="1:4" x14ac:dyDescent="0.4">
      <c r="A51" s="382">
        <v>36</v>
      </c>
      <c r="B51" s="374" t="s">
        <v>1381</v>
      </c>
      <c r="C51" s="378" t="s">
        <v>557</v>
      </c>
      <c r="D51" s="373">
        <v>7</v>
      </c>
    </row>
    <row r="52" spans="1:4" x14ac:dyDescent="0.4">
      <c r="A52" s="382">
        <v>37</v>
      </c>
      <c r="B52" s="374" t="s">
        <v>1382</v>
      </c>
      <c r="C52" s="378" t="s">
        <v>557</v>
      </c>
      <c r="D52" s="373">
        <v>21</v>
      </c>
    </row>
    <row r="53" spans="1:4" x14ac:dyDescent="0.4">
      <c r="A53" s="382">
        <v>38</v>
      </c>
      <c r="B53" s="374" t="s">
        <v>1383</v>
      </c>
      <c r="C53" s="378" t="s">
        <v>557</v>
      </c>
      <c r="D53" s="373">
        <v>1</v>
      </c>
    </row>
    <row r="54" spans="1:4" x14ac:dyDescent="0.4">
      <c r="A54" s="382">
        <v>39</v>
      </c>
      <c r="B54" s="374" t="s">
        <v>1384</v>
      </c>
      <c r="C54" s="378" t="s">
        <v>557</v>
      </c>
      <c r="D54" s="373">
        <v>2</v>
      </c>
    </row>
    <row r="55" spans="1:4" x14ac:dyDescent="0.4">
      <c r="A55" s="382">
        <v>40</v>
      </c>
      <c r="B55" s="374" t="s">
        <v>1385</v>
      </c>
      <c r="C55" s="378" t="s">
        <v>557</v>
      </c>
      <c r="D55" s="373">
        <v>4</v>
      </c>
    </row>
    <row r="56" spans="1:4" x14ac:dyDescent="0.4">
      <c r="A56" s="382">
        <v>41</v>
      </c>
      <c r="B56" s="374" t="s">
        <v>1386</v>
      </c>
      <c r="C56" s="378" t="s">
        <v>557</v>
      </c>
      <c r="D56" s="373">
        <v>3</v>
      </c>
    </row>
    <row r="57" spans="1:4" x14ac:dyDescent="0.4">
      <c r="A57" s="382">
        <v>42</v>
      </c>
      <c r="B57" s="374" t="s">
        <v>1387</v>
      </c>
      <c r="C57" s="378" t="s">
        <v>557</v>
      </c>
      <c r="D57" s="373">
        <v>1130</v>
      </c>
    </row>
  </sheetData>
  <mergeCells count="2">
    <mergeCell ref="A3:D3"/>
    <mergeCell ref="A6:D6"/>
  </mergeCells>
  <pageMargins left="0.51181102362204722" right="0.19685039370078741" top="0.19685039370078741" bottom="0.19685039370078741" header="0.31496062992125984" footer="0.31496062992125984"/>
  <pageSetup paperSize="9" scale="9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Обобщена КС</vt:lpstr>
      <vt:lpstr>Подробна КС -част АС</vt:lpstr>
      <vt:lpstr>КС - Конструкции</vt:lpstr>
      <vt:lpstr>Подробна КС- част ВиК</vt:lpstr>
      <vt:lpstr>КС - част ЕЛ</vt:lpstr>
      <vt:lpstr>КС-технол. Кухня и мокър бюфет</vt:lpstr>
      <vt:lpstr>КС- технология басейни</vt:lpstr>
      <vt:lpstr>КС- част ОВК</vt:lpstr>
      <vt:lpstr>КС - фотоволтаична сист.</vt:lpstr>
      <vt:lpstr>КС-паркоустр.и благоустройстр.</vt:lpstr>
      <vt:lpstr>'КС-паркоустр.и благоустройстр.'!Print_Area</vt:lpstr>
      <vt:lpstr>'Подробна КС -част АС'!Print_Area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Ognyan Chakarov</cp:lastModifiedBy>
  <cp:lastPrinted>2026-09-16T08:52:48Z</cp:lastPrinted>
  <dcterms:created xsi:type="dcterms:W3CDTF">2003-04-23T05:40:34Z</dcterms:created>
  <dcterms:modified xsi:type="dcterms:W3CDTF">2026-10-04T16:47:22Z</dcterms:modified>
</cp:coreProperties>
</file>