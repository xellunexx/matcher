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 Obs\Desktop\Нова папка (2)\slynche\"/>
    </mc:Choice>
  </mc:AlternateContent>
  <xr:revisionPtr revIDLastSave="0" documentId="13_ncr:1_{5E6E1D75-7CBC-45ED-B47D-ED50A384E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СС" sheetId="4" r:id="rId1"/>
  </sheets>
  <definedNames>
    <definedName name="_xlnm.Print_Titles" localSheetId="0">КСС!$4:$4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5" i="4" l="1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7" i="4"/>
  <c r="H76" i="4"/>
  <c r="H75" i="4"/>
  <c r="H74" i="4"/>
  <c r="H73" i="4"/>
  <c r="H72" i="4"/>
  <c r="H71" i="4"/>
  <c r="H70" i="4"/>
  <c r="H69" i="4"/>
  <c r="H68" i="4"/>
  <c r="H67" i="4"/>
  <c r="H65" i="4"/>
  <c r="H64" i="4"/>
  <c r="H63" i="4"/>
  <c r="H62" i="4"/>
  <c r="H61" i="4"/>
  <c r="H60" i="4"/>
  <c r="H19" i="4"/>
  <c r="H462" i="4"/>
  <c r="H10" i="4" l="1"/>
  <c r="H11" i="4"/>
  <c r="H12" i="4"/>
  <c r="H13" i="4"/>
  <c r="H14" i="4"/>
  <c r="H15" i="4"/>
  <c r="H16" i="4"/>
  <c r="H17" i="4"/>
  <c r="H18" i="4"/>
  <c r="H20" i="4"/>
  <c r="H21" i="4"/>
  <c r="H23" i="4"/>
  <c r="H24" i="4"/>
  <c r="H25" i="4"/>
  <c r="H27" i="4"/>
  <c r="H28" i="4"/>
  <c r="H30" i="4"/>
  <c r="H31" i="4"/>
  <c r="H32" i="4"/>
  <c r="H33" i="4"/>
  <c r="H35" i="4"/>
  <c r="H36" i="4"/>
  <c r="H37" i="4"/>
  <c r="H38" i="4"/>
  <c r="H39" i="4"/>
  <c r="H40" i="4"/>
  <c r="H41" i="4"/>
  <c r="H42" i="4"/>
  <c r="H44" i="4"/>
  <c r="H45" i="4"/>
  <c r="H46" i="4"/>
  <c r="H47" i="4"/>
  <c r="H48" i="4"/>
  <c r="H49" i="4"/>
  <c r="H51" i="4"/>
  <c r="H52" i="4"/>
  <c r="H53" i="4"/>
  <c r="H54" i="4"/>
  <c r="H55" i="4"/>
  <c r="H56" i="4"/>
  <c r="H57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2" i="4"/>
  <c r="H183" i="4"/>
  <c r="H184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6" i="4"/>
  <c r="H247" i="4"/>
  <c r="H248" i="4"/>
  <c r="H249" i="4"/>
  <c r="H250" i="4"/>
  <c r="H251" i="4"/>
  <c r="H252" i="4"/>
  <c r="H253" i="4"/>
  <c r="H254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1" i="4"/>
  <c r="H272" i="4"/>
  <c r="H273" i="4"/>
  <c r="H274" i="4"/>
  <c r="H275" i="4"/>
  <c r="H276" i="4"/>
  <c r="H277" i="4"/>
  <c r="H278" i="4"/>
  <c r="H279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7" i="4"/>
  <c r="H298" i="4"/>
  <c r="H299" i="4"/>
  <c r="H300" i="4"/>
  <c r="H301" i="4"/>
  <c r="H302" i="4"/>
  <c r="H303" i="4"/>
  <c r="H304" i="4"/>
  <c r="H305" i="4"/>
  <c r="H306" i="4"/>
  <c r="H308" i="4"/>
  <c r="H309" i="4"/>
  <c r="H313" i="4"/>
  <c r="H315" i="4"/>
  <c r="H316" i="4"/>
  <c r="H317" i="4"/>
  <c r="H318" i="4"/>
  <c r="H319" i="4"/>
  <c r="H320" i="4"/>
  <c r="H321" i="4"/>
  <c r="H322" i="4"/>
  <c r="H323" i="4"/>
  <c r="H324" i="4"/>
  <c r="H327" i="4"/>
  <c r="H329" i="4"/>
  <c r="H330" i="4"/>
  <c r="H331" i="4"/>
  <c r="H332" i="4"/>
  <c r="H333" i="4"/>
  <c r="H335" i="4"/>
  <c r="H336" i="4"/>
  <c r="H337" i="4"/>
  <c r="H339" i="4"/>
  <c r="H340" i="4"/>
  <c r="H341" i="4"/>
  <c r="H342" i="4"/>
  <c r="H343" i="4"/>
  <c r="H345" i="4"/>
  <c r="H346" i="4"/>
  <c r="H347" i="4"/>
  <c r="H349" i="4"/>
  <c r="H350" i="4"/>
  <c r="H351" i="4"/>
  <c r="H353" i="4"/>
  <c r="H354" i="4"/>
  <c r="H355" i="4"/>
  <c r="H357" i="4"/>
  <c r="H358" i="4"/>
  <c r="H359" i="4"/>
  <c r="H360" i="4"/>
  <c r="H362" i="4"/>
  <c r="H363" i="4"/>
  <c r="H364" i="4"/>
  <c r="H365" i="4"/>
  <c r="H367" i="4"/>
  <c r="H368" i="4"/>
  <c r="H369" i="4"/>
  <c r="H371" i="4"/>
  <c r="H372" i="4"/>
  <c r="H373" i="4"/>
  <c r="H374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5" i="4"/>
  <c r="H406" i="4"/>
  <c r="H407" i="4"/>
  <c r="H408" i="4"/>
  <c r="H409" i="4"/>
  <c r="H410" i="4"/>
  <c r="H411" i="4"/>
  <c r="H412" i="4"/>
  <c r="H413" i="4"/>
  <c r="H414" i="4"/>
  <c r="H415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3" i="4"/>
  <c r="H464" i="4"/>
  <c r="H9" i="4"/>
  <c r="F78" i="4" l="1"/>
  <c r="F66" i="4"/>
  <c r="F59" i="4"/>
  <c r="F58" i="4" l="1"/>
  <c r="H466" i="4" l="1"/>
  <c r="H467" i="4" s="1"/>
</calcChain>
</file>

<file path=xl/sharedStrings.xml><?xml version="1.0" encoding="utf-8"?>
<sst xmlns="http://schemas.openxmlformats.org/spreadsheetml/2006/main" count="1469" uniqueCount="858">
  <si>
    <t>Наименование</t>
  </si>
  <si>
    <t>Част „Архитектура“</t>
  </si>
  <si>
    <t>I</t>
  </si>
  <si>
    <t>II</t>
  </si>
  <si>
    <t>III</t>
  </si>
  <si>
    <t>IV</t>
  </si>
  <si>
    <t>VI</t>
  </si>
  <si>
    <t>VII</t>
  </si>
  <si>
    <t>Част „Водоснабдяване и канализация“</t>
  </si>
  <si>
    <t>1.1</t>
  </si>
  <si>
    <t>1.2</t>
  </si>
  <si>
    <t>1.3</t>
  </si>
  <si>
    <t>Ед. мярка</t>
  </si>
  <si>
    <t>К-во</t>
  </si>
  <si>
    <t>№ подч.</t>
  </si>
  <si>
    <t>Характеристика</t>
  </si>
  <si>
    <t>Настилки</t>
  </si>
  <si>
    <t>бр.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</si>
  <si>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</si>
  <si>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</si>
  <si>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</si>
  <si>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</si>
  <si>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</si>
  <si>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</si>
  <si>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</si>
  <si>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</si>
  <si>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</si>
  <si>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Пейки</t>
  </si>
  <si>
    <t>Алеи</t>
  </si>
  <si>
    <t>Стълбищни групи</t>
  </si>
  <si>
    <t>Почвоподготовка</t>
  </si>
  <si>
    <t>Засаждане и укрепване на едроразмерна иглолистна растителност</t>
  </si>
  <si>
    <t>Иглолистни дървета</t>
  </si>
  <si>
    <t>Широколистни дървета</t>
  </si>
  <si>
    <t>ДДС 20%:</t>
  </si>
  <si>
    <t>Част „Конструкции“</t>
  </si>
  <si>
    <t>Труд и засаждане на растителен материал</t>
  </si>
  <si>
    <t>1.13</t>
  </si>
  <si>
    <t>Част „Паркоустройство и Благоустройство“</t>
  </si>
  <si>
    <t>Част „Автоматизирана поливна система“ и Технология - Фонтан</t>
  </si>
  <si>
    <t>Част „Електрическа“</t>
  </si>
  <si>
    <t>1.</t>
  </si>
  <si>
    <t>2.</t>
  </si>
  <si>
    <t>Рехабилитационна площадка</t>
  </si>
  <si>
    <t>2.1</t>
  </si>
  <si>
    <t>2.2</t>
  </si>
  <si>
    <t>2.3</t>
  </si>
  <si>
    <t>3.</t>
  </si>
  <si>
    <t>3.1</t>
  </si>
  <si>
    <t>3.2</t>
  </si>
  <si>
    <t>3.3</t>
  </si>
  <si>
    <t>4.</t>
  </si>
  <si>
    <t>Ударопоглъщаща настилка</t>
  </si>
  <si>
    <t>4.1</t>
  </si>
  <si>
    <t>Затревяване</t>
  </si>
  <si>
    <t>4.2</t>
  </si>
  <si>
    <t>4.3</t>
  </si>
  <si>
    <t>Засаждане и укрепване на едроразмерна широколистна растителност</t>
  </si>
  <si>
    <t>4.4</t>
  </si>
  <si>
    <t>Засаждане на храсти, декоративни треви и увивна растителност</t>
  </si>
  <si>
    <t>4.5</t>
  </si>
  <si>
    <t>Растителен материал</t>
  </si>
  <si>
    <t>Храсти, декоративни треви и увивна растителност</t>
  </si>
  <si>
    <t>Паркова мебел</t>
  </si>
  <si>
    <t>1.1.1</t>
  </si>
  <si>
    <t>1.1.2</t>
  </si>
  <si>
    <t>Пейки върху подпорна стена</t>
  </si>
  <si>
    <t>Фонтан-чешма с включена доставка и монаж</t>
  </si>
  <si>
    <t>Метално кошче за отпадъци с включена доставка и монтаж</t>
  </si>
  <si>
    <t>Автоматизирана поливна система</t>
  </si>
  <si>
    <t>Фонтан</t>
  </si>
  <si>
    <t>Земни работи</t>
  </si>
  <si>
    <t>Армировъчни работи</t>
  </si>
  <si>
    <t>5.</t>
  </si>
  <si>
    <t>Кофражни работи</t>
  </si>
  <si>
    <t>Бетонови работи</t>
  </si>
  <si>
    <t>Стоманена конструкция</t>
  </si>
  <si>
    <t>Площадкова канализация - битова</t>
  </si>
  <si>
    <t>Площадков водопровод</t>
  </si>
  <si>
    <t>m</t>
  </si>
  <si>
    <t>Фотоволтаична централа</t>
  </si>
  <si>
    <t>Видеонаблюдение</t>
  </si>
  <si>
    <t>Електрическа инсталация с осветление</t>
  </si>
  <si>
    <t>Трасиране на кабелна линия</t>
  </si>
  <si>
    <t>Направа на изкоп със извозване и складиране на земна маса, обратно засипване и трамбоване</t>
  </si>
  <si>
    <t>Доставка и монтаж на фабрична кабелна шахта, в комплект с капак</t>
  </si>
  <si>
    <t>Доставка и полагане на гофрирана тръба</t>
  </si>
  <si>
    <t>Доставка и полагане на PVC сигнална лента</t>
  </si>
  <si>
    <t>Изкопаване на земна маса и направа на фундамент за стълб за алейно осветление по изисквания на производителя</t>
  </si>
  <si>
    <t>Доставка и монтаж на клемна кутия с автоматичен прекъсвач за монтаж в стълб от алейното осветление</t>
  </si>
  <si>
    <t>Доставка и полагане на кабел СВТ 3x1,5mm²</t>
  </si>
  <si>
    <t>Доставка и изтегляне на кабел САВТ 5x4mm²</t>
  </si>
  <si>
    <t>Доставка и монтаж на ел. Табло Тпарк, в комплект с изготвяне на монтажен фундамент</t>
  </si>
  <si>
    <t>Доставка и монтаж на ел. Табло ТЕПО, в комплект с изготвяне на монтажен фундамент</t>
  </si>
  <si>
    <t>Доставка и полагане на неръждаема шина</t>
  </si>
  <si>
    <t>Доставка и направа на заземител от комплект заземителни колове от неръждаема стомана, забити вертикално</t>
  </si>
  <si>
    <t>Доставка и монтаж на неръждаеми клеми за връзка</t>
  </si>
  <si>
    <t>Доставка и монтаж на неръждаеми клеми за връзка  шина към метална конструкция</t>
  </si>
  <si>
    <t>Измерване на преходното съпротивление на заземителната инсталация от акредитирана лаборатория</t>
  </si>
  <si>
    <t>Протокол за измерване на импеданса на контура фаза - защитен проводник от акредитирана лаборатория</t>
  </si>
  <si>
    <t>1.14</t>
  </si>
  <si>
    <t>1.15</t>
  </si>
  <si>
    <t>1.16</t>
  </si>
  <si>
    <t>1.17</t>
  </si>
  <si>
    <t>1.18</t>
  </si>
  <si>
    <t>1.19</t>
  </si>
  <si>
    <t xml:space="preserve">Доставка и монтаж на мегапикселова камера Ден/Нощ; 2.0 Мегапиксел (Full HD 1920×1080@25 кад/сек); 1/2.8" Progressive Scan CMOS сензор; 0.01lux; IP осв. до 50м; варифокален обектив (2.8-12 mm)/F1.2 с дистанционна настройка (Smart Focus); механичен IP филтър; H.264/MJPEG tri-stream компресия; алармен вход/изход; 120db WRD, Интелигентни функции: пресичане на линия, навлизане в зона, оставен/изчезнал предмет/детекция на лица/; слот за SD карта (до 64GB); външен монтаж IP67 от -30°С до +60°С, 12Vdc/Poe, в комплект със стойка със скрито окабеляване; </t>
  </si>
  <si>
    <t>Доставка и монтаж на 8-канален мрежови рекордер/сървър; поддържа 8 IP  камери; входящ капацитет до 200Mbps; компресия H.264; USB2.0 порт; до 4xSATA твърди диска (до 4TB/диск); 16 алармени входа/4 изхода; HDMI + VGA мониторен изход; управление с мишка; регулируем обем на трафика по мрежата на всеки канал; наблюдение през Intermet/LAN/мобилен телефон; безплатен CMS софтуер, без HDD, 19"/1.5U rackmount</t>
  </si>
  <si>
    <t>Доставка и монтаж на твърд диск 4000GB</t>
  </si>
  <si>
    <t>Доставка и монтаж на оптичен разпределителен ODF панел 4 порта, 1U, в комплект със сплайс касета 4 влакна</t>
  </si>
  <si>
    <t>Доставка и монтаж на метална китуя за медия конвертор, съдържаща:
- метална кутия, IP66, с размери 600х400х250mm
- оптична кутия със сплайс касета 4 влакна
- комутатор 8-port 10/100Mbps with PoE + 1-port 100FX(SFP), industrial Ethernet Switch,  от -40°С до +75°С
- захранващ блок за монтаж на DIN шина, 48Vdc/120W/2.5A
- Автоматичен прекъсвач 6А/230Vac
- Клеморед за кабел 2.5mm2, комплект 10бр.
- Перфорирана DIN шина с дължина 0.3m</t>
  </si>
  <si>
    <t xml:space="preserve">Доставка и монтаж на LCD monitor 27"  </t>
  </si>
  <si>
    <t>Доставка и монтаж на Кабел S/FTP cat.6</t>
  </si>
  <si>
    <t>Доставка и монтаж. Гофрирани тръби ø25</t>
  </si>
  <si>
    <t>Доставка и монтаж на крепежни елементи, щуцери и спомагателни материали, комплект</t>
  </si>
  <si>
    <t>Доставка и инсталация. Софтуер за мрежово наблюдение на станциите за видеонаблюдение. Интегриране на система към съществуващите</t>
  </si>
  <si>
    <t>Тестване и сертифициране на системата</t>
  </si>
  <si>
    <t>Пускане на системата в експлоатация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</si>
  <si>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</si>
  <si>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</si>
  <si>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</si>
  <si>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</si>
  <si>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</si>
  <si>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</si>
  <si>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</si>
  <si>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</si>
  <si>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</si>
  <si>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</si>
  <si>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</si>
  <si>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к-т</t>
  </si>
  <si>
    <t>Доставка и монтаж на фотоволтаичнен модул, 560 Wp</t>
  </si>
  <si>
    <t>Доставка и монтаж на стрингов инвертор</t>
  </si>
  <si>
    <t>Доставка и полагане на постояннотоков кабел тип PV1-F 4 mm2</t>
  </si>
  <si>
    <t>Доставка и монтаж на конектор MC4 – комплект (мъжки+женски)</t>
  </si>
  <si>
    <t>Доставка и полагане гофрирана PVC тръба, UV защита OD/ID 40/32</t>
  </si>
  <si>
    <t>Доставка и монтаж на силов кабел тип СВТ 4x10mm2</t>
  </si>
  <si>
    <t>Доставка и монтаж на ел. Табло ФЕЦ</t>
  </si>
  <si>
    <t>Доставка и полагане заземителен кабел H07V-K 1x16mm2</t>
  </si>
  <si>
    <t>Доставка и монтаж телескопичен заземителен кол L 1500mm, Ф20мм</t>
  </si>
  <si>
    <t>Доставка и монтаж мултиклема за връзка между проводник AlMgSi ø8 и горещопоцинкована шина 40/4</t>
  </si>
  <si>
    <t>Доставка и монтаж мултиклема за връзка между проводници AlMgSi ø8</t>
  </si>
  <si>
    <t>Заземителен проводник AlMgSi Ф8</t>
  </si>
  <si>
    <t>ОБЩА КОЛИЧЕСТВЕНО-СТОЙНОСТНА СМЕТКА</t>
  </si>
  <si>
    <t>Обект: Градска градина "Слънце", находяща се в ПИ 56126.600.205, гр. Петрич</t>
  </si>
  <si>
    <t>Дезинфекция на водопровод</t>
  </si>
  <si>
    <t>Изпитване на якост и 72-часови проби на водопровода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</si>
  <si>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</si>
  <si>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</si>
  <si>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</si>
  <si>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</si>
  <si>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</si>
  <si>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</si>
  <si>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</si>
  <si>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</si>
  <si>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</si>
  <si>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</si>
  <si>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</si>
  <si>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</si>
  <si>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</si>
  <si>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</si>
  <si>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</si>
  <si>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</si>
  <si>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</si>
  <si>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</si>
  <si>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</si>
  <si>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</si>
  <si>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</si>
  <si>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</si>
  <si>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</si>
  <si>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</si>
  <si>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m³</t>
  </si>
  <si>
    <t>m²</t>
  </si>
  <si>
    <t>Доставка и монтаж на полиетиленови тръби висока плътност DN20мм PN16 вкл.фитинги; Dвънш.=20мм, d=2мм, Dвътр.=16мм</t>
  </si>
  <si>
    <t>Доставка и монтаж на полиетиленови тръби висока плътност DN25мм PN10 вкл.фитинги; Dвънш.=25мм, d=2,3мм, Dвътр.=20,4мм</t>
  </si>
  <si>
    <t>Доставка и монтаж на полиетиленови тръби висока плътност DN32мм PN10 вкл.фитинги; Dвънш.=32мм, d=2мм, Dвътр.=28мм</t>
  </si>
  <si>
    <t>Доставка и монтаж на водовземна скоба ∅100/1"</t>
  </si>
  <si>
    <t>Доставка и монтаж на опорен блок</t>
  </si>
  <si>
    <t>Доставка и монтаж на тротоарен спирателен кран ∅1'' с охранителна гарнитура</t>
  </si>
  <si>
    <t>Доставка и монтаж на тротоарен спирателен кран ∅3/4" с охранителна гарнитура</t>
  </si>
  <si>
    <t>Направа на водомерна шахта по детайл</t>
  </si>
  <si>
    <t>Доставка и монтаж на коляно намалител DN32/DN25</t>
  </si>
  <si>
    <t>Доставка и монтаж на спирателен кран без изпразнител ∅1"</t>
  </si>
  <si>
    <t>Доставка и монтаж на мрежест филтър ∅1"</t>
  </si>
  <si>
    <t>Доставка и монтаж на водомер DN20 - Qз=4m3/h с възможност за дистанционно отчитане</t>
  </si>
  <si>
    <t>Доставка и монтаж на водомер DN15 - Qз=2,5m3/h с възможност за дистанционно отчитане</t>
  </si>
  <si>
    <t>Доставка и монтаж на водомерна шахта ф400 - готово изделие, комплект</t>
  </si>
  <si>
    <t>Доставка и монтаж на възвратна клапа DN20</t>
  </si>
  <si>
    <t>Доставка и монтаж на спирателен кран с изпразнител DN20</t>
  </si>
  <si>
    <t>Доставка и монтаж на възвратна клапа ∅1"</t>
  </si>
  <si>
    <t>Доставка и монтаж на спирателен кран с изпразнител ∅1"</t>
  </si>
  <si>
    <t>Пясъчна подложка 15см</t>
  </si>
  <si>
    <t>Обратна засипка от пясък 25см</t>
  </si>
  <si>
    <t xml:space="preserve">Обратна засипка с баластра </t>
  </si>
  <si>
    <t>Изкоп с ширина 1,00м и средна дълбочина 1,40м</t>
  </si>
  <si>
    <t>Извозване на земна маса на 15 км</t>
  </si>
  <si>
    <t>Доставка и монтаж на сигнална лента</t>
  </si>
  <si>
    <t xml:space="preserve">Доставка и монтаж на детекторна лента </t>
  </si>
  <si>
    <t>4.6</t>
  </si>
  <si>
    <t>4.7</t>
  </si>
  <si>
    <t>4.8</t>
  </si>
  <si>
    <t>4.9</t>
  </si>
  <si>
    <t>4.10</t>
  </si>
  <si>
    <t>Доставка и монтаж на усилени PVC-U тръби DN110; SN10 вкл.фитинги; Dвънш.=110мм, d=3,2мм, Dвътр.=103,6мм</t>
  </si>
  <si>
    <t>Доставка и монтаж на усилени PVC-U тръби DN160; SN10 вкл.фитинги; Dвънш.=160мм, d=4,7мм, Dвътр.=150,6мм</t>
  </si>
  <si>
    <t>Доставка и монтаж на подов сифон DN100 /във водомерната шахта/</t>
  </si>
  <si>
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/H=2-3m/</t>
  </si>
  <si>
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/H=1-2m/</t>
  </si>
  <si>
    <t>Изпитване на хоризонтална канализация на водоплътност</t>
  </si>
  <si>
    <t>Изкоп с ширина 1,20м</t>
  </si>
  <si>
    <t>2.1.1</t>
  </si>
  <si>
    <t>Воден ефект и осветление - специализирано оборудване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</si>
  <si>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</si>
  <si>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</si>
  <si>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</si>
  <si>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</si>
  <si>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</si>
  <si>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</si>
  <si>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</si>
  <si>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</si>
  <si>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</si>
  <si>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</si>
  <si>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</si>
  <si>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</si>
  <si>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</si>
  <si>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</si>
  <si>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</si>
  <si>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</si>
  <si>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</si>
  <si>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</si>
  <si>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</si>
  <si>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</si>
  <si>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</si>
  <si>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</si>
  <si>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</si>
  <si>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</si>
  <si>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</si>
  <si>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</si>
  <si>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</si>
  <si>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</si>
  <si>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</si>
  <si>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</si>
  <si>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</si>
  <si>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</si>
  <si>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</si>
  <si>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</si>
  <si>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</si>
  <si>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</si>
  <si>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</si>
  <si>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</si>
  <si>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</si>
  <si>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</si>
  <si>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</si>
  <si>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</si>
  <si>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</si>
  <si>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</si>
  <si>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</si>
  <si>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</si>
  <si>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</si>
  <si>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</si>
  <si>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</si>
  <si>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Пясък кварцов (торба 25 kg)</t>
  </si>
  <si>
    <t>Стерилизатор работещ с UV светлина, Захранване 1 x 220-240V 50/60Hz, Мощност 72 W, Moщност на осветяване: 72W, Размери: Дължина:730мм, Ширина:215мм, Височина:200мм; Връзки: вход: 1x 2" изход: 2 x 1 1/2"; Минимален дебит 12000л, Максимален дебит 40000 литра, тегло: 6.44кг., Максимално работно налягане 1 bar.</t>
  </si>
  <si>
    <t xml:space="preserve">Вливна дюза за филтрация,  размери (Ф х H) 101 х 31 мм, присъединителен размер 1 1/2", тегло 0.3 кг, материал: Stainless Steel </t>
  </si>
  <si>
    <t>Скимер стенен за филтрация, размери (L x W x H) 350 х 150 х 336 мм, DN 100/2", тегло 5.10 кг., материал: Stainless Steel</t>
  </si>
  <si>
    <t>Комбинирана арматура за вграждане в стени (бетон), Изпълнява  функциите на преливник, допълваща арматура, стойка за монтаж на датчик за ниво, Връзки: 1 x DN100 + 2 x 1"м., Размери: Дължина 340мм, Ширина:271мм, Височина:153мм; материал: неръждаема стомана 1.4571 (AISI 316Ti), тегло: 6.1кг.</t>
  </si>
  <si>
    <t xml:space="preserve">Електронен ниво регулатор, размери (L x W x H) 180 х 180 х 124 мм, защитен клас IP54, входящо работно напрежение 100-240V/ 50-60Hz, 5.0А, изходящо напрежение към електромагнитен клапан 24V/DC, 0.5А, 1 бутон за включване, 1 светлинен индикатор, 3 слота за свързване на датчик за ниво, тегло 2.1 кг, </t>
  </si>
  <si>
    <t>Клапан електромагнитен 1", 24V/DC, нормално затворен, размери (L x W x H) 96 х 70 х 108 мм, посока 2/2, защитен клас IP65, работно налягане: 0.4 - 10.00 bar, материал: месинг, тегло 1.3 кг.</t>
  </si>
  <si>
    <t>Датчик за ниво, размери (L x W x H) 115 х 80 х 46 мм, защитен клас IP68, 3 електрода:  1 маса, 1 долно ниво, 1 горно ниво, денивелация 20 мм, дължина на кабел: 10 метра, тегло: 2.2 кг</t>
  </si>
  <si>
    <t>Потопяема дренажна помпа за замърсени води. Максимален дебит 14500 л/ч, Максимално налягане 1,1 bar. Мощност 0.95kW, Захранване 1 x 230V / 50Hz. Максимална дълбочина на потапяне 7м, Поплавък за следене на нивото, връзка 1 1/2", Максимален размер на частиците 30мм, Размери: Дължина 193мм, Ширина 247мм, Височина 422мм; тегло: 6.8кг.</t>
  </si>
  <si>
    <t>Ел. табло за филтрацията (включително и дефектно-токова защита, таймери и др.)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</si>
  <si>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</si>
  <si>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</si>
  <si>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</si>
  <si>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</si>
  <si>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</si>
  <si>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</si>
  <si>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</si>
  <si>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</si>
  <si>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</si>
  <si>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</si>
  <si>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</si>
  <si>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</si>
  <si>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Помпа с RDM/DMX управление с фабрично присъединени 1 метър комуникационен кабел с DMX кутия и 1 метър захранващ кабел 24V с кабелна кутия, двигател 24V DC EC, Hmax = 2.6 м., Qmax = 95 l/min, максимална мощност 60W, 3А,  време за достигане на максимално мощност 0-100 % за 0.6 сек., Qmin (при DMX стойност - 0): 26 l/min,  максимална дълбочина на потапяне: 4 м, защитен клас IP68, размери (L x W x H) 268 х 142 х 170 мм, тегло: 3.7 кг., 2 DMX канала за управление (канал за пускане и канал за скорост на оборотите), температура на водата: от 4 до 35 градуса, смукател 1 1/2", нагнетател 1", материал филтър на помпа: Plastic/ Stainless steel 1.4301 (AISI 304)</t>
  </si>
  <si>
    <t>Дюза фонтанна, двойно покритие месинг, размери Ф28 мм х H=87 мм,  ширина на върха 14мм,фонтанна височина 0.5 - 4.0 метра, разход 9.5 - 30.7 l/min, налягане 0.07 - 0.54 bar, тегло 0.13 кг., присъединителна резба 1/2", вътрешен размер на отвора Ф8 мм, ъгъл на настройване на водната струя 15 градуса.</t>
  </si>
  <si>
    <t>Адаптор с резба 1", височина 42.3 мм, диаметър 38.0 мм, тегло 0.09 кг., материал: stainless steel</t>
  </si>
  <si>
    <t>Тръба INOX 1", 30cm.</t>
  </si>
  <si>
    <t>Осветително тяло със ринг от неръждаема стомана за вграждане в ниши от камък или метал, със отвор в средата за поставяне върху дюза с ширина до 22мм. Възможност за сух и подводен монтаж (IP68), Цветно осветяване, Сила на общия светлинен поток 837 lm( червен цвят - 240 lm, зелен цвят - 460 lm, син цвят 137 lm), ъгъл на осветеност 16 градуса,  енергийна категория А, волтаж 24V/DC, мощност 21W, 0.95А, с фабрична дължина на кабела 1 метър, защитен клас IP68, размери Ф180 мм х 30 мм височина, материал: Stainless steel 1.4404 (AISI 316L), стъкло, тегло 1.60 кг, възможност за управление с DMX протокол на управление чрез контролер и подводен LED Драйвър</t>
  </si>
  <si>
    <t>Трансформатор подводен 250 24V/01, размери (L x W x H) 260 x 162 x 77 мм, входящо напрежение 100-240V/АС, изходящо напрежение 24V/DC, 10.5 А, слотове: 4 х 24V/DC, дължина на кабел: 10 м., максимална дълбочина на потапяне 4 метра, температура на водата: от 4 до 35 градуса,  защитен клас IP68, тегло: 5.1 кг.</t>
  </si>
  <si>
    <t xml:space="preserve">Подводен LED Драйвър 24V DC/DMX/02, 2 връзки на 24V/DC (вход и изход), 2 връзки за DMX/RDM управление (вход и изход),7.5А, максимална изходяща мощност 180W. 4 броя изходи за хибридни кабели осигуряващи индивидуално управление, защитен клас IP68, размери (L x W x H) 151 х 140 х 70 мм, тегло 1.45 кг </t>
  </si>
  <si>
    <t>Програматор 512 канала RDM /DMX управление, размери (L x W x H) 158 x 94 x 58 мм, тегло: 0.33 кг., защитен клас IP20, захранване: 24V DC/8W, сертификат СЕ, 8 х Digital изхода (24V/DC 1А максимум), 8 х Digital входа, памет MicroSD-Card, други връзки: Ethernet RJ45 10/100Mbit, настройки чрез 2 х 16 Segment LCD Display с 6 бутона, Софтуер WEPS за Windows 7 или по нов., интегриран webserver</t>
  </si>
  <si>
    <t>Комуникационен кабел захранващ DMX, дължина 1.5 метра, диаметър 2 х 0.34 мм2, тегло 0.2 кг, IP68, мъжка-женска резба</t>
  </si>
  <si>
    <t>Комуникационен кабел захранващ DMX, дължина 3.0 метра, диаметър 2 х 0.34 мм2, тегло 0.3 кг, IP68, мъжка-женска резба</t>
  </si>
  <si>
    <t>Комуникационен кабел захранващ DMX, дължина 20.0 метра, диаметър 2 х 0.34 мм2, тегло 1.1 кг, IP68, мъжка-женска резба</t>
  </si>
  <si>
    <t>Краен куплунг за BUS-System DMX, тегло 0.1 кг.</t>
  </si>
  <si>
    <t>Кабел захранващ 24V DC, дължина 1.5 метра, диаметър 2 х 2.5 мм2, тегло 0.38 кг, защитен клас IP68</t>
  </si>
  <si>
    <t>Кабел захранващ 24V DC, дължина 3.0 метра, диаметър 2 х 2.5 мм2, тегло 0.75 кг, защитен клас IP68</t>
  </si>
  <si>
    <t>Кабел захранващ 24V DC, дължина 15.0 метра, диаметър 2 х 2.5 мм2, тегло 2.6 кг, защитен клас IP68</t>
  </si>
  <si>
    <t>Кабел  RV-K 2x2,5mm2</t>
  </si>
  <si>
    <t>Кабел захранващ - хибриден (захранване и управление), 24V/DMX, 1.5 метра, диаметър 4 x 0.34 мм2, тегло 0.25кг, защитен клас IP68</t>
  </si>
  <si>
    <t>Кабел захранващ - хибриден (захранване и управление), 24V/DMX, 1.5 метра, диаметър 4 x 0.34 мм2, тегло 0.37кг, защитен клас IP68</t>
  </si>
  <si>
    <t>Регулируема подпора със самонивелираща се глава H= 315-500 mm</t>
  </si>
  <si>
    <t>LGH Гумена подложка 2мм.</t>
  </si>
  <si>
    <t>Крепежи на оборудване и окабеляване</t>
  </si>
  <si>
    <t>Доставка и монтаж на оборудване за воден ефект</t>
  </si>
  <si>
    <t>Трансформатор 85/265V AC/24V DC 48W/2 A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</si>
  <si>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</si>
  <si>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</si>
  <si>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</si>
  <si>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</si>
  <si>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</si>
  <si>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</si>
  <si>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</si>
  <si>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</si>
  <si>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</si>
  <si>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</si>
  <si>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</si>
  <si>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</si>
  <si>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</si>
  <si>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Филтрация, пълнене и автоматично допълване - специализирани материали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</si>
  <si>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</si>
  <si>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</si>
  <si>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</si>
  <si>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</si>
  <si>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</si>
  <si>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</si>
  <si>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</si>
  <si>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</si>
  <si>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</si>
  <si>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</si>
  <si>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</si>
  <si>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</si>
  <si>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</si>
  <si>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</si>
  <si>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</si>
  <si>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</si>
  <si>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</si>
  <si>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</si>
  <si>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</si>
  <si>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</si>
  <si>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</si>
  <si>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</si>
  <si>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</si>
  <si>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</si>
  <si>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2.5.2</t>
  </si>
  <si>
    <t>2.5.1</t>
  </si>
  <si>
    <t>2.5.3</t>
  </si>
  <si>
    <t>2.5.4</t>
  </si>
  <si>
    <t>2.5.5</t>
  </si>
  <si>
    <t>2.5.6</t>
  </si>
  <si>
    <t>2.5.7</t>
  </si>
  <si>
    <t>2.5.8</t>
  </si>
  <si>
    <t>2.5.9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</si>
  <si>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</si>
  <si>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</si>
  <si>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</si>
  <si>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</si>
  <si>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</si>
  <si>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</si>
  <si>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</si>
  <si>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</si>
  <si>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</si>
  <si>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</si>
  <si>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</si>
  <si>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</si>
  <si>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2.6.13</t>
  </si>
  <si>
    <t>2.6.14</t>
  </si>
  <si>
    <t>2.6.15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</si>
  <si>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</si>
  <si>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</si>
  <si>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</si>
  <si>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</si>
  <si>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</si>
  <si>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</si>
  <si>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</si>
  <si>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</si>
  <si>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</si>
  <si>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</si>
  <si>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2.8.1</t>
  </si>
  <si>
    <t>2.8.2</t>
  </si>
  <si>
    <t>Тръбна разводка на смукателна част</t>
  </si>
  <si>
    <t>PVC Тръба PN10 Ø63mm.</t>
  </si>
  <si>
    <t>PVC-U коляно - 90° - лепене Ø 63</t>
  </si>
  <si>
    <t>PVC-U тройник - 90°- лепене Ø 63</t>
  </si>
  <si>
    <t>PVC-U муфа - лепене Ø 63</t>
  </si>
  <si>
    <t>PVC-U нипел редуциращ - лепене/външ. резба Ø 50 – 63 – 2 "</t>
  </si>
  <si>
    <t>PVC-U нипел - лепене/външ. резба Ø 63 – 2"</t>
  </si>
  <si>
    <t>PVC-U сферичен кран - PE лепене Ø 63</t>
  </si>
  <si>
    <t>ПЕВП Тръба Ф63 SDR17 / PN10 - 100m-ролка</t>
  </si>
  <si>
    <t xml:space="preserve"> РЕ Адаптор женски PN10 63 x 2”</t>
  </si>
  <si>
    <t xml:space="preserve"> РЕ Коляно женско PN10 63 x 2”</t>
  </si>
  <si>
    <t>Тръбна разводка на нагнетателна част</t>
  </si>
  <si>
    <t>PVC Тръба PN10 Ø50mm.</t>
  </si>
  <si>
    <t>PVC-U коляно - 90° - лепене Ø 50</t>
  </si>
  <si>
    <t>PVC-U коляно - 90° - лепене/вътр. резба Ø 50 - 1 1/2"</t>
  </si>
  <si>
    <t>PVC-U тройник - 90°- лепене Ø 50</t>
  </si>
  <si>
    <t>PVC-U муфа - лепене Ø 50</t>
  </si>
  <si>
    <t>PVC-U редуцираща муфа - лепене Ø 63/50</t>
  </si>
  <si>
    <t>PVC-U холендер - лепене/вътр. резба Ø 63 – 2"</t>
  </si>
  <si>
    <t>PVC-U холендер - лепене/вътр. резба Ø 50 – 1 1/2"</t>
  </si>
  <si>
    <t>PVC-U холендер - лепене/външ. резба Ø 50 - 1 1/2"</t>
  </si>
  <si>
    <t>PVC-U сферичен кран - PE лепене Ø 50</t>
  </si>
  <si>
    <t>ПЕВП Тръба Ф50 SDR17 / PN10 - 100m-ролка</t>
  </si>
  <si>
    <t xml:space="preserve"> РЕ Адаптор женски PN10 50 x 1½”</t>
  </si>
  <si>
    <t xml:space="preserve"> РЕ Коляно женско PN10 50 x 1½”</t>
  </si>
  <si>
    <t>Тръбна разводка  - част промивен и преливен тръбопроводи</t>
  </si>
  <si>
    <t>PVC Тръба SN4 Ø110mm</t>
  </si>
  <si>
    <t>PVC Муфа за канализация с уплътнител Ø110</t>
  </si>
  <si>
    <t>PVC Коляно за канализация с уплътнител Ø110/87.5°</t>
  </si>
  <si>
    <t>PVC-U възвр. клапан с пружина - лепене Ø 50</t>
  </si>
  <si>
    <t>PVC тръби и фитинги за канализация/лепене за свързване с канализационните мрежи</t>
  </si>
  <si>
    <t>Тръбна разводка  - част автоматично допълване</t>
  </si>
  <si>
    <t>PVC Тръба PN16 Ø32mm.</t>
  </si>
  <si>
    <t>PVC-U коляно - 90° - лепене Ø 32</t>
  </si>
  <si>
    <t>PVC-U коляно - 45° - лепене Ø 32</t>
  </si>
  <si>
    <t>PVC-U тройник - 90°- лепене Ø 32</t>
  </si>
  <si>
    <t xml:space="preserve">PVC-U нипел редуциращ - лепене/външ. резба Ø 25 – 32 – 1"   </t>
  </si>
  <si>
    <t>PVC-U коляно - 90° - лепене/вътр. резба Ø 32 - 1"</t>
  </si>
  <si>
    <t>PVC-U коляно - 45° - лепене/ вътр. резба Ø 32 - 1"</t>
  </si>
  <si>
    <t>PVC-U муфа - лепене Ø 32</t>
  </si>
  <si>
    <t>PVC-U холендер - лепене/външ. резба Ø 32 - 1 "</t>
  </si>
  <si>
    <t>PVC-U муфа - лепене/вътр. резба Ø 32  –  1"</t>
  </si>
  <si>
    <t>PVC-U сферичен кран - PE лепене Ø 32</t>
  </si>
  <si>
    <t>PVC  тръби и фитинги за лепене за свързване на системата за допълване с ВиК</t>
  </si>
  <si>
    <t>ПЕВП Тръба Ф32 SDR17 / PN10 - 100m-ролка</t>
  </si>
  <si>
    <t xml:space="preserve"> РЕ Адаптор женски PN10 32 x 1”</t>
  </si>
  <si>
    <t xml:space="preserve"> РЕ Коляно женско PN10 32 x 1”</t>
  </si>
  <si>
    <t>Тръбна разводка  - част кабелен преход</t>
  </si>
  <si>
    <t>Строително монтажни работи</t>
  </si>
  <si>
    <t>Материали: крепежни елементи и др. по помпена станция</t>
  </si>
  <si>
    <t>Доставка и монтаж оборудване филтрация</t>
  </si>
  <si>
    <t>Специализиран продукт</t>
  </si>
  <si>
    <t>1.1.27</t>
  </si>
  <si>
    <t>1.1.28</t>
  </si>
  <si>
    <t>1.1.29</t>
  </si>
  <si>
    <t>1.1.30</t>
  </si>
  <si>
    <t>1.1.31</t>
  </si>
  <si>
    <t>1.1.32</t>
  </si>
  <si>
    <t>1.1.33</t>
  </si>
  <si>
    <t>1.1.34</t>
  </si>
  <si>
    <t>1.1.35</t>
  </si>
  <si>
    <t>1.1.36</t>
  </si>
  <si>
    <t>1.1.37</t>
  </si>
  <si>
    <t>1.1.38</t>
  </si>
  <si>
    <t>1.1.39</t>
  </si>
  <si>
    <t>1.1.40</t>
  </si>
  <si>
    <t>1.1.41</t>
  </si>
  <si>
    <t>1.1.42</t>
  </si>
  <si>
    <t>1.1.43</t>
  </si>
  <si>
    <t>1.1.44</t>
  </si>
  <si>
    <t>1.1.45</t>
  </si>
  <si>
    <t>1.1.46</t>
  </si>
  <si>
    <t>1.1.47</t>
  </si>
  <si>
    <t>1.1.48</t>
  </si>
  <si>
    <t>1.1.49</t>
  </si>
  <si>
    <t>1.1.50</t>
  </si>
  <si>
    <t>1.1.51</t>
  </si>
  <si>
    <t>1.1.52</t>
  </si>
  <si>
    <t>1.1.53</t>
  </si>
  <si>
    <t>Разпръсквач, височина на изкачане 10см, обща височина 15.5см, размер на входната резба 1/2"</t>
  </si>
  <si>
    <t>Дюза за разпръсквач, дефлекторна, регулируема 0-360° - R= 1.8 m</t>
  </si>
  <si>
    <t>Дюза за разпръсквач, дефлекторна, регулируема 0-360° - R= 2.4 m</t>
  </si>
  <si>
    <t>Дюза за разпръсквач, дефлекторна, регулируема 0-360° - R= 3.0 m</t>
  </si>
  <si>
    <t>Дюза за разпръсквач, дефлекторна, регулируема 0-360° - R= 3.7 m</t>
  </si>
  <si>
    <t>Дюза за разпръсквач, дефлекторна, регулируема 0-360° - R= 4.6 m</t>
  </si>
  <si>
    <t>Дюза "МР 800", радиус 1.5 - 3.7 м., рег. сектор (90~210 º), оранжева</t>
  </si>
  <si>
    <t>Дюза "МР 800", радиус 1.5 - 3.7 м., фикс. сектор 360 º, лайм зеленa</t>
  </si>
  <si>
    <t>Дюза, ротаторна, радиус 2.5 - 4.9 м., рег. сектор (90~210 º), тъмночервена</t>
  </si>
  <si>
    <t>Дюза, ротаторна, радиус 2.5 - 4.6 м., рег. сектор (90~210 º), тъмночервена</t>
  </si>
  <si>
    <t>Дюза, ротаторна, радиус 2.5 - 4.6 м., рег. сектор (210~270 º), светлосиня</t>
  </si>
  <si>
    <t>Дюза, ротаторна, радиус 2.5 - 4.6 м., фикс. сектор 360 º, маслинено зелена</t>
  </si>
  <si>
    <t>Дюза, ротаторна, радиус 4 - 6.4 м., рег. сектор (90~210 º), черна</t>
  </si>
  <si>
    <t>Дюза, ротаторна, радиус 4 - 6.4 м., рег. сектор (210~270 º), зелена</t>
  </si>
  <si>
    <t>Дюза, ротаторна, радиус 4 - 6.4 м., фикс. сектор 360 º, червена</t>
  </si>
  <si>
    <t>Дюза, ротаторна, радиус 6.7 - 9.1 м., рег. сектор (90~210 º), синя</t>
  </si>
  <si>
    <t>Дюза, ротаторна, радиус 3.6 - 4.5 м., рег. сектор (45~105 º), светлосиня</t>
  </si>
  <si>
    <t>Дюза, ротаторна, 1.5 - 4.5 м., слонова кост</t>
  </si>
  <si>
    <t>Дюза, ротаторна, 1.5 - 4.5 м., мед</t>
  </si>
  <si>
    <t>Инструмент за настройка, радиус/сектор за ротаторни дюзи</t>
  </si>
  <si>
    <t>Професионална тръба Ф16 мм. - 30 метра ролка, вътрешен диаметър 12мм, работно налягане 5.5бар.</t>
  </si>
  <si>
    <t>Коляно 1/2"-коничен накрайник, спираловина резба, работно налягане до 5.5 бар.</t>
  </si>
  <si>
    <t>Коляно 3/4"-коничен накрайник, спираловидна резба, работно налягане до 5.5бар.</t>
  </si>
  <si>
    <t>Клапан електромагнитен - 1"Ж, без рег.на дебита със соленоид на 24V/AC, работен дебит 0.05-9 м3/ч, работно налягане 1,5-10 bar., височина 13см, дължина 11см, ширина 6см.</t>
  </si>
  <si>
    <t>Клапан електромагнитен  1"M, с  рег.на дебита със соленоид на 24V/AC,  работен дебит 0.05-9 м3/ч, работно налягане 1,5-10 bar., височина 13см, дължина 11см, ширина 6см.</t>
  </si>
  <si>
    <t>Хидроизолираща връзка, за ел. кабел 3 х 1.5mm2, запълнена с електрически непроводим силикон, защитаваща от среди с висока влажност</t>
  </si>
  <si>
    <t>Програматор за напоителни системи, 8 станции, модулен с възможност за разширение до 38, пластмасова кутия, Wi-Fi connection-интернет комуникация, Софтуер за дистанционно управление и възможности за допълнителни настройки според атмосферните условия и данни от метеорологични станции, трансф. 24 ~ 230V EU стандарт, с възможност за работа на 2 програми едновременно, с вграден датчик за следене на напрежението в комуникационните кабели.</t>
  </si>
  <si>
    <t>Модул разширител 8 станции за модулен програматор</t>
  </si>
  <si>
    <t>Датчик за дъжд, нормално затворен, 7,6 m дължина на кабела</t>
  </si>
  <si>
    <t>Шахта за клапани  12" B/G, правоъгълна / 28 x 41 x h=33 cm, със  закл. дръжка</t>
  </si>
  <si>
    <t>Шахта за клапани  20" B/G, правоъгълна / 67 x 49 x h=33 cm, със  закл. дръжка</t>
  </si>
  <si>
    <t xml:space="preserve">Шахта с кран , овална със сферичен кран 3/4" </t>
  </si>
  <si>
    <t>Колектор за клапани 2-пътен / холендров 1"Ж</t>
  </si>
  <si>
    <t>Колектор за клапани 3-пътен / холендров 1"Ж</t>
  </si>
  <si>
    <t>Колектор за клапани 4-пътен / холендров 1"Ж</t>
  </si>
  <si>
    <t>Нипел с уплътнение 1"</t>
  </si>
  <si>
    <t>Коляно / холендър 1" х 1"М</t>
  </si>
  <si>
    <t>Тапа / холендър 1"Ж</t>
  </si>
  <si>
    <t>Спирателен кран сферичен PP/метал 1" М х 1" холендър</t>
  </si>
  <si>
    <t>Филтър дисков "YDT" 1" 120 mesh</t>
  </si>
  <si>
    <t>Филтър 1" м. х 3/4" ж., 150 mesh, метална мрежа с рег. на налягане 1.7 bar.</t>
  </si>
  <si>
    <t>Капков маркуч  Ø16 mm/ 0,33 cm / 2 l/h / 100 m ролка / кафяв</t>
  </si>
  <si>
    <t>Тръба LDPE Ø 16mm / 4 atm./ 100m ролка</t>
  </si>
  <si>
    <t>Тръба LDPE Ø 16mm / 4 atm./ 50m ролка</t>
  </si>
  <si>
    <t>Спирателен кран РЕ Ø16 х 16</t>
  </si>
  <si>
    <t>Адаптор с гайка РЕ Ø16 х 3/4"М</t>
  </si>
  <si>
    <t>Муфа РЕ Ø16 x 16 (100бр.)</t>
  </si>
  <si>
    <t>Коляно РЕ Ø16 x 16 (100бр.)</t>
  </si>
  <si>
    <t>Тройник РЕ Ø16 x 16 x 16 (100бр.)</t>
  </si>
  <si>
    <t>Скоба двойна РЕ Ø16 х 16 (100бр.)</t>
  </si>
  <si>
    <t>Колче фиксиращо РЕ Ø16(20) (100бр.)</t>
  </si>
  <si>
    <t>Тръби, фитинги и кабели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</si>
  <si>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</si>
  <si>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</si>
  <si>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</si>
  <si>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</si>
  <si>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</si>
  <si>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</si>
  <si>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</si>
  <si>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</si>
  <si>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ПВЦ ТРЪБА МУФИРАНА ВЪНШ. КАНАЛ 5m, Ф110мм/3.2мм/ SN4</t>
  </si>
  <si>
    <t>ПЕВП Тръба Ф40 SDR17 / PN10 - 100m-ролка</t>
  </si>
  <si>
    <t>РЕ Муфа PN10 40 X 40</t>
  </si>
  <si>
    <t>РЕ Тройник PN10 40 x 40 x 40</t>
  </si>
  <si>
    <t>РЕ Коляно PN10 40 x 40</t>
  </si>
  <si>
    <t>РЕ Адаптор женски PN10 40 x 1”</t>
  </si>
  <si>
    <t>РЕ Водовземна скоба  PN10  40 X ¾”</t>
  </si>
  <si>
    <t>РЕ Муфа PN10 32 X 32</t>
  </si>
  <si>
    <t>РЕ Тройник PN10 32 x 32 x 32</t>
  </si>
  <si>
    <t>РЕ Коляно PN10 32 x 32</t>
  </si>
  <si>
    <t>РЕ Коляно женско PN10 32 x ¾”</t>
  </si>
  <si>
    <t>РЕ Коляно мъжко PN10 32 x ¾”</t>
  </si>
  <si>
    <t>PE Адаптор женски PN10 32  х 1" холендър ( с О пръстен)</t>
  </si>
  <si>
    <t>РЕ Адаптор мъжки PN10 32 x ¾”</t>
  </si>
  <si>
    <t>РЕ Водовземна скоба  PN10  32 X ¾”</t>
  </si>
  <si>
    <t>Тефлон профи лента</t>
  </si>
  <si>
    <t>Ел. кабел "ШВПС" 3х1.5 мм2</t>
  </si>
  <si>
    <t>Ел. кабел "ШВПС" 4х1.5 мм2</t>
  </si>
  <si>
    <t>Ел. кабел "ШВПС" 5х1.5 мм2</t>
  </si>
  <si>
    <t>1.3.1</t>
  </si>
  <si>
    <t>1.3.2</t>
  </si>
  <si>
    <t>1.3.3</t>
  </si>
  <si>
    <t>Трасировъчни работи</t>
  </si>
  <si>
    <t xml:space="preserve">Изкоп - насип </t>
  </si>
  <si>
    <t>СМР, други разходи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</si>
  <si>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</si>
  <si>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</si>
  <si>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</si>
  <si>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</si>
  <si>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</si>
  <si>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</si>
  <si>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</si>
  <si>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</si>
  <si>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</si>
  <si>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</si>
  <si>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</si>
  <si>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</si>
  <si>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</si>
  <si>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</si>
  <si>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</si>
  <si>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</si>
  <si>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1.4.17</t>
  </si>
  <si>
    <t>3" многостъпална потопяема помпа, Qр=3,55 м3/ч. при Hр=45м. P2=1.1 kW, 8,4А, с възможност за честотно управление чрез контролер. Помпата притежава "плуващи" работни колела, всяко с отделен лагер от волфрамов карбид/керамика. Помпата предлага функции за плавен старт и защита от работа на сухо, повдигане, пренапрежение, поднапрежение, претоварване и прегряване. 
Двигателят е монофазен с ротор с постоянен магнит, обезпечаващ оптимална ефективност в широки граници на товара. Двигателят е оборудван със сваляем капак с куплунг.</t>
  </si>
  <si>
    <t>Комплект от мантел, смукателна цедка и стойки за монтаж</t>
  </si>
  <si>
    <t>Контролер  за 3" сондажни помпи осигуряващ постоянно налягане в границите на максималната производителност на помпата, независимо от променливата консумация на вода. Двупосочна комуникация с помпата, възможност за настройка на налягането, индикация за аларма при работа на помапата, защита от работа на сухо, 1 x 100-240V, 50/60Hz.</t>
  </si>
  <si>
    <t>Датчик за налягане 1-6 бар., 2м кабел. 1/2" резба</t>
  </si>
  <si>
    <t>Разширителен съд , 35л, 10 bar, 1", с крачета</t>
  </si>
  <si>
    <t>Манометър, глицеринов, INOX, 25bar</t>
  </si>
  <si>
    <t>Възвратен клапан 1 1/4" месинг</t>
  </si>
  <si>
    <t>Електрически поплавък с кабел 10м</t>
  </si>
  <si>
    <t>Ел. Табло за управление (автоматика, моторзащита, контактори, релета и др.)</t>
  </si>
  <si>
    <t>Спирателен кран сферичен PP/метал 1" Ж х 1" Ж</t>
  </si>
  <si>
    <t>Кран сферичен метален 1 1/4", резба Ж &lt;&gt; резба Ж, KPS</t>
  </si>
  <si>
    <t>Тръбна разводка</t>
  </si>
  <si>
    <t>Крепежни елементи</t>
  </si>
  <si>
    <t>Доставка и монтаж на помпено оборудване</t>
  </si>
  <si>
    <t>Хоризонтален резервоар за подземен монтаж за вода с 2 капака, V=16 000l, L=4.80m, W=2.60m, H=2.30m, тегло 567кг.</t>
  </si>
  <si>
    <t>Транспортни разходи по доставка на резервоар</t>
  </si>
  <si>
    <t>Помпено оборудване и резервоар</t>
  </si>
  <si>
    <t>Тръба гофрирана със сонда за изтегляне на кабел /monoflex/, Ø16/10.7mm</t>
  </si>
  <si>
    <t>Монтажни разходи (при наличие на високи подпочвени води изискващи основа от бетон и опасване с колани против изплаване).</t>
  </si>
  <si>
    <t>Валиране на земна основа за настилки</t>
  </si>
  <si>
    <t>Доставка и полагане на бетонови павета - тъмно сиви</t>
  </si>
  <si>
    <t>Доставка и полагане на бетонови павета - светло сиви</t>
  </si>
  <si>
    <t>Доставка и монтаж на бетонови плочи (плочопътеки)</t>
  </si>
  <si>
    <t>Фракция 0-18мм</t>
  </si>
  <si>
    <t>Н = 20-25 см</t>
  </si>
  <si>
    <t xml:space="preserve">Механизиран изкоп на хумусен пласт за направа на настилки     </t>
  </si>
  <si>
    <t>Фракция 0-63мм</t>
  </si>
  <si>
    <t>Фракция 2/5 или 4/7 mm</t>
  </si>
  <si>
    <t>Доставка и полагане на клинове за бордюри (ограничаващ и фиксиращ PVC профил) чрез полагане 1бр./25сm</t>
  </si>
  <si>
    <t>25x25х50 mm          Широката страна с размер 25 mm се монтира под тревата или чакъла.
Високата разделяща линия с размер 25 mm отделя настилката от тревата/ чакъла</t>
  </si>
  <si>
    <t>Доставка и полагане на бетонови плочи</t>
  </si>
  <si>
    <t>Доставка и полагане на настилка за сух фонтан - бетонни  плочи</t>
  </si>
  <si>
    <t>Перголи</t>
  </si>
  <si>
    <t>Дъсчена обшивка</t>
  </si>
  <si>
    <t xml:space="preserve">Доставка и монтаж на дъсчена обшивка </t>
  </si>
  <si>
    <t>100х40х80 мм</t>
  </si>
  <si>
    <t xml:space="preserve">Доставка и монтаж на кух метален профил </t>
  </si>
  <si>
    <t>Дебелина/Ширина 2х10 см</t>
  </si>
  <si>
    <t>Доставка и монтаж на кростренажор за фитнес на открито</t>
  </si>
  <si>
    <t>Доставка и полагане на горен слой EPDM гранулирана фракция</t>
  </si>
  <si>
    <t xml:space="preserve">Доставка и полагане на горен слой EPDM гранулирана фракция </t>
  </si>
  <si>
    <t xml:space="preserve">Доставка и полагане на долен слой от каучук </t>
  </si>
  <si>
    <t xml:space="preserve">Доставка и монтаж на врати - летящи за рехабилитационна и фитнес площадка </t>
  </si>
  <si>
    <t xml:space="preserve">Доставка и монтаж на ограден стълб </t>
  </si>
  <si>
    <t xml:space="preserve">Доставка и монтаж на оградно пано </t>
  </si>
  <si>
    <t>Премахване/отсичане на дървета в лошо състояние с изваждане на пънове и извозване</t>
  </si>
  <si>
    <t>Насип от хумусен слой               ~ 3792.1 м2</t>
  </si>
  <si>
    <t>H=10см</t>
  </si>
  <si>
    <t>380</t>
  </si>
  <si>
    <t>Минерални торове - комбиниран NPK ~ 2644.8 м2</t>
  </si>
  <si>
    <t>Норма 2,5кг/100м2</t>
  </si>
  <si>
    <t>Укрепване с 3бр. обелени кола, 3 летви-разпънки и колани за привързване</t>
  </si>
  <si>
    <t>Мулч от борова кора                   ~ 1147.3 м2</t>
  </si>
  <si>
    <t>Засаждане на средноразмерна иглолистна растителност</t>
  </si>
  <si>
    <t>Засаждане на средноразмерна широколистна растителност</t>
  </si>
  <si>
    <t>4.2.1</t>
  </si>
  <si>
    <t>4.2.2</t>
  </si>
  <si>
    <t>4.2.3</t>
  </si>
  <si>
    <t>4.1.1</t>
  </si>
  <si>
    <t>4.1.2</t>
  </si>
  <si>
    <t>4.1.3</t>
  </si>
  <si>
    <t>4.1.4</t>
  </si>
  <si>
    <t>4.1.5</t>
  </si>
  <si>
    <t>4.1.6</t>
  </si>
  <si>
    <t>4</t>
  </si>
  <si>
    <t>5</t>
  </si>
  <si>
    <t>4'</t>
  </si>
  <si>
    <t>Abies pinsapo</t>
  </si>
  <si>
    <t>Cupressus arizonica</t>
  </si>
  <si>
    <t>Cupressus sempervirens</t>
  </si>
  <si>
    <t>Pinus maritima / Pinus pinea</t>
  </si>
  <si>
    <t>Pinus mugo pumilio</t>
  </si>
  <si>
    <t>Aesculus carnea</t>
  </si>
  <si>
    <t>Albizia julibrissin</t>
  </si>
  <si>
    <t>Callistemon laevis</t>
  </si>
  <si>
    <t>Celtis australis</t>
  </si>
  <si>
    <t>Diospyros kaki</t>
  </si>
  <si>
    <t xml:space="preserve">Fraxinus ornus </t>
  </si>
  <si>
    <t>Lagerstroemia indica</t>
  </si>
  <si>
    <t>Magnolia grandiflora</t>
  </si>
  <si>
    <t>Platanus orientalis</t>
  </si>
  <si>
    <t>Punica granatum</t>
  </si>
  <si>
    <t xml:space="preserve">Quercus ilex </t>
  </si>
  <si>
    <t>10</t>
  </si>
  <si>
    <t>1</t>
  </si>
  <si>
    <t>2</t>
  </si>
  <si>
    <t>3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</si>
  <si>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</si>
  <si>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</si>
  <si>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</si>
  <si>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</si>
  <si>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</si>
  <si>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</si>
  <si>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</si>
  <si>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</si>
  <si>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</si>
  <si>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</si>
  <si>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Cotoneaster dammeri</t>
  </si>
  <si>
    <t>Erica carnea</t>
  </si>
  <si>
    <t>Lavandula angustifolia</t>
  </si>
  <si>
    <t>Lonicera nitida</t>
  </si>
  <si>
    <t>Potentilla fruticosa</t>
  </si>
  <si>
    <t xml:space="preserve">Prunus laurocerasus </t>
  </si>
  <si>
    <t>Rhododendron ponticum</t>
  </si>
  <si>
    <t>Rosmarinus officinalis</t>
  </si>
  <si>
    <t>Santolina chamaecyparissus</t>
  </si>
  <si>
    <t>Santolina viridis</t>
  </si>
  <si>
    <t>Thymus officinalis</t>
  </si>
  <si>
    <t>Muhlenbergia capillaris</t>
  </si>
  <si>
    <t>Hedera helix</t>
  </si>
  <si>
    <t>Испанска ела               H=220-250     единично/ групи</t>
  </si>
  <si>
    <t>Aризонски кипарис H=100-125          единично/ групи</t>
  </si>
  <si>
    <t>Oбикновен кипарис H=200-250     единично/ групи</t>
  </si>
  <si>
    <t>Морски бор / Пиния H=200-250     единично/ групи</t>
  </si>
  <si>
    <t>Планински бор джудже H=50-100 единично/ акцент</t>
  </si>
  <si>
    <t>Кълбовидна западна туя H=50-60  единично/ групи</t>
  </si>
  <si>
    <t>Червен конски кестен H=250-300     единично/ групи</t>
  </si>
  <si>
    <t>Калистемон                  H=125-150     единично/ анцент</t>
  </si>
  <si>
    <t>Юлибрисинова албиция                          H=250-300     единично/ акцент</t>
  </si>
  <si>
    <t>Южна копривка          H=250-300     единично/ групи</t>
  </si>
  <si>
    <t>Райска ябълка              H=150-180     единично/ акцент</t>
  </si>
  <si>
    <t>Мъждрян                       H=250-300     единично/ групи</t>
  </si>
  <si>
    <t>Индийски люляк         H=120-150     единично/ акцент</t>
  </si>
  <si>
    <t>Вечнозелена магнолия                       H=150-175        единично/ акцент</t>
  </si>
  <si>
    <t>Източен платан          H=220-250     единично/ групи</t>
  </si>
  <si>
    <t>Каменен дъб                H=150-180     единично/ групи</t>
  </si>
  <si>
    <t>Нар                                    H=125-150 единично/ групи</t>
  </si>
  <si>
    <t>Японски чашкодрян H=15-20                              7 бр./m2</t>
  </si>
  <si>
    <t xml:space="preserve">Лъскав нокът                H=20-30                              5 бр./m' ; 9 бр./m2 </t>
  </si>
  <si>
    <t>Цветуща вайгела       H=50-60                              3 бр./m2</t>
  </si>
  <si>
    <t>Бръшлян                        H=20-30                              1 бр./m', 1 бр./m2</t>
  </si>
  <si>
    <t>Доставка и монтаж на метална пейка</t>
  </si>
  <si>
    <t>Полагане на найлоново покритие</t>
  </si>
  <si>
    <t xml:space="preserve">Доставка и полагане на подложен бетон за монтиране на метален профил </t>
  </si>
  <si>
    <t>Доставка и монтаж на дървена греда (чело) 20х6х3см</t>
  </si>
  <si>
    <t>3х5 см</t>
  </si>
  <si>
    <t xml:space="preserve">Доставка и монтаж на електрозаварен габион </t>
  </si>
  <si>
    <t xml:space="preserve">Размери - 50х50х50 см    </t>
  </si>
  <si>
    <t>Доставка и монтаж на кух метален профил с дебелина 2мм</t>
  </si>
  <si>
    <t xml:space="preserve">Доставка и монтаж на дървена греда </t>
  </si>
  <si>
    <t>20х6х3 см</t>
  </si>
  <si>
    <t>Кастрене на счупени, повредени или заболели клони на съществуващи дървета; обработване на отрези, хралупи и повреди по кората и запечатването им.</t>
  </si>
  <si>
    <t>Почистване на терени за затревяване; премахване на храсталачна растителност; заравняване на терена и почвоподготовка.</t>
  </si>
  <si>
    <t>Укрепване на стръмни откоси посредством биоразградими, армирани био рогозки от кокосови влакна.</t>
  </si>
  <si>
    <t>Антидренажен клапан за разпръсвач</t>
  </si>
  <si>
    <t xml:space="preserve">Доставка и полагане на подложен бетон  </t>
  </si>
  <si>
    <t xml:space="preserve">С12/15 </t>
  </si>
  <si>
    <t>H = 6 см</t>
  </si>
  <si>
    <t>2644,8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</si>
  <si>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</si>
  <si>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</si>
  <si>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</si>
  <si>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</si>
  <si>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</si>
  <si>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</si>
  <si>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</si>
  <si>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</si>
  <si>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</si>
  <si>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</si>
  <si>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</si>
  <si>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</si>
  <si>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</si>
  <si>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</si>
  <si>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</si>
  <si>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</si>
  <si>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</si>
  <si>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</si>
  <si>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</si>
  <si>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</si>
  <si>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</si>
  <si>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</si>
  <si>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</si>
  <si>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</si>
  <si>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kg</t>
  </si>
  <si>
    <t>Доставка и полагане на изравнителен слой сипица, ситна фракция с дебелина       5 см</t>
  </si>
  <si>
    <t>Вибропресовани бетонови плочи с мита повърхност, растерни размери (ДхШхВ) 50 x 50 x 6 cm                           Цвят - светло сив</t>
  </si>
  <si>
    <t>Вибропресовани бетонови плочи с мита повърхност, растерни размери (ДхШхВ) 90 x 30 x 6 cm                           Цвят - светло сив</t>
  </si>
  <si>
    <t>Импрегнирани и лакирани дървени дъски 17 х 2 cm, дължина 5 m</t>
  </si>
  <si>
    <t>Метални струни с PVC покритие и държачи</t>
  </si>
  <si>
    <t>Врати от импрегнирана дървесина, Височина/Ширина 90х100 cm</t>
  </si>
  <si>
    <t>Ограни пана от импрегнирана дървесина, Н = 100 см</t>
  </si>
  <si>
    <t>Aдаптиран за хора в неравностойно положение и деца; произведен от стоманена рамка и умивалник от неръждаема стомана, с двe кранчета с бутони, като единият е пригоден за хора с увреждания. Цвят - сиво, RAL 7024</t>
  </si>
  <si>
    <t>L: 191 см B: 56 см H: 82 см, 42 кг                Захващане към настилката - чрез анкериране , Цвят на металната част - сив, RAL 7024</t>
  </si>
  <si>
    <t>L: 39 см B: 39 см H: 90 см                                           35 L  (вкл. бетонна тежест)                        Металните компоненти са покрити с естерно-епоксиден цинков грунд и са прахово боядисани               Цвят - сив, RAL 7024</t>
  </si>
  <si>
    <t>Импрегнирано дърво с размери 8х52х6 см</t>
  </si>
  <si>
    <t>Доставка и монтаж на парково осветително тяло с LED 30W, IP44, в комплект с монтажен стълб с височина 4.00m над терена, Цвят - сив, RAL 7024</t>
  </si>
  <si>
    <t>Дебелина - 0,5 см Цвят - светло син, RAL 5012</t>
  </si>
  <si>
    <t>Дебелина -  0,5 см Цвят - тъмно син, RAL 5002</t>
  </si>
  <si>
    <t>Дебелина - 0,5 см Цвят - оранжев, RAL 2008</t>
  </si>
  <si>
    <t>Метален ограден стълб от импрегнирано дърво, Н = 100 см, Цвят - сив, RAL 7024</t>
  </si>
  <si>
    <t>Дебелина -  2,5см</t>
  </si>
  <si>
    <t>Прахово боядисване на металните профили с антикорозионна боя</t>
  </si>
  <si>
    <t>Цвят - сив, RAL 7024</t>
  </si>
  <si>
    <t>Доставка и пълнене на габионите с речен камък</t>
  </si>
  <si>
    <t>Размери 8 - 13 cm и 13 - 25 cm. Да се използва и наличния на терен речен камък.</t>
  </si>
  <si>
    <t>Вибропресовани бетонови блокчета с трапецовидна форма в комбинация от 5 размера, настилка с мит покривен слой върху лицевата повърхнина Натуро с дебелина 6см. и размери 10,4х8,5х9,4; 9,4х8,5х8,4; 8,4х8,5х7,4; 7,4х8,5х6,4; 6,4х8,5х5,4см; цвят антрацит. Изделията са с вълнообразни кантове без фаска. </t>
  </si>
  <si>
    <t>Вибропресовани бетонови блокчета с правоъгълна форма, настилка с мит покривен слой върху лицевата повърхнина Натуро с дебелина 6см. и размери 10х20; светло сив цвят. Изделията са с вълнообразни кантове без фаска. </t>
  </si>
  <si>
    <t>Изкопни работи</t>
  </si>
  <si>
    <t>-</t>
  </si>
  <si>
    <t>5.1</t>
  </si>
  <si>
    <t>5.2</t>
  </si>
  <si>
    <t>5.3</t>
  </si>
  <si>
    <t>6.1</t>
  </si>
  <si>
    <t>6.2</t>
  </si>
  <si>
    <t>6.3</t>
  </si>
  <si>
    <t>7.</t>
  </si>
  <si>
    <t>7.1</t>
  </si>
  <si>
    <t>7.2</t>
  </si>
  <si>
    <t>7.3</t>
  </si>
  <si>
    <t>7.4</t>
  </si>
  <si>
    <t>8.</t>
  </si>
  <si>
    <t>8.1</t>
  </si>
  <si>
    <t>8.2</t>
  </si>
  <si>
    <t>8.3</t>
  </si>
  <si>
    <t>8.4</t>
  </si>
  <si>
    <t>9.</t>
  </si>
  <si>
    <t>9.1</t>
  </si>
  <si>
    <t>9.2</t>
  </si>
  <si>
    <t>9.3</t>
  </si>
  <si>
    <t>10.</t>
  </si>
  <si>
    <t>10.1</t>
  </si>
  <si>
    <t>10.2</t>
  </si>
  <si>
    <t>10.3</t>
  </si>
  <si>
    <t>10.4</t>
  </si>
  <si>
    <t>B500 B</t>
  </si>
  <si>
    <t>C20/25</t>
  </si>
  <si>
    <t>Трошен камък</t>
  </si>
  <si>
    <t>ПЕ фолио</t>
  </si>
  <si>
    <t xml:space="preserve">S235 </t>
  </si>
  <si>
    <t>ЗОНА 1 - Рехабилитационна площадка</t>
  </si>
  <si>
    <t>ЗОНА 2 - Фонтан</t>
  </si>
  <si>
    <t>ЗОНА 4 - Стълбищна група</t>
  </si>
  <si>
    <t>ЗОНА 5 - Стълбищна група</t>
  </si>
  <si>
    <t>ЗОНА 6 - Стълбищна група</t>
  </si>
  <si>
    <t>ЗОНА 7 - Перголна конструкция</t>
  </si>
  <si>
    <t>ЗОНА 8 - Перголна конструкция</t>
  </si>
  <si>
    <t>ЗОНА 9 - Помпено помещение</t>
  </si>
  <si>
    <t>ЗОНА 10 - Фотоволтаична централа</t>
  </si>
  <si>
    <t>Кисел трън H=20-30      5 бр./m2</t>
  </si>
  <si>
    <t>Дамеров котонеастър H=20-30                                 5 бр./m2</t>
  </si>
  <si>
    <t>Грапава дойция           H=20-30                              5 бр./m2</t>
  </si>
  <si>
    <t>Пирен, Червена ерика H=15-30                            9 бр./m2</t>
  </si>
  <si>
    <t>Фортунов чашкодрян H=15-20                              5 бр./m2</t>
  </si>
  <si>
    <t>Лавандула                     H=10-20                            9 бр./m2</t>
  </si>
  <si>
    <t>Златист физокарпус H=30-40                                    3 бр./m2</t>
  </si>
  <si>
    <t>Храстовиден очиболец                         H=20-30                              5 бр./m2</t>
  </si>
  <si>
    <t xml:space="preserve">Лавровишна                 H=40-50                              3 бр./m' </t>
  </si>
  <si>
    <t>Рододендрон             H=60-80                                    3 бр./m2</t>
  </si>
  <si>
    <t>Розмарин                        H=15-25                             9 бр./m2</t>
  </si>
  <si>
    <t>Сантолина                       H=15-25                            9 бр./m2</t>
  </si>
  <si>
    <t>Сантолина                     H=15-25                            9 бр./m2</t>
  </si>
  <si>
    <t>Японска спирея, златиста форма           H=30-40                              5 бр./m2</t>
  </si>
  <si>
    <t>Японска спирея          H=30-40                              5 бр./m2</t>
  </si>
  <si>
    <t>Мащерка                        H=15-25                            9 бр./m2</t>
  </si>
  <si>
    <t>Цветуща вайгела       H=50-60                               5 бр./m2</t>
  </si>
  <si>
    <t>Японска тръстика       H=30-40                              5 бр./m2</t>
  </si>
  <si>
    <t>Мюленбергия капиларис                     H=30-40                              5 бр./m2</t>
  </si>
  <si>
    <t>Доставка и монтаж на мултифункционална пейка за трениране</t>
  </si>
  <si>
    <t>Размер: Ш/Д/В - 2000/400/600</t>
  </si>
  <si>
    <t>Доставка и монтаж на комбинирано съоръжение за стрийт фитнес</t>
  </si>
  <si>
    <t>Комбинирано съоръжение състоящо се от: 2 бр. лостове на различна височина, 2-на успоредка, шведска стена</t>
  </si>
  <si>
    <t xml:space="preserve">Кростренажор – външен фитнес уред – подпомага дейността на сърцето и тренира комплексно мускулатурата на цялото тяло. </t>
  </si>
  <si>
    <t>Доставка и монтаж тренажор за раздвижване на хора с увреждания</t>
  </si>
  <si>
    <t>Размер: 1,37х0,95х1,032м</t>
  </si>
  <si>
    <t xml:space="preserve">Доставка и монтаж на велоергометър </t>
  </si>
  <si>
    <t>Размер: 0,90х0,68м</t>
  </si>
  <si>
    <t>Транспортни и доставки на материали, вкл. монтажни работи на  тръби, фитинги и специализиран продукт</t>
  </si>
  <si>
    <t xml:space="preserve">Доставка и монтаж на персонален компютър </t>
  </si>
  <si>
    <t xml:space="preserve">Доставка и монтаж на оптичен кабел 4 влакна, FO кабел 4 Fibers 9/125 SLT/TW </t>
  </si>
  <si>
    <t xml:space="preserve">Декинг </t>
  </si>
  <si>
    <t xml:space="preserve">ЗОНА 3 - Декинг площадка </t>
  </si>
  <si>
    <t>Вибропресовани бетонови плочи с мита повърхност, растерни размери (ДхШхВ) 90 x 30 x 5 cm. Цвят - антрацит</t>
  </si>
  <si>
    <t>Вибропресовани бетонови плочи с мита повърхност, растерни размери (ДхШхВ) 90 x 30 x 5 cm. Цвят - светло сив</t>
  </si>
  <si>
    <t>Доставка и полагане на основа от трошен камък с дебелина 20 см</t>
  </si>
  <si>
    <t>Доставка и полагане на основа от трошен камък с дебелина 10 см</t>
  </si>
  <si>
    <t>ОБЩО СМР:</t>
  </si>
  <si>
    <t>ОБЩО СМР, С ДДС:</t>
  </si>
  <si>
    <t>Дюза за разпръсквач, дефлекторна, регулируема 0-360° - R= 1.2 m</t>
  </si>
  <si>
    <t>Кабелна арматура , за директен монтаж върху сифон за вграждане DN100, 7бр хидроизолиращи прохода за кабели, материал: томбак, размери: Ø170мм, височина 50мм, тегло 1.9 кг.</t>
  </si>
  <si>
    <t>Сифон за вграждане в бетон, DN100, размери: Ø100мм, височина 141мм, материал: томбак, тегло 3.2кг.</t>
  </si>
  <si>
    <t>Сифон за вграждане в бетон, DN70, размери: Ø70мм, височина 110мм, материал: томбак, тегло 2.1кг.</t>
  </si>
  <si>
    <t>Решетка за сифон, Ø150мм, DN70, материал: неръждаема стомана 1.4301 (AISI 304), тегло: 0.6кг.</t>
  </si>
  <si>
    <r>
      <t>Thuja occidentalis '</t>
    </r>
    <r>
      <rPr>
        <sz val="12"/>
        <color theme="1"/>
        <rFont val="Times New Roman"/>
        <family val="1"/>
        <charset val="204"/>
      </rPr>
      <t>Danica</t>
    </r>
    <r>
      <rPr>
        <i/>
        <sz val="12"/>
        <color theme="1"/>
        <rFont val="Times New Roman"/>
        <family val="1"/>
        <charset val="204"/>
      </rPr>
      <t>'</t>
    </r>
  </si>
  <si>
    <r>
      <t>Berberis thunbergii</t>
    </r>
    <r>
      <rPr>
        <sz val="12"/>
        <color theme="1"/>
        <rFont val="Times New Roman"/>
        <family val="1"/>
        <charset val="204"/>
      </rPr>
      <t xml:space="preserve"> 'Atropurpurea Nana'</t>
    </r>
  </si>
  <si>
    <r>
      <t>Deutzia crenata</t>
    </r>
    <r>
      <rPr>
        <sz val="12"/>
        <color theme="1"/>
        <rFont val="Times New Roman"/>
        <family val="1"/>
        <charset val="204"/>
      </rPr>
      <t xml:space="preserve"> 'Nikko'</t>
    </r>
  </si>
  <si>
    <r>
      <t xml:space="preserve">Euonymus fortunei </t>
    </r>
    <r>
      <rPr>
        <sz val="12"/>
        <color theme="1"/>
        <rFont val="Times New Roman"/>
        <family val="1"/>
        <charset val="204"/>
      </rPr>
      <t>'Emerald &amp; Gold'</t>
    </r>
  </si>
  <si>
    <r>
      <t xml:space="preserve">Euonymus fortunei </t>
    </r>
    <r>
      <rPr>
        <sz val="12"/>
        <color theme="1"/>
        <rFont val="Times New Roman"/>
        <family val="1"/>
        <charset val="204"/>
      </rPr>
      <t>'Emerald Gaiety'</t>
    </r>
  </si>
  <si>
    <r>
      <rPr>
        <i/>
        <sz val="12"/>
        <color theme="1"/>
        <rFont val="Times New Roman"/>
        <family val="1"/>
        <charset val="204"/>
      </rPr>
      <t>Euonymus japonicus</t>
    </r>
    <r>
      <rPr>
        <sz val="12"/>
        <color theme="1"/>
        <rFont val="Times New Roman"/>
        <family val="1"/>
        <charset val="204"/>
      </rPr>
      <t xml:space="preserve"> 'Microphyllus'</t>
    </r>
  </si>
  <si>
    <r>
      <t>Physocarpus opulifolius '</t>
    </r>
    <r>
      <rPr>
        <sz val="12"/>
        <color theme="1"/>
        <rFont val="Times New Roman"/>
        <family val="1"/>
        <charset val="204"/>
      </rPr>
      <t>D’Arts Gold'</t>
    </r>
  </si>
  <si>
    <r>
      <t xml:space="preserve">Spiraea japonica </t>
    </r>
    <r>
      <rPr>
        <sz val="12"/>
        <color theme="1"/>
        <rFont val="Times New Roman"/>
        <family val="1"/>
        <charset val="204"/>
      </rPr>
      <t>'Golden Princess'</t>
    </r>
  </si>
  <si>
    <r>
      <t xml:space="preserve">Spiraea japonica </t>
    </r>
    <r>
      <rPr>
        <sz val="12"/>
        <color theme="1"/>
        <rFont val="Times New Roman"/>
        <family val="1"/>
        <charset val="204"/>
      </rPr>
      <t>'Little Princess'</t>
    </r>
  </si>
  <si>
    <r>
      <t xml:space="preserve">Weigela florida </t>
    </r>
    <r>
      <rPr>
        <sz val="12"/>
        <color theme="1"/>
        <rFont val="Times New Roman"/>
        <family val="1"/>
        <charset val="204"/>
      </rPr>
      <t>'Red Prince'</t>
    </r>
  </si>
  <si>
    <r>
      <t xml:space="preserve">Weigela florida </t>
    </r>
    <r>
      <rPr>
        <sz val="12"/>
        <color theme="1"/>
        <rFont val="Times New Roman"/>
        <family val="1"/>
        <charset val="204"/>
      </rPr>
      <t>'Alexandra'</t>
    </r>
  </si>
  <si>
    <r>
      <t xml:space="preserve">Carex morrowii </t>
    </r>
    <r>
      <rPr>
        <sz val="12"/>
        <color theme="1"/>
        <rFont val="Times New Roman"/>
        <family val="1"/>
        <charset val="204"/>
      </rPr>
      <t>'Ice Dance'</t>
    </r>
  </si>
  <si>
    <r>
      <t>m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</si>
  <si>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m</t>
    </r>
    <r>
      <rPr>
        <vertAlign val="superscript"/>
        <sz val="12"/>
        <color theme="1"/>
        <rFont val="Times New Roman"/>
        <family val="1"/>
        <charset val="204"/>
      </rPr>
      <t>2</t>
    </r>
  </si>
  <si>
    <t>Обща ст-ст (евро)</t>
  </si>
  <si>
    <t>Ед. цена (евро)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</si>
</sst>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лв.&quot;_-;\-* #,##0.00\ &quot;лв.&quot;_-;_-* &quot;-&quot;??\ &quot;лв.&quot;_-;_-@_-"/>
    <numFmt numFmtId="164" formatCode="#,##0.00\ &quot;лв.&quot;"/>
    <numFmt numFmtId="165" formatCode="0.0"/>
    <numFmt numFmtId="166" formatCode="_-* #,##0.00\ _л_в_-;\-* #,##0.00\ _л_в_-;_-* &quot;-&quot;??\ _л_в_-;_-@_-"/>
    <numFmt numFmtId="167" formatCode="#,##0.00\ [$€-1]"/>
    <numFmt numFmtId="168" formatCode="#,##0.00\ [$EUR]"/>
  </numFmts>
  <fonts count="15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ok"/>
    </font>
    <font>
      <sz val="10"/>
      <name val="MS Sans Serif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22222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4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49" fontId="4" fillId="0" borderId="0"/>
    <xf numFmtId="0" fontId="3" fillId="0" borderId="0"/>
  </cellStyleXfs>
  <cellXfs count="130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9" fontId="8" fillId="2" borderId="1" xfId="0" applyNumberFormat="1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10" fillId="7" borderId="1" xfId="0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9" fillId="7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left"/>
    </xf>
    <xf numFmtId="0" fontId="7" fillId="7" borderId="6" xfId="0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165" fontId="8" fillId="4" borderId="1" xfId="0" applyNumberFormat="1" applyFont="1" applyFill="1" applyBorder="1" applyAlignment="1">
      <alignment horizontal="left" vertical="center"/>
    </xf>
    <xf numFmtId="164" fontId="7" fillId="0" borderId="0" xfId="0" applyNumberFormat="1" applyFont="1"/>
    <xf numFmtId="49" fontId="9" fillId="0" borderId="1" xfId="0" applyNumberFormat="1" applyFont="1" applyBorder="1" applyAlignment="1">
      <alignment horizontal="center"/>
    </xf>
    <xf numFmtId="0" fontId="12" fillId="7" borderId="5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horizontal="left" vertical="center"/>
    </xf>
    <xf numFmtId="165" fontId="7" fillId="0" borderId="6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2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vertical="center"/>
    </xf>
    <xf numFmtId="2" fontId="8" fillId="4" borderId="1" xfId="0" applyNumberFormat="1" applyFont="1" applyFill="1" applyBorder="1" applyAlignment="1">
      <alignment horizontal="center" vertical="center" wrapText="1"/>
    </xf>
    <xf numFmtId="2" fontId="8" fillId="4" borderId="6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vertical="center" wrapText="1"/>
    </xf>
    <xf numFmtId="167" fontId="6" fillId="5" borderId="1" xfId="0" applyNumberFormat="1" applyFont="1" applyFill="1" applyBorder="1" applyAlignment="1">
      <alignment horizontal="center" vertical="center"/>
    </xf>
    <xf numFmtId="167" fontId="6" fillId="6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8" fontId="7" fillId="0" borderId="1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8" fontId="6" fillId="8" borderId="4" xfId="0" applyNumberFormat="1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vertical="center"/>
    </xf>
    <xf numFmtId="168" fontId="8" fillId="4" borderId="1" xfId="0" applyNumberFormat="1" applyFont="1" applyFill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wrapText="1"/>
    </xf>
    <xf numFmtId="168" fontId="7" fillId="0" borderId="1" xfId="3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/>
    </xf>
    <xf numFmtId="168" fontId="7" fillId="7" borderId="6" xfId="0" applyNumberFormat="1" applyFont="1" applyFill="1" applyBorder="1" applyAlignment="1">
      <alignment horizontal="center" vertical="center"/>
    </xf>
    <xf numFmtId="168" fontId="8" fillId="4" borderId="6" xfId="0" applyNumberFormat="1" applyFont="1" applyFill="1" applyBorder="1" applyAlignment="1">
      <alignment horizontal="center" vertical="center"/>
    </xf>
    <xf numFmtId="168" fontId="8" fillId="2" borderId="8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7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vertical="center" wrapText="1"/>
    </xf>
    <xf numFmtId="49" fontId="8" fillId="4" borderId="5" xfId="0" applyNumberFormat="1" applyFont="1" applyFill="1" applyBorder="1" applyAlignment="1">
      <alignment horizontal="left" vertical="center"/>
    </xf>
    <xf numFmtId="49" fontId="8" fillId="4" borderId="7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4" borderId="1" xfId="0" applyNumberFormat="1" applyFont="1" applyFill="1" applyBorder="1" applyAlignment="1">
      <alignment horizontal="left" vertical="center"/>
    </xf>
  </cellXfs>
  <cellStyles count="14">
    <cellStyle name="Comma 2" xfId="4" xr:uid="{00000000-0005-0000-0000-000000000000}"/>
    <cellStyle name="Currency" xfId="3" builtinId="4"/>
    <cellStyle name="Normal" xfId="0" builtinId="0"/>
    <cellStyle name="Normal 2" xfId="1" xr:uid="{00000000-0005-0000-0000-000003000000}"/>
    <cellStyle name="Normal 2 2" xfId="6" xr:uid="{00000000-0005-0000-0000-000004000000}"/>
    <cellStyle name="Normal 2 2 2" xfId="7" xr:uid="{00000000-0005-0000-0000-000005000000}"/>
    <cellStyle name="Normal 2 2 2 2" xfId="8" xr:uid="{00000000-0005-0000-0000-000006000000}"/>
    <cellStyle name="Normal 2 2 3" xfId="9" xr:uid="{00000000-0005-0000-0000-000007000000}"/>
    <cellStyle name="Normal 2 3" xfId="10" xr:uid="{00000000-0005-0000-0000-000008000000}"/>
    <cellStyle name="Normal 2 4" xfId="11" xr:uid="{00000000-0005-0000-0000-000009000000}"/>
    <cellStyle name="Normal 2 5" xfId="5" xr:uid="{00000000-0005-0000-0000-00000A000000}"/>
    <cellStyle name="Normal 3" xfId="12" xr:uid="{00000000-0005-0000-0000-00000B000000}"/>
    <cellStyle name="Normal 3 2" xfId="13" xr:uid="{00000000-0005-0000-0000-00000C000000}"/>
    <cellStyle name="Нормален 2" xfId="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67"/>
  <sheetViews>
    <sheetView tabSelected="1" workbookViewId="0">
      <pane ySplit="4" topLeftCell="A5" activePane="bottomLeft" state="frozen"/>
      <selection pane="bottomLeft" activeCell="H471" sqref="H471"/>
    </sheetView>
  </sheetViews>
  <sheetFormatPr defaultColWidth="9.109375" defaultRowHeight="15.6"/>
  <cols>
    <col min="1" max="1" width="3.88671875" style="14" customWidth="1"/>
    <col min="2" max="2" width="6.109375" style="15" customWidth="1"/>
    <col min="3" max="3" width="27.109375" style="16" customWidth="1"/>
    <col min="4" max="4" width="19.88671875" style="14" customWidth="1"/>
    <col min="5" max="5" width="5.77734375" style="2" customWidth="1"/>
    <col min="6" max="6" width="7" style="2" customWidth="1"/>
    <col min="7" max="7" width="15.5546875" style="95" customWidth="1"/>
    <col min="8" max="8" width="16.44140625" style="2" customWidth="1"/>
    <col min="9" max="9" width="10.44140625" style="14" customWidth="1"/>
    <col min="10" max="10" width="17.77734375" style="14" customWidth="1"/>
    <col min="11" max="13" width="9.109375" style="14"/>
    <col min="14" max="14" width="13.88671875" style="14" customWidth="1"/>
    <col min="15" max="16384" width="9.109375" style="14"/>
  </cols>
  <sheetData>
    <row r="1" spans="1:14" ht="30" customHeight="1">
      <c r="A1" s="12"/>
      <c r="B1" s="126" t="s">
        <v>143</v>
      </c>
      <c r="C1" s="126"/>
      <c r="D1" s="126"/>
      <c r="E1" s="126"/>
      <c r="F1" s="126"/>
      <c r="G1" s="126"/>
      <c r="H1" s="126"/>
    </row>
    <row r="2" spans="1:14" ht="30" customHeight="1">
      <c r="A2" s="12"/>
      <c r="B2" s="126" t="s">
        <v>142</v>
      </c>
      <c r="C2" s="126"/>
      <c r="D2" s="126"/>
      <c r="E2" s="126"/>
      <c r="F2" s="126"/>
      <c r="G2" s="126"/>
      <c r="H2" s="126"/>
    </row>
    <row r="3" spans="1:14" ht="15" customHeight="1" thickBot="1"/>
    <row r="4" spans="1:14" s="1" customFormat="1" ht="30" customHeight="1" thickBot="1">
      <c r="A4" s="17"/>
      <c r="B4" s="18" t="s">
        <v>14</v>
      </c>
      <c r="C4" s="19" t="s">
        <v>0</v>
      </c>
      <c r="D4" s="19" t="s">
        <v>15</v>
      </c>
      <c r="E4" s="19" t="s">
        <v>12</v>
      </c>
      <c r="F4" s="19" t="s">
        <v>13</v>
      </c>
      <c r="G4" s="96" t="s">
        <v>857</v>
      </c>
      <c r="H4" s="20" t="s">
        <v>856</v>
      </c>
    </row>
    <row r="5" spans="1:14" s="1" customFormat="1" ht="15" customHeight="1">
      <c r="B5" s="127"/>
      <c r="C5" s="127"/>
      <c r="D5" s="127"/>
      <c r="E5" s="127"/>
      <c r="F5" s="127"/>
      <c r="G5" s="127"/>
      <c r="H5" s="127"/>
    </row>
    <row r="6" spans="1:14" s="1" customFormat="1" ht="15" customHeight="1">
      <c r="A6" s="128" t="s">
        <v>2</v>
      </c>
      <c r="B6" s="13" t="s">
        <v>2</v>
      </c>
      <c r="C6" s="21" t="s">
        <v>38</v>
      </c>
      <c r="D6" s="22"/>
      <c r="E6" s="22"/>
      <c r="F6" s="22"/>
      <c r="G6" s="97"/>
      <c r="H6" s="23"/>
    </row>
    <row r="7" spans="1:14" s="1" customFormat="1" ht="15" customHeight="1">
      <c r="A7" s="128"/>
      <c r="B7" s="24" t="s">
        <v>41</v>
      </c>
      <c r="C7" s="117" t="s">
        <v>16</v>
      </c>
      <c r="D7" s="117"/>
      <c r="E7" s="25"/>
      <c r="F7" s="25"/>
      <c r="G7" s="98"/>
      <c r="H7" s="26"/>
    </row>
    <row r="8" spans="1:14" s="1" customFormat="1" ht="15" customHeight="1">
      <c r="A8" s="128"/>
      <c r="B8" s="27" t="s">
        <v>9</v>
      </c>
      <c r="C8" s="28" t="s">
        <v>28</v>
      </c>
      <c r="D8" s="29"/>
      <c r="E8" s="30" t="s">
        <v>171</v>
      </c>
      <c r="F8" s="10">
        <v>1210.8</v>
      </c>
      <c r="G8" s="99"/>
      <c r="H8" s="32"/>
    </row>
    <row r="9" spans="1:14" s="1" customFormat="1" ht="47.25" customHeight="1">
      <c r="A9" s="128"/>
      <c r="B9" s="33" t="s">
        <v>64</v>
      </c>
      <c r="C9" s="34" t="s">
        <v>585</v>
      </c>
      <c r="D9" s="35" t="s">
        <v>584</v>
      </c>
      <c r="E9" s="11" t="s">
        <v>170</v>
      </c>
      <c r="F9" s="9">
        <v>302.7</v>
      </c>
      <c r="G9" s="94">
        <v>14</v>
      </c>
      <c r="H9" s="83">
        <f>ROUND(F9*G9,2)</f>
        <v>4237.8</v>
      </c>
      <c r="N9" s="82"/>
    </row>
    <row r="10" spans="1:14" s="1" customFormat="1" ht="33.75" customHeight="1">
      <c r="A10" s="128"/>
      <c r="B10" s="33" t="s">
        <v>65</v>
      </c>
      <c r="C10" s="34" t="s">
        <v>579</v>
      </c>
      <c r="D10" s="35"/>
      <c r="E10" s="11" t="s">
        <v>171</v>
      </c>
      <c r="F10" s="9">
        <v>1210.8</v>
      </c>
      <c r="G10" s="94">
        <v>2</v>
      </c>
      <c r="H10" s="83">
        <f t="shared" ref="H10:H57" si="0">ROUND(F10*G10,2)</f>
        <v>2421.6</v>
      </c>
      <c r="N10" s="82"/>
    </row>
    <row r="11" spans="1:14" s="1" customFormat="1" ht="60" customHeight="1">
      <c r="A11" s="128"/>
      <c r="B11" s="33" t="s">
        <v>211</v>
      </c>
      <c r="C11" s="34" t="s">
        <v>833</v>
      </c>
      <c r="D11" s="35" t="s">
        <v>586</v>
      </c>
      <c r="E11" s="11" t="s">
        <v>170</v>
      </c>
      <c r="F11" s="9">
        <v>243</v>
      </c>
      <c r="G11" s="94">
        <v>37</v>
      </c>
      <c r="H11" s="83">
        <f t="shared" si="0"/>
        <v>8991</v>
      </c>
      <c r="N11" s="82"/>
    </row>
    <row r="12" spans="1:14" s="1" customFormat="1" ht="60" customHeight="1">
      <c r="A12" s="128"/>
      <c r="B12" s="33" t="s">
        <v>212</v>
      </c>
      <c r="C12" s="34" t="s">
        <v>834</v>
      </c>
      <c r="D12" s="35" t="s">
        <v>583</v>
      </c>
      <c r="E12" s="11" t="s">
        <v>170</v>
      </c>
      <c r="F12" s="9">
        <v>121</v>
      </c>
      <c r="G12" s="94">
        <v>38</v>
      </c>
      <c r="H12" s="83">
        <f t="shared" si="0"/>
        <v>4598</v>
      </c>
      <c r="N12" s="82"/>
    </row>
    <row r="13" spans="1:14" s="1" customFormat="1" ht="61.5" customHeight="1">
      <c r="A13" s="128"/>
      <c r="B13" s="33" t="s">
        <v>213</v>
      </c>
      <c r="C13" s="34" t="s">
        <v>734</v>
      </c>
      <c r="D13" s="34" t="s">
        <v>587</v>
      </c>
      <c r="E13" s="11" t="s">
        <v>170</v>
      </c>
      <c r="F13" s="9">
        <v>73</v>
      </c>
      <c r="G13" s="94">
        <v>40</v>
      </c>
      <c r="H13" s="83">
        <f t="shared" si="0"/>
        <v>2920</v>
      </c>
      <c r="N13" s="82"/>
    </row>
    <row r="14" spans="1:14" s="1" customFormat="1" ht="149.25" customHeight="1">
      <c r="A14" s="128"/>
      <c r="B14" s="33" t="s">
        <v>214</v>
      </c>
      <c r="C14" s="34" t="s">
        <v>588</v>
      </c>
      <c r="D14" s="36" t="s">
        <v>589</v>
      </c>
      <c r="E14" s="9" t="s">
        <v>79</v>
      </c>
      <c r="F14" s="9">
        <v>605.6</v>
      </c>
      <c r="G14" s="94">
        <v>2.5</v>
      </c>
      <c r="H14" s="83">
        <f t="shared" si="0"/>
        <v>1514</v>
      </c>
      <c r="N14" s="82"/>
    </row>
    <row r="15" spans="1:14" s="1" customFormat="1" ht="285" customHeight="1">
      <c r="A15" s="128"/>
      <c r="B15" s="33" t="s">
        <v>215</v>
      </c>
      <c r="C15" s="34" t="s">
        <v>580</v>
      </c>
      <c r="D15" s="37" t="s">
        <v>755</v>
      </c>
      <c r="E15" s="11" t="s">
        <v>171</v>
      </c>
      <c r="F15" s="9">
        <v>552</v>
      </c>
      <c r="G15" s="94">
        <v>25</v>
      </c>
      <c r="H15" s="83">
        <f t="shared" si="0"/>
        <v>13800</v>
      </c>
      <c r="N15" s="82"/>
    </row>
    <row r="16" spans="1:14" s="1" customFormat="1" ht="195" customHeight="1">
      <c r="A16" s="128"/>
      <c r="B16" s="33" t="s">
        <v>216</v>
      </c>
      <c r="C16" s="34" t="s">
        <v>581</v>
      </c>
      <c r="D16" s="37" t="s">
        <v>756</v>
      </c>
      <c r="E16" s="11" t="s">
        <v>171</v>
      </c>
      <c r="F16" s="9">
        <v>563</v>
      </c>
      <c r="G16" s="94">
        <v>24</v>
      </c>
      <c r="H16" s="83">
        <f t="shared" si="0"/>
        <v>13512</v>
      </c>
      <c r="N16" s="82"/>
    </row>
    <row r="17" spans="1:14" s="1" customFormat="1" ht="105" customHeight="1">
      <c r="A17" s="128"/>
      <c r="B17" s="33" t="s">
        <v>217</v>
      </c>
      <c r="C17" s="34" t="s">
        <v>591</v>
      </c>
      <c r="D17" s="37" t="s">
        <v>735</v>
      </c>
      <c r="E17" s="11" t="s">
        <v>171</v>
      </c>
      <c r="F17" s="9">
        <v>58</v>
      </c>
      <c r="G17" s="94">
        <v>25</v>
      </c>
      <c r="H17" s="83">
        <f t="shared" si="0"/>
        <v>1450</v>
      </c>
      <c r="N17" s="82"/>
    </row>
    <row r="18" spans="1:14" s="1" customFormat="1" ht="109.2">
      <c r="A18" s="128"/>
      <c r="B18" s="33" t="s">
        <v>218</v>
      </c>
      <c r="C18" s="34" t="s">
        <v>582</v>
      </c>
      <c r="D18" s="37" t="s">
        <v>736</v>
      </c>
      <c r="E18" s="9" t="s">
        <v>17</v>
      </c>
      <c r="F18" s="9">
        <v>154</v>
      </c>
      <c r="G18" s="94">
        <v>8</v>
      </c>
      <c r="H18" s="83">
        <f t="shared" si="0"/>
        <v>1232</v>
      </c>
      <c r="N18" s="82"/>
    </row>
    <row r="19" spans="1:14" s="1" customFormat="1">
      <c r="A19" s="128"/>
      <c r="B19" s="27" t="s">
        <v>10</v>
      </c>
      <c r="C19" s="28" t="s">
        <v>29</v>
      </c>
      <c r="D19" s="29"/>
      <c r="E19" s="30" t="s">
        <v>171</v>
      </c>
      <c r="F19" s="10">
        <v>13.5</v>
      </c>
      <c r="G19" s="99">
        <v>50</v>
      </c>
      <c r="H19" s="84">
        <f t="shared" si="0"/>
        <v>675</v>
      </c>
      <c r="N19" s="82"/>
    </row>
    <row r="20" spans="1:14" s="1" customFormat="1" ht="109.2">
      <c r="A20" s="128"/>
      <c r="B20" s="33" t="s">
        <v>235</v>
      </c>
      <c r="C20" s="34" t="s">
        <v>590</v>
      </c>
      <c r="D20" s="37" t="s">
        <v>831</v>
      </c>
      <c r="E20" s="11" t="s">
        <v>171</v>
      </c>
      <c r="F20" s="9">
        <v>18</v>
      </c>
      <c r="G20" s="94">
        <v>26</v>
      </c>
      <c r="H20" s="83">
        <f t="shared" si="0"/>
        <v>468</v>
      </c>
      <c r="N20" s="82"/>
    </row>
    <row r="21" spans="1:14" s="1" customFormat="1" ht="109.2">
      <c r="A21" s="128"/>
      <c r="B21" s="33" t="s">
        <v>236</v>
      </c>
      <c r="C21" s="34" t="s">
        <v>590</v>
      </c>
      <c r="D21" s="37" t="s">
        <v>832</v>
      </c>
      <c r="E21" s="11" t="s">
        <v>171</v>
      </c>
      <c r="F21" s="9">
        <v>15</v>
      </c>
      <c r="G21" s="94">
        <v>26</v>
      </c>
      <c r="H21" s="83">
        <f t="shared" si="0"/>
        <v>390</v>
      </c>
      <c r="N21" s="82"/>
    </row>
    <row r="22" spans="1:14" s="1" customFormat="1">
      <c r="A22" s="128"/>
      <c r="B22" s="38" t="s">
        <v>11</v>
      </c>
      <c r="C22" s="39" t="s">
        <v>592</v>
      </c>
      <c r="D22" s="40"/>
      <c r="E22" s="41"/>
      <c r="F22" s="41"/>
      <c r="G22" s="100"/>
      <c r="H22" s="85"/>
      <c r="N22" s="82"/>
    </row>
    <row r="23" spans="1:14" s="1" customFormat="1" ht="60" customHeight="1">
      <c r="A23" s="128"/>
      <c r="B23" s="33" t="s">
        <v>537</v>
      </c>
      <c r="C23" s="34" t="s">
        <v>593</v>
      </c>
      <c r="D23" s="42" t="s">
        <v>737</v>
      </c>
      <c r="E23" s="11" t="s">
        <v>170</v>
      </c>
      <c r="F23" s="9">
        <v>15</v>
      </c>
      <c r="G23" s="94">
        <v>80</v>
      </c>
      <c r="H23" s="83">
        <f t="shared" si="0"/>
        <v>1200</v>
      </c>
      <c r="N23" s="82"/>
    </row>
    <row r="24" spans="1:14" s="1" customFormat="1" ht="31.2">
      <c r="A24" s="128"/>
      <c r="B24" s="33" t="s">
        <v>538</v>
      </c>
      <c r="C24" s="34" t="s">
        <v>738</v>
      </c>
      <c r="D24" s="43"/>
      <c r="E24" s="9" t="s">
        <v>79</v>
      </c>
      <c r="F24" s="9">
        <v>192</v>
      </c>
      <c r="G24" s="94">
        <v>10</v>
      </c>
      <c r="H24" s="83">
        <f t="shared" si="0"/>
        <v>1920</v>
      </c>
      <c r="N24" s="82"/>
    </row>
    <row r="25" spans="1:14" s="1" customFormat="1" ht="46.8">
      <c r="A25" s="128"/>
      <c r="B25" s="33" t="s">
        <v>539</v>
      </c>
      <c r="C25" s="34" t="s">
        <v>751</v>
      </c>
      <c r="D25" s="43" t="s">
        <v>752</v>
      </c>
      <c r="E25" s="11" t="s">
        <v>171</v>
      </c>
      <c r="F25" s="9">
        <v>640</v>
      </c>
      <c r="G25" s="94">
        <v>5</v>
      </c>
      <c r="H25" s="83">
        <f t="shared" si="0"/>
        <v>3200</v>
      </c>
      <c r="N25" s="82"/>
    </row>
    <row r="26" spans="1:14" s="1" customFormat="1">
      <c r="A26" s="128"/>
      <c r="B26" s="27" t="s">
        <v>18</v>
      </c>
      <c r="C26" s="28" t="s">
        <v>829</v>
      </c>
      <c r="D26" s="29"/>
      <c r="E26" s="30" t="s">
        <v>171</v>
      </c>
      <c r="F26" s="10">
        <v>106.5</v>
      </c>
      <c r="G26" s="99"/>
      <c r="H26" s="84"/>
      <c r="N26" s="82"/>
    </row>
    <row r="27" spans="1:14" s="1" customFormat="1" ht="56.25" customHeight="1">
      <c r="A27" s="128"/>
      <c r="B27" s="33" t="s">
        <v>543</v>
      </c>
      <c r="C27" s="34" t="s">
        <v>596</v>
      </c>
      <c r="D27" s="35" t="s">
        <v>595</v>
      </c>
      <c r="E27" s="9" t="s">
        <v>79</v>
      </c>
      <c r="F27" s="9">
        <v>40</v>
      </c>
      <c r="G27" s="94">
        <v>10</v>
      </c>
      <c r="H27" s="83">
        <f t="shared" si="0"/>
        <v>400</v>
      </c>
      <c r="N27" s="82"/>
    </row>
    <row r="28" spans="1:14" s="1" customFormat="1" ht="31.2">
      <c r="A28" s="128"/>
      <c r="B28" s="33" t="s">
        <v>544</v>
      </c>
      <c r="C28" s="34" t="s">
        <v>594</v>
      </c>
      <c r="D28" s="34" t="s">
        <v>597</v>
      </c>
      <c r="E28" s="11" t="s">
        <v>171</v>
      </c>
      <c r="F28" s="9">
        <v>106.5</v>
      </c>
      <c r="G28" s="94">
        <v>130</v>
      </c>
      <c r="H28" s="83">
        <f t="shared" si="0"/>
        <v>13845</v>
      </c>
      <c r="N28" s="82"/>
    </row>
    <row r="29" spans="1:14" s="1" customFormat="1" ht="31.2">
      <c r="A29" s="128"/>
      <c r="B29" s="27" t="s">
        <v>19</v>
      </c>
      <c r="C29" s="28" t="s">
        <v>52</v>
      </c>
      <c r="D29" s="29"/>
      <c r="E29" s="30" t="s">
        <v>171</v>
      </c>
      <c r="F29" s="10">
        <v>130</v>
      </c>
      <c r="G29" s="99"/>
      <c r="H29" s="84"/>
      <c r="N29" s="82"/>
    </row>
    <row r="30" spans="1:14" s="1" customFormat="1" ht="31.2">
      <c r="A30" s="128"/>
      <c r="B30" s="33" t="s">
        <v>44</v>
      </c>
      <c r="C30" s="34" t="s">
        <v>601</v>
      </c>
      <c r="D30" s="44" t="s">
        <v>750</v>
      </c>
      <c r="E30" s="11" t="s">
        <v>171</v>
      </c>
      <c r="F30" s="9">
        <v>130</v>
      </c>
      <c r="G30" s="94">
        <v>25</v>
      </c>
      <c r="H30" s="83">
        <f t="shared" si="0"/>
        <v>3250</v>
      </c>
      <c r="N30" s="82"/>
    </row>
    <row r="31" spans="1:14" s="1" customFormat="1" ht="46.8">
      <c r="A31" s="128"/>
      <c r="B31" s="33" t="s">
        <v>209</v>
      </c>
      <c r="C31" s="34" t="s">
        <v>600</v>
      </c>
      <c r="D31" s="34" t="s">
        <v>746</v>
      </c>
      <c r="E31" s="11" t="s">
        <v>171</v>
      </c>
      <c r="F31" s="9">
        <v>56.7</v>
      </c>
      <c r="G31" s="94">
        <v>45</v>
      </c>
      <c r="H31" s="83">
        <f t="shared" si="0"/>
        <v>2551.5</v>
      </c>
      <c r="N31" s="82"/>
    </row>
    <row r="32" spans="1:14" s="1" customFormat="1" ht="46.8">
      <c r="A32" s="128"/>
      <c r="B32" s="33" t="s">
        <v>248</v>
      </c>
      <c r="C32" s="34" t="s">
        <v>600</v>
      </c>
      <c r="D32" s="34" t="s">
        <v>747</v>
      </c>
      <c r="E32" s="11" t="s">
        <v>171</v>
      </c>
      <c r="F32" s="9">
        <v>37.200000000000003</v>
      </c>
      <c r="G32" s="94">
        <v>45</v>
      </c>
      <c r="H32" s="83">
        <f t="shared" si="0"/>
        <v>1674</v>
      </c>
      <c r="N32" s="82"/>
    </row>
    <row r="33" spans="1:14" s="1" customFormat="1" ht="46.8">
      <c r="A33" s="128"/>
      <c r="B33" s="33" t="s">
        <v>249</v>
      </c>
      <c r="C33" s="34" t="s">
        <v>599</v>
      </c>
      <c r="D33" s="34" t="s">
        <v>748</v>
      </c>
      <c r="E33" s="11" t="s">
        <v>171</v>
      </c>
      <c r="F33" s="9">
        <v>36</v>
      </c>
      <c r="G33" s="94">
        <v>45</v>
      </c>
      <c r="H33" s="83">
        <f t="shared" si="0"/>
        <v>1620</v>
      </c>
      <c r="N33" s="82"/>
    </row>
    <row r="34" spans="1:14" s="1" customFormat="1">
      <c r="A34" s="128"/>
      <c r="B34" s="24" t="s">
        <v>42</v>
      </c>
      <c r="C34" s="129" t="s">
        <v>43</v>
      </c>
      <c r="D34" s="129"/>
      <c r="E34" s="45" t="s">
        <v>171</v>
      </c>
      <c r="F34" s="46">
        <v>130</v>
      </c>
      <c r="G34" s="98"/>
      <c r="H34" s="86"/>
      <c r="N34" s="82"/>
    </row>
    <row r="35" spans="1:14" s="1" customFormat="1" ht="78">
      <c r="A35" s="128"/>
      <c r="B35" s="33" t="s">
        <v>250</v>
      </c>
      <c r="C35" s="34" t="s">
        <v>602</v>
      </c>
      <c r="D35" s="42" t="s">
        <v>739</v>
      </c>
      <c r="E35" s="9" t="s">
        <v>17</v>
      </c>
      <c r="F35" s="9">
        <v>4</v>
      </c>
      <c r="G35" s="94">
        <v>250</v>
      </c>
      <c r="H35" s="83">
        <f t="shared" si="0"/>
        <v>1000</v>
      </c>
      <c r="N35" s="82"/>
    </row>
    <row r="36" spans="1:14" s="1" customFormat="1" ht="75" customHeight="1">
      <c r="A36" s="128"/>
      <c r="B36" s="33" t="s">
        <v>251</v>
      </c>
      <c r="C36" s="34" t="s">
        <v>603</v>
      </c>
      <c r="D36" s="42" t="s">
        <v>749</v>
      </c>
      <c r="E36" s="9" t="s">
        <v>17</v>
      </c>
      <c r="F36" s="9">
        <v>46</v>
      </c>
      <c r="G36" s="94">
        <v>50</v>
      </c>
      <c r="H36" s="83">
        <f t="shared" si="0"/>
        <v>2300</v>
      </c>
      <c r="N36" s="82"/>
    </row>
    <row r="37" spans="1:14" s="1" customFormat="1" ht="44.25" customHeight="1">
      <c r="A37" s="128"/>
      <c r="B37" s="33" t="s">
        <v>252</v>
      </c>
      <c r="C37" s="34" t="s">
        <v>604</v>
      </c>
      <c r="D37" s="42" t="s">
        <v>740</v>
      </c>
      <c r="E37" s="9" t="s">
        <v>17</v>
      </c>
      <c r="F37" s="9">
        <v>44</v>
      </c>
      <c r="G37" s="94">
        <v>50</v>
      </c>
      <c r="H37" s="83">
        <f t="shared" si="0"/>
        <v>2200</v>
      </c>
      <c r="N37" s="82"/>
    </row>
    <row r="38" spans="1:14" s="1" customFormat="1" ht="46.8">
      <c r="A38" s="128"/>
      <c r="B38" s="33" t="s">
        <v>253</v>
      </c>
      <c r="C38" s="34" t="s">
        <v>817</v>
      </c>
      <c r="D38" s="34" t="s">
        <v>818</v>
      </c>
      <c r="E38" s="9" t="s">
        <v>17</v>
      </c>
      <c r="F38" s="9">
        <v>1</v>
      </c>
      <c r="G38" s="94">
        <v>800</v>
      </c>
      <c r="H38" s="83">
        <f t="shared" si="0"/>
        <v>800</v>
      </c>
      <c r="N38" s="82"/>
    </row>
    <row r="39" spans="1:14" s="1" customFormat="1" ht="109.2">
      <c r="A39" s="128"/>
      <c r="B39" s="33" t="s">
        <v>254</v>
      </c>
      <c r="C39" s="34" t="s">
        <v>819</v>
      </c>
      <c r="D39" s="34" t="s">
        <v>820</v>
      </c>
      <c r="E39" s="9" t="s">
        <v>17</v>
      </c>
      <c r="F39" s="9">
        <v>1</v>
      </c>
      <c r="G39" s="94">
        <v>4000</v>
      </c>
      <c r="H39" s="83">
        <f t="shared" si="0"/>
        <v>4000</v>
      </c>
      <c r="N39" s="82"/>
    </row>
    <row r="40" spans="1:14" s="1" customFormat="1" ht="124.8">
      <c r="A40" s="128"/>
      <c r="B40" s="33" t="s">
        <v>255</v>
      </c>
      <c r="C40" s="34" t="s">
        <v>598</v>
      </c>
      <c r="D40" s="34" t="s">
        <v>821</v>
      </c>
      <c r="E40" s="9" t="s">
        <v>17</v>
      </c>
      <c r="F40" s="9">
        <v>1</v>
      </c>
      <c r="G40" s="94">
        <v>800</v>
      </c>
      <c r="H40" s="83">
        <f t="shared" si="0"/>
        <v>800</v>
      </c>
      <c r="N40" s="82"/>
    </row>
    <row r="41" spans="1:14" s="1" customFormat="1" ht="46.8">
      <c r="A41" s="128"/>
      <c r="B41" s="33" t="s">
        <v>256</v>
      </c>
      <c r="C41" s="34" t="s">
        <v>822</v>
      </c>
      <c r="D41" s="34" t="s">
        <v>823</v>
      </c>
      <c r="E41" s="9" t="s">
        <v>17</v>
      </c>
      <c r="F41" s="9">
        <v>1</v>
      </c>
      <c r="G41" s="94">
        <v>500</v>
      </c>
      <c r="H41" s="83">
        <f t="shared" si="0"/>
        <v>500</v>
      </c>
      <c r="N41" s="82"/>
    </row>
    <row r="42" spans="1:14" s="1" customFormat="1" ht="31.2">
      <c r="A42" s="128"/>
      <c r="B42" s="33" t="s">
        <v>257</v>
      </c>
      <c r="C42" s="34" t="s">
        <v>824</v>
      </c>
      <c r="D42" s="34" t="s">
        <v>825</v>
      </c>
      <c r="E42" s="9" t="s">
        <v>17</v>
      </c>
      <c r="F42" s="9">
        <v>1</v>
      </c>
      <c r="G42" s="94">
        <v>300</v>
      </c>
      <c r="H42" s="83">
        <f t="shared" si="0"/>
        <v>300</v>
      </c>
      <c r="N42" s="82"/>
    </row>
    <row r="43" spans="1:14" s="1" customFormat="1" ht="15" customHeight="1">
      <c r="A43" s="128"/>
      <c r="B43" s="24" t="s">
        <v>47</v>
      </c>
      <c r="C43" s="129" t="s">
        <v>30</v>
      </c>
      <c r="D43" s="129"/>
      <c r="E43" s="47"/>
      <c r="F43" s="47"/>
      <c r="G43" s="98"/>
      <c r="H43" s="86"/>
      <c r="N43" s="82"/>
    </row>
    <row r="44" spans="1:14" s="1" customFormat="1" ht="66.75" customHeight="1">
      <c r="A44" s="128"/>
      <c r="B44" s="33" t="s">
        <v>48</v>
      </c>
      <c r="C44" s="34" t="s">
        <v>605</v>
      </c>
      <c r="D44" s="9"/>
      <c r="E44" s="9" t="s">
        <v>17</v>
      </c>
      <c r="F44" s="9">
        <v>1</v>
      </c>
      <c r="G44" s="94">
        <v>200</v>
      </c>
      <c r="H44" s="83">
        <f t="shared" si="0"/>
        <v>200</v>
      </c>
      <c r="N44" s="82"/>
    </row>
    <row r="45" spans="1:14" s="1" customFormat="1" ht="104.25" customHeight="1">
      <c r="A45" s="128"/>
      <c r="B45" s="33" t="s">
        <v>49</v>
      </c>
      <c r="C45" s="34" t="s">
        <v>701</v>
      </c>
      <c r="D45" s="9"/>
      <c r="E45" s="9" t="s">
        <v>17</v>
      </c>
      <c r="F45" s="9">
        <v>15</v>
      </c>
      <c r="G45" s="94">
        <v>100</v>
      </c>
      <c r="H45" s="83">
        <f t="shared" si="0"/>
        <v>1500</v>
      </c>
      <c r="N45" s="82"/>
    </row>
    <row r="46" spans="1:14" s="1" customFormat="1" ht="82.5" customHeight="1">
      <c r="A46" s="128"/>
      <c r="B46" s="33" t="s">
        <v>50</v>
      </c>
      <c r="C46" s="34" t="s">
        <v>703</v>
      </c>
      <c r="D46" s="9"/>
      <c r="E46" s="11" t="s">
        <v>171</v>
      </c>
      <c r="F46" s="9">
        <v>201</v>
      </c>
      <c r="G46" s="94">
        <v>30</v>
      </c>
      <c r="H46" s="83">
        <f t="shared" si="0"/>
        <v>6030</v>
      </c>
      <c r="N46" s="82"/>
    </row>
    <row r="47" spans="1:14" s="1" customFormat="1" ht="93.6">
      <c r="A47" s="128"/>
      <c r="B47" s="33" t="s">
        <v>146</v>
      </c>
      <c r="C47" s="34" t="s">
        <v>702</v>
      </c>
      <c r="D47" s="34"/>
      <c r="E47" s="11" t="s">
        <v>171</v>
      </c>
      <c r="F47" s="48">
        <v>3792.1</v>
      </c>
      <c r="G47" s="94">
        <v>10</v>
      </c>
      <c r="H47" s="83">
        <f t="shared" si="0"/>
        <v>37921</v>
      </c>
      <c r="N47" s="82"/>
    </row>
    <row r="48" spans="1:14" s="1" customFormat="1" ht="31.2">
      <c r="A48" s="128"/>
      <c r="B48" s="33" t="s">
        <v>147</v>
      </c>
      <c r="C48" s="34" t="s">
        <v>606</v>
      </c>
      <c r="D48" s="34" t="s">
        <v>607</v>
      </c>
      <c r="E48" s="11" t="s">
        <v>170</v>
      </c>
      <c r="F48" s="49" t="s">
        <v>608</v>
      </c>
      <c r="G48" s="94">
        <v>35</v>
      </c>
      <c r="H48" s="83">
        <f t="shared" si="0"/>
        <v>13300</v>
      </c>
      <c r="N48" s="82"/>
    </row>
    <row r="49" spans="1:14" s="1" customFormat="1" ht="94.5" customHeight="1">
      <c r="A49" s="128"/>
      <c r="B49" s="33" t="s">
        <v>148</v>
      </c>
      <c r="C49" s="34" t="s">
        <v>609</v>
      </c>
      <c r="D49" s="34" t="s">
        <v>610</v>
      </c>
      <c r="E49" s="9" t="s">
        <v>733</v>
      </c>
      <c r="F49" s="48">
        <v>66.5</v>
      </c>
      <c r="G49" s="94">
        <v>80</v>
      </c>
      <c r="H49" s="83">
        <f t="shared" si="0"/>
        <v>5320</v>
      </c>
      <c r="N49" s="82"/>
    </row>
    <row r="50" spans="1:14" s="1" customFormat="1" ht="15" customHeight="1">
      <c r="A50" s="128"/>
      <c r="B50" s="24" t="s">
        <v>51</v>
      </c>
      <c r="C50" s="129" t="s">
        <v>36</v>
      </c>
      <c r="D50" s="129"/>
      <c r="E50" s="47"/>
      <c r="F50" s="47"/>
      <c r="G50" s="98"/>
      <c r="H50" s="86"/>
      <c r="N50" s="82"/>
    </row>
    <row r="51" spans="1:14" s="1" customFormat="1" ht="15" customHeight="1">
      <c r="A51" s="128"/>
      <c r="B51" s="33" t="s">
        <v>53</v>
      </c>
      <c r="C51" s="50" t="s">
        <v>54</v>
      </c>
      <c r="D51" s="51"/>
      <c r="E51" s="11" t="s">
        <v>171</v>
      </c>
      <c r="F51" s="52" t="s">
        <v>708</v>
      </c>
      <c r="G51" s="101">
        <v>7</v>
      </c>
      <c r="H51" s="83">
        <f t="shared" si="0"/>
        <v>18513.599999999999</v>
      </c>
      <c r="N51" s="82"/>
    </row>
    <row r="52" spans="1:14" s="1" customFormat="1" ht="78">
      <c r="A52" s="128"/>
      <c r="B52" s="33" t="s">
        <v>618</v>
      </c>
      <c r="C52" s="50" t="s">
        <v>31</v>
      </c>
      <c r="D52" s="34" t="s">
        <v>611</v>
      </c>
      <c r="E52" s="9" t="s">
        <v>17</v>
      </c>
      <c r="F52" s="9">
        <v>22</v>
      </c>
      <c r="G52" s="94">
        <v>25</v>
      </c>
      <c r="H52" s="83">
        <f t="shared" si="0"/>
        <v>550</v>
      </c>
      <c r="N52" s="82"/>
    </row>
    <row r="53" spans="1:14" s="1" customFormat="1" ht="46.8">
      <c r="A53" s="128"/>
      <c r="B53" s="33" t="s">
        <v>619</v>
      </c>
      <c r="C53" s="34" t="s">
        <v>613</v>
      </c>
      <c r="D53" s="33"/>
      <c r="E53" s="9" t="s">
        <v>17</v>
      </c>
      <c r="F53" s="9">
        <v>25</v>
      </c>
      <c r="G53" s="94">
        <v>10</v>
      </c>
      <c r="H53" s="83">
        <f t="shared" si="0"/>
        <v>250</v>
      </c>
      <c r="N53" s="82"/>
    </row>
    <row r="54" spans="1:14" s="1" customFormat="1" ht="78">
      <c r="A54" s="128"/>
      <c r="B54" s="33" t="s">
        <v>620</v>
      </c>
      <c r="C54" s="50" t="s">
        <v>57</v>
      </c>
      <c r="D54" s="50" t="s">
        <v>611</v>
      </c>
      <c r="E54" s="9" t="s">
        <v>17</v>
      </c>
      <c r="F54" s="9">
        <v>23</v>
      </c>
      <c r="G54" s="94">
        <v>25</v>
      </c>
      <c r="H54" s="83">
        <f t="shared" si="0"/>
        <v>575</v>
      </c>
      <c r="N54" s="82"/>
    </row>
    <row r="55" spans="1:14" s="1" customFormat="1" ht="45" customHeight="1">
      <c r="A55" s="128"/>
      <c r="B55" s="33" t="s">
        <v>621</v>
      </c>
      <c r="C55" s="50" t="s">
        <v>614</v>
      </c>
      <c r="D55" s="33"/>
      <c r="E55" s="9" t="s">
        <v>17</v>
      </c>
      <c r="F55" s="9">
        <v>102</v>
      </c>
      <c r="G55" s="94">
        <v>10</v>
      </c>
      <c r="H55" s="83">
        <f t="shared" si="0"/>
        <v>1020</v>
      </c>
      <c r="N55" s="82"/>
    </row>
    <row r="56" spans="1:14" s="1" customFormat="1" ht="46.8">
      <c r="A56" s="128"/>
      <c r="B56" s="33" t="s">
        <v>622</v>
      </c>
      <c r="C56" s="50" t="s">
        <v>59</v>
      </c>
      <c r="D56" s="33"/>
      <c r="E56" s="9" t="s">
        <v>17</v>
      </c>
      <c r="F56" s="9">
        <v>4996</v>
      </c>
      <c r="G56" s="94">
        <v>5</v>
      </c>
      <c r="H56" s="83">
        <f t="shared" si="0"/>
        <v>24980</v>
      </c>
      <c r="N56" s="82"/>
    </row>
    <row r="57" spans="1:14" s="1" customFormat="1" ht="31.2">
      <c r="A57" s="128"/>
      <c r="B57" s="33" t="s">
        <v>623</v>
      </c>
      <c r="C57" s="34" t="s">
        <v>612</v>
      </c>
      <c r="D57" s="35" t="s">
        <v>707</v>
      </c>
      <c r="E57" s="11" t="s">
        <v>170</v>
      </c>
      <c r="F57" s="9">
        <v>69</v>
      </c>
      <c r="G57" s="94">
        <v>220</v>
      </c>
      <c r="H57" s="83">
        <f t="shared" si="0"/>
        <v>15180</v>
      </c>
      <c r="N57" s="82"/>
    </row>
    <row r="58" spans="1:14" s="1" customFormat="1">
      <c r="A58" s="128"/>
      <c r="B58" s="27" t="s">
        <v>55</v>
      </c>
      <c r="C58" s="53" t="s">
        <v>61</v>
      </c>
      <c r="D58" s="27"/>
      <c r="E58" s="54" t="s">
        <v>17</v>
      </c>
      <c r="F58" s="10">
        <f>SUM(F59+F66+F78)</f>
        <v>5245</v>
      </c>
      <c r="G58" s="99"/>
      <c r="H58" s="84"/>
      <c r="N58" s="82"/>
    </row>
    <row r="59" spans="1:14" s="1" customFormat="1">
      <c r="A59" s="128"/>
      <c r="B59" s="27" t="s">
        <v>615</v>
      </c>
      <c r="C59" s="53" t="s">
        <v>32</v>
      </c>
      <c r="D59" s="27"/>
      <c r="E59" s="54" t="s">
        <v>17</v>
      </c>
      <c r="F59" s="10">
        <f>SUM(F60:F65)</f>
        <v>113</v>
      </c>
      <c r="G59" s="99"/>
      <c r="H59" s="84"/>
      <c r="N59" s="82"/>
    </row>
    <row r="60" spans="1:14" s="1" customFormat="1" ht="46.8">
      <c r="A60" s="128"/>
      <c r="B60" s="33" t="s">
        <v>644</v>
      </c>
      <c r="C60" s="55" t="s">
        <v>627</v>
      </c>
      <c r="D60" s="34" t="s">
        <v>670</v>
      </c>
      <c r="E60" s="52" t="s">
        <v>17</v>
      </c>
      <c r="F60" s="9">
        <v>12</v>
      </c>
      <c r="G60" s="101">
        <v>60</v>
      </c>
      <c r="H60" s="83">
        <f t="shared" ref="H60:H102" si="1">ROUND(F60*G60,2)</f>
        <v>720</v>
      </c>
      <c r="N60" s="82"/>
    </row>
    <row r="61" spans="1:14" s="1" customFormat="1" ht="46.8">
      <c r="A61" s="128"/>
      <c r="B61" s="33" t="s">
        <v>645</v>
      </c>
      <c r="C61" s="55" t="s">
        <v>628</v>
      </c>
      <c r="D61" s="34" t="s">
        <v>671</v>
      </c>
      <c r="E61" s="52" t="s">
        <v>17</v>
      </c>
      <c r="F61" s="9">
        <v>9</v>
      </c>
      <c r="G61" s="101">
        <v>20</v>
      </c>
      <c r="H61" s="83">
        <f t="shared" si="1"/>
        <v>180</v>
      </c>
      <c r="N61" s="82"/>
    </row>
    <row r="62" spans="1:14" s="1" customFormat="1" ht="46.8">
      <c r="A62" s="128"/>
      <c r="B62" s="33" t="s">
        <v>646</v>
      </c>
      <c r="C62" s="55" t="s">
        <v>629</v>
      </c>
      <c r="D62" s="34" t="s">
        <v>672</v>
      </c>
      <c r="E62" s="52" t="s">
        <v>17</v>
      </c>
      <c r="F62" s="9">
        <v>15</v>
      </c>
      <c r="G62" s="101">
        <v>10</v>
      </c>
      <c r="H62" s="83">
        <f t="shared" si="1"/>
        <v>150</v>
      </c>
      <c r="N62" s="82"/>
    </row>
    <row r="63" spans="1:14" s="1" customFormat="1" ht="46.8">
      <c r="A63" s="128"/>
      <c r="B63" s="33" t="s">
        <v>624</v>
      </c>
      <c r="C63" s="55" t="s">
        <v>630</v>
      </c>
      <c r="D63" s="34" t="s">
        <v>673</v>
      </c>
      <c r="E63" s="52" t="s">
        <v>17</v>
      </c>
      <c r="F63" s="9">
        <v>9</v>
      </c>
      <c r="G63" s="101">
        <v>60</v>
      </c>
      <c r="H63" s="83">
        <f t="shared" si="1"/>
        <v>540</v>
      </c>
      <c r="N63" s="82"/>
    </row>
    <row r="64" spans="1:14" s="1" customFormat="1" ht="46.8">
      <c r="A64" s="128"/>
      <c r="B64" s="44" t="s">
        <v>626</v>
      </c>
      <c r="C64" s="56" t="s">
        <v>631</v>
      </c>
      <c r="D64" s="8" t="s">
        <v>674</v>
      </c>
      <c r="E64" s="52" t="s">
        <v>17</v>
      </c>
      <c r="F64" s="9">
        <v>27</v>
      </c>
      <c r="G64" s="101">
        <v>10</v>
      </c>
      <c r="H64" s="83">
        <f t="shared" si="1"/>
        <v>270</v>
      </c>
      <c r="N64" s="82"/>
    </row>
    <row r="65" spans="1:14" s="1" customFormat="1" ht="62.4">
      <c r="A65" s="128"/>
      <c r="B65" s="33" t="s">
        <v>625</v>
      </c>
      <c r="C65" s="55" t="s">
        <v>842</v>
      </c>
      <c r="D65" s="34" t="s">
        <v>675</v>
      </c>
      <c r="E65" s="52" t="s">
        <v>17</v>
      </c>
      <c r="F65" s="48">
        <v>41</v>
      </c>
      <c r="G65" s="101">
        <v>15</v>
      </c>
      <c r="H65" s="83">
        <f t="shared" si="1"/>
        <v>615</v>
      </c>
      <c r="N65" s="82"/>
    </row>
    <row r="66" spans="1:14" s="1" customFormat="1">
      <c r="A66" s="128"/>
      <c r="B66" s="27" t="s">
        <v>616</v>
      </c>
      <c r="C66" s="53" t="s">
        <v>33</v>
      </c>
      <c r="D66" s="27"/>
      <c r="E66" s="54" t="s">
        <v>17</v>
      </c>
      <c r="F66" s="10">
        <f>SUM(F67:F77)</f>
        <v>136</v>
      </c>
      <c r="G66" s="99"/>
      <c r="H66" s="84"/>
      <c r="N66" s="82"/>
    </row>
    <row r="67" spans="1:14" s="1" customFormat="1" ht="46.8">
      <c r="A67" s="128"/>
      <c r="B67" s="33" t="s">
        <v>647</v>
      </c>
      <c r="C67" s="55" t="s">
        <v>632</v>
      </c>
      <c r="D67" s="34" t="s">
        <v>676</v>
      </c>
      <c r="E67" s="52" t="s">
        <v>17</v>
      </c>
      <c r="F67" s="48">
        <v>15</v>
      </c>
      <c r="G67" s="101">
        <v>120</v>
      </c>
      <c r="H67" s="83">
        <f t="shared" si="1"/>
        <v>1800</v>
      </c>
      <c r="N67" s="82"/>
    </row>
    <row r="68" spans="1:14" s="1" customFormat="1" ht="62.4">
      <c r="A68" s="128"/>
      <c r="B68" s="33" t="s">
        <v>648</v>
      </c>
      <c r="C68" s="55" t="s">
        <v>633</v>
      </c>
      <c r="D68" s="34" t="s">
        <v>678</v>
      </c>
      <c r="E68" s="52" t="s">
        <v>17</v>
      </c>
      <c r="F68" s="9">
        <v>3</v>
      </c>
      <c r="G68" s="101">
        <v>50</v>
      </c>
      <c r="H68" s="83">
        <f t="shared" si="1"/>
        <v>150</v>
      </c>
      <c r="N68" s="82"/>
    </row>
    <row r="69" spans="1:14" s="1" customFormat="1" ht="46.8">
      <c r="A69" s="128"/>
      <c r="B69" s="33" t="s">
        <v>649</v>
      </c>
      <c r="C69" s="55" t="s">
        <v>634</v>
      </c>
      <c r="D69" s="34" t="s">
        <v>677</v>
      </c>
      <c r="E69" s="52" t="s">
        <v>17</v>
      </c>
      <c r="F69" s="48">
        <v>2</v>
      </c>
      <c r="G69" s="101">
        <v>30</v>
      </c>
      <c r="H69" s="83">
        <f t="shared" si="1"/>
        <v>60</v>
      </c>
      <c r="N69" s="82"/>
    </row>
    <row r="70" spans="1:14" s="1" customFormat="1" ht="46.8">
      <c r="A70" s="128"/>
      <c r="B70" s="33" t="s">
        <v>650</v>
      </c>
      <c r="C70" s="55" t="s">
        <v>635</v>
      </c>
      <c r="D70" s="34" t="s">
        <v>679</v>
      </c>
      <c r="E70" s="52" t="s">
        <v>17</v>
      </c>
      <c r="F70" s="48">
        <v>54</v>
      </c>
      <c r="G70" s="101">
        <v>65</v>
      </c>
      <c r="H70" s="83">
        <f t="shared" si="1"/>
        <v>3510</v>
      </c>
      <c r="N70" s="82"/>
    </row>
    <row r="71" spans="1:14" s="1" customFormat="1" ht="46.8">
      <c r="A71" s="128"/>
      <c r="B71" s="33" t="s">
        <v>643</v>
      </c>
      <c r="C71" s="55" t="s">
        <v>636</v>
      </c>
      <c r="D71" s="34" t="s">
        <v>680</v>
      </c>
      <c r="E71" s="52" t="s">
        <v>17</v>
      </c>
      <c r="F71" s="9">
        <v>7</v>
      </c>
      <c r="G71" s="101">
        <v>30</v>
      </c>
      <c r="H71" s="83">
        <f t="shared" si="1"/>
        <v>210</v>
      </c>
      <c r="N71" s="82"/>
    </row>
    <row r="72" spans="1:14" s="1" customFormat="1" ht="46.8">
      <c r="A72" s="128"/>
      <c r="B72" s="33" t="s">
        <v>651</v>
      </c>
      <c r="C72" s="55" t="s">
        <v>637</v>
      </c>
      <c r="D72" s="34" t="s">
        <v>681</v>
      </c>
      <c r="E72" s="52" t="s">
        <v>17</v>
      </c>
      <c r="F72" s="48">
        <v>20</v>
      </c>
      <c r="G72" s="101">
        <v>60</v>
      </c>
      <c r="H72" s="83">
        <f t="shared" si="1"/>
        <v>1200</v>
      </c>
      <c r="N72" s="82"/>
    </row>
    <row r="73" spans="1:14" s="1" customFormat="1" ht="46.8">
      <c r="A73" s="128"/>
      <c r="B73" s="33" t="s">
        <v>652</v>
      </c>
      <c r="C73" s="55" t="s">
        <v>638</v>
      </c>
      <c r="D73" s="34" t="s">
        <v>682</v>
      </c>
      <c r="E73" s="52" t="s">
        <v>17</v>
      </c>
      <c r="F73" s="9">
        <v>4</v>
      </c>
      <c r="G73" s="101">
        <v>15</v>
      </c>
      <c r="H73" s="83">
        <f t="shared" si="1"/>
        <v>60</v>
      </c>
      <c r="N73" s="82"/>
    </row>
    <row r="74" spans="1:14" s="1" customFormat="1" ht="62.4">
      <c r="A74" s="128"/>
      <c r="B74" s="33" t="s">
        <v>653</v>
      </c>
      <c r="C74" s="55" t="s">
        <v>639</v>
      </c>
      <c r="D74" s="34" t="s">
        <v>683</v>
      </c>
      <c r="E74" s="52" t="s">
        <v>17</v>
      </c>
      <c r="F74" s="9">
        <v>5</v>
      </c>
      <c r="G74" s="101">
        <v>80</v>
      </c>
      <c r="H74" s="83">
        <f t="shared" si="1"/>
        <v>400</v>
      </c>
      <c r="N74" s="82"/>
    </row>
    <row r="75" spans="1:14" s="1" customFormat="1" ht="46.8">
      <c r="A75" s="128"/>
      <c r="B75" s="33" t="s">
        <v>654</v>
      </c>
      <c r="C75" s="55" t="s">
        <v>640</v>
      </c>
      <c r="D75" s="34" t="s">
        <v>684</v>
      </c>
      <c r="E75" s="52" t="s">
        <v>17</v>
      </c>
      <c r="F75" s="9">
        <v>15</v>
      </c>
      <c r="G75" s="101">
        <v>80</v>
      </c>
      <c r="H75" s="83">
        <f t="shared" si="1"/>
        <v>1200</v>
      </c>
      <c r="N75" s="82"/>
    </row>
    <row r="76" spans="1:14" s="1" customFormat="1" ht="46.8">
      <c r="A76" s="128"/>
      <c r="B76" s="33" t="s">
        <v>655</v>
      </c>
      <c r="C76" s="55" t="s">
        <v>641</v>
      </c>
      <c r="D76" s="34" t="s">
        <v>686</v>
      </c>
      <c r="E76" s="52" t="s">
        <v>17</v>
      </c>
      <c r="F76" s="48">
        <v>3</v>
      </c>
      <c r="G76" s="101">
        <v>30</v>
      </c>
      <c r="H76" s="83">
        <f t="shared" si="1"/>
        <v>90</v>
      </c>
      <c r="N76" s="82"/>
    </row>
    <row r="77" spans="1:14" s="1" customFormat="1" ht="46.8">
      <c r="A77" s="128"/>
      <c r="B77" s="33" t="s">
        <v>656</v>
      </c>
      <c r="C77" s="55" t="s">
        <v>642</v>
      </c>
      <c r="D77" s="34" t="s">
        <v>685</v>
      </c>
      <c r="E77" s="52" t="s">
        <v>17</v>
      </c>
      <c r="F77" s="48">
        <v>8</v>
      </c>
      <c r="G77" s="101">
        <v>60</v>
      </c>
      <c r="H77" s="83">
        <f t="shared" si="1"/>
        <v>480</v>
      </c>
      <c r="N77" s="82"/>
    </row>
    <row r="78" spans="1:14" s="1" customFormat="1" ht="46.8">
      <c r="A78" s="128"/>
      <c r="B78" s="27" t="s">
        <v>617</v>
      </c>
      <c r="C78" s="53" t="s">
        <v>62</v>
      </c>
      <c r="D78" s="27"/>
      <c r="E78" s="54" t="s">
        <v>17</v>
      </c>
      <c r="F78" s="10">
        <f>SUM(F79:F102)</f>
        <v>4996</v>
      </c>
      <c r="G78" s="99"/>
      <c r="H78" s="84"/>
      <c r="N78" s="82"/>
    </row>
    <row r="79" spans="1:14" s="1" customFormat="1" ht="31.2">
      <c r="A79" s="128"/>
      <c r="B79" s="33" t="s">
        <v>709</v>
      </c>
      <c r="C79" s="55" t="s">
        <v>843</v>
      </c>
      <c r="D79" s="34" t="s">
        <v>798</v>
      </c>
      <c r="E79" s="52" t="s">
        <v>17</v>
      </c>
      <c r="F79" s="9">
        <v>68</v>
      </c>
      <c r="G79" s="101">
        <v>20</v>
      </c>
      <c r="H79" s="83">
        <f t="shared" si="1"/>
        <v>1360</v>
      </c>
      <c r="N79" s="82"/>
    </row>
    <row r="80" spans="1:14" s="1" customFormat="1" ht="62.4">
      <c r="A80" s="128"/>
      <c r="B80" s="33" t="s">
        <v>710</v>
      </c>
      <c r="C80" s="55" t="s">
        <v>657</v>
      </c>
      <c r="D80" s="5" t="s">
        <v>799</v>
      </c>
      <c r="E80" s="52" t="s">
        <v>17</v>
      </c>
      <c r="F80" s="48">
        <v>1327</v>
      </c>
      <c r="G80" s="101">
        <v>10</v>
      </c>
      <c r="H80" s="83">
        <f t="shared" si="1"/>
        <v>13270</v>
      </c>
      <c r="N80" s="82"/>
    </row>
    <row r="81" spans="1:14" s="1" customFormat="1" ht="46.8">
      <c r="A81" s="128"/>
      <c r="B81" s="33" t="s">
        <v>711</v>
      </c>
      <c r="C81" s="55" t="s">
        <v>844</v>
      </c>
      <c r="D81" s="5" t="s">
        <v>800</v>
      </c>
      <c r="E81" s="52" t="s">
        <v>17</v>
      </c>
      <c r="F81" s="48">
        <v>132</v>
      </c>
      <c r="G81" s="101">
        <v>10</v>
      </c>
      <c r="H81" s="83">
        <f t="shared" si="1"/>
        <v>1320</v>
      </c>
      <c r="N81" s="82"/>
    </row>
    <row r="82" spans="1:14" s="1" customFormat="1" ht="45" customHeight="1">
      <c r="A82" s="128"/>
      <c r="B82" s="33" t="s">
        <v>712</v>
      </c>
      <c r="C82" s="55" t="s">
        <v>658</v>
      </c>
      <c r="D82" s="34" t="s">
        <v>801</v>
      </c>
      <c r="E82" s="52" t="s">
        <v>17</v>
      </c>
      <c r="F82" s="9">
        <v>90</v>
      </c>
      <c r="G82" s="101">
        <v>8</v>
      </c>
      <c r="H82" s="83">
        <f t="shared" si="1"/>
        <v>720</v>
      </c>
      <c r="N82" s="82"/>
    </row>
    <row r="83" spans="1:14" s="1" customFormat="1" ht="62.4">
      <c r="A83" s="128"/>
      <c r="B83" s="33" t="s">
        <v>713</v>
      </c>
      <c r="C83" s="55" t="s">
        <v>845</v>
      </c>
      <c r="D83" s="5" t="s">
        <v>802</v>
      </c>
      <c r="E83" s="52" t="s">
        <v>17</v>
      </c>
      <c r="F83" s="48">
        <v>35</v>
      </c>
      <c r="G83" s="101">
        <v>8</v>
      </c>
      <c r="H83" s="83">
        <f t="shared" si="1"/>
        <v>280</v>
      </c>
      <c r="N83" s="82"/>
    </row>
    <row r="84" spans="1:14" s="1" customFormat="1" ht="62.4">
      <c r="A84" s="128"/>
      <c r="B84" s="33" t="s">
        <v>714</v>
      </c>
      <c r="C84" s="55" t="s">
        <v>846</v>
      </c>
      <c r="D84" s="5" t="s">
        <v>802</v>
      </c>
      <c r="E84" s="52" t="s">
        <v>17</v>
      </c>
      <c r="F84" s="48">
        <v>34</v>
      </c>
      <c r="G84" s="101">
        <v>8</v>
      </c>
      <c r="H84" s="83">
        <f t="shared" si="1"/>
        <v>272</v>
      </c>
      <c r="N84" s="82"/>
    </row>
    <row r="85" spans="1:14" s="1" customFormat="1" ht="62.4">
      <c r="A85" s="128"/>
      <c r="B85" s="33" t="s">
        <v>715</v>
      </c>
      <c r="C85" s="36" t="s">
        <v>847</v>
      </c>
      <c r="D85" s="5" t="s">
        <v>687</v>
      </c>
      <c r="E85" s="52" t="s">
        <v>17</v>
      </c>
      <c r="F85" s="48">
        <v>70</v>
      </c>
      <c r="G85" s="101">
        <v>50</v>
      </c>
      <c r="H85" s="83">
        <f t="shared" si="1"/>
        <v>3500</v>
      </c>
      <c r="N85" s="82"/>
    </row>
    <row r="86" spans="1:14" s="1" customFormat="1" ht="46.8">
      <c r="A86" s="128"/>
      <c r="B86" s="33" t="s">
        <v>716</v>
      </c>
      <c r="C86" s="55" t="s">
        <v>659</v>
      </c>
      <c r="D86" s="34" t="s">
        <v>803</v>
      </c>
      <c r="E86" s="52" t="s">
        <v>17</v>
      </c>
      <c r="F86" s="9">
        <v>53</v>
      </c>
      <c r="G86" s="101">
        <v>8</v>
      </c>
      <c r="H86" s="83">
        <f t="shared" si="1"/>
        <v>424</v>
      </c>
      <c r="N86" s="82"/>
    </row>
    <row r="87" spans="1:14" s="1" customFormat="1" ht="46.8">
      <c r="A87" s="128"/>
      <c r="B87" s="33" t="s">
        <v>717</v>
      </c>
      <c r="C87" s="55" t="s">
        <v>660</v>
      </c>
      <c r="D87" s="5" t="s">
        <v>688</v>
      </c>
      <c r="E87" s="52" t="s">
        <v>17</v>
      </c>
      <c r="F87" s="48">
        <v>8</v>
      </c>
      <c r="G87" s="101">
        <v>8</v>
      </c>
      <c r="H87" s="83">
        <f t="shared" si="1"/>
        <v>64</v>
      </c>
      <c r="N87" s="82"/>
    </row>
    <row r="88" spans="1:14" s="1" customFormat="1" ht="62.4">
      <c r="A88" s="128"/>
      <c r="B88" s="33" t="s">
        <v>718</v>
      </c>
      <c r="C88" s="55" t="s">
        <v>848</v>
      </c>
      <c r="D88" s="34" t="s">
        <v>804</v>
      </c>
      <c r="E88" s="52" t="s">
        <v>17</v>
      </c>
      <c r="F88" s="9">
        <v>28</v>
      </c>
      <c r="G88" s="101">
        <v>10</v>
      </c>
      <c r="H88" s="83">
        <f t="shared" si="1"/>
        <v>280</v>
      </c>
      <c r="N88" s="82"/>
    </row>
    <row r="89" spans="1:14" s="1" customFormat="1" ht="62.4">
      <c r="A89" s="128"/>
      <c r="B89" s="33" t="s">
        <v>719</v>
      </c>
      <c r="C89" s="55" t="s">
        <v>661</v>
      </c>
      <c r="D89" s="34" t="s">
        <v>805</v>
      </c>
      <c r="E89" s="52" t="s">
        <v>17</v>
      </c>
      <c r="F89" s="9">
        <v>57</v>
      </c>
      <c r="G89" s="101">
        <v>10</v>
      </c>
      <c r="H89" s="83">
        <f t="shared" si="1"/>
        <v>570</v>
      </c>
      <c r="N89" s="82"/>
    </row>
    <row r="90" spans="1:14" s="1" customFormat="1" ht="46.8">
      <c r="A90" s="128"/>
      <c r="B90" s="33" t="s">
        <v>720</v>
      </c>
      <c r="C90" s="57" t="s">
        <v>662</v>
      </c>
      <c r="D90" s="5" t="s">
        <v>806</v>
      </c>
      <c r="E90" s="52" t="s">
        <v>17</v>
      </c>
      <c r="F90" s="11">
        <v>682</v>
      </c>
      <c r="G90" s="101">
        <v>9</v>
      </c>
      <c r="H90" s="83">
        <f t="shared" si="1"/>
        <v>6138</v>
      </c>
      <c r="N90" s="82"/>
    </row>
    <row r="91" spans="1:14" s="1" customFormat="1" ht="46.8">
      <c r="A91" s="128"/>
      <c r="B91" s="33" t="s">
        <v>721</v>
      </c>
      <c r="C91" s="55" t="s">
        <v>663</v>
      </c>
      <c r="D91" s="34" t="s">
        <v>807</v>
      </c>
      <c r="E91" s="52" t="s">
        <v>17</v>
      </c>
      <c r="F91" s="9">
        <v>74</v>
      </c>
      <c r="G91" s="101">
        <v>20</v>
      </c>
      <c r="H91" s="83">
        <f t="shared" si="1"/>
        <v>1480</v>
      </c>
      <c r="N91" s="82"/>
    </row>
    <row r="92" spans="1:14" s="1" customFormat="1" ht="46.8">
      <c r="A92" s="128"/>
      <c r="B92" s="33" t="s">
        <v>722</v>
      </c>
      <c r="C92" s="55" t="s">
        <v>664</v>
      </c>
      <c r="D92" s="34" t="s">
        <v>808</v>
      </c>
      <c r="E92" s="52" t="s">
        <v>17</v>
      </c>
      <c r="F92" s="9">
        <v>23</v>
      </c>
      <c r="G92" s="101">
        <v>5</v>
      </c>
      <c r="H92" s="83">
        <f t="shared" si="1"/>
        <v>115</v>
      </c>
      <c r="N92" s="82"/>
    </row>
    <row r="93" spans="1:14" s="1" customFormat="1" ht="46.8">
      <c r="A93" s="128"/>
      <c r="B93" s="33" t="s">
        <v>723</v>
      </c>
      <c r="C93" s="55" t="s">
        <v>665</v>
      </c>
      <c r="D93" s="34" t="s">
        <v>809</v>
      </c>
      <c r="E93" s="52" t="s">
        <v>17</v>
      </c>
      <c r="F93" s="9">
        <v>55</v>
      </c>
      <c r="G93" s="101">
        <v>8</v>
      </c>
      <c r="H93" s="83">
        <f t="shared" si="1"/>
        <v>440</v>
      </c>
      <c r="N93" s="82"/>
    </row>
    <row r="94" spans="1:14" s="1" customFormat="1" ht="46.8">
      <c r="A94" s="128"/>
      <c r="B94" s="33" t="s">
        <v>724</v>
      </c>
      <c r="C94" s="55" t="s">
        <v>666</v>
      </c>
      <c r="D94" s="34" t="s">
        <v>810</v>
      </c>
      <c r="E94" s="52" t="s">
        <v>17</v>
      </c>
      <c r="F94" s="9">
        <v>39</v>
      </c>
      <c r="G94" s="101">
        <v>8</v>
      </c>
      <c r="H94" s="83">
        <f t="shared" si="1"/>
        <v>312</v>
      </c>
      <c r="N94" s="82"/>
    </row>
    <row r="95" spans="1:14" s="1" customFormat="1" ht="62.4">
      <c r="A95" s="128"/>
      <c r="B95" s="33" t="s">
        <v>725</v>
      </c>
      <c r="C95" s="55" t="s">
        <v>849</v>
      </c>
      <c r="D95" s="5" t="s">
        <v>811</v>
      </c>
      <c r="E95" s="52" t="s">
        <v>17</v>
      </c>
      <c r="F95" s="48">
        <v>184</v>
      </c>
      <c r="G95" s="101">
        <v>8</v>
      </c>
      <c r="H95" s="83">
        <f t="shared" si="1"/>
        <v>1472</v>
      </c>
      <c r="N95" s="82"/>
    </row>
    <row r="96" spans="1:14" s="1" customFormat="1" ht="46.8">
      <c r="A96" s="128"/>
      <c r="B96" s="33" t="s">
        <v>726</v>
      </c>
      <c r="C96" s="55" t="s">
        <v>850</v>
      </c>
      <c r="D96" s="5" t="s">
        <v>812</v>
      </c>
      <c r="E96" s="52" t="s">
        <v>17</v>
      </c>
      <c r="F96" s="48">
        <v>212</v>
      </c>
      <c r="G96" s="101">
        <v>8</v>
      </c>
      <c r="H96" s="83">
        <f t="shared" si="1"/>
        <v>1696</v>
      </c>
      <c r="N96" s="82"/>
    </row>
    <row r="97" spans="1:14" s="1" customFormat="1" ht="46.8">
      <c r="A97" s="128"/>
      <c r="B97" s="33" t="s">
        <v>727</v>
      </c>
      <c r="C97" s="55" t="s">
        <v>667</v>
      </c>
      <c r="D97" s="34" t="s">
        <v>813</v>
      </c>
      <c r="E97" s="52" t="s">
        <v>17</v>
      </c>
      <c r="F97" s="9">
        <v>54</v>
      </c>
      <c r="G97" s="101">
        <v>8</v>
      </c>
      <c r="H97" s="83">
        <f t="shared" si="1"/>
        <v>432</v>
      </c>
      <c r="N97" s="82"/>
    </row>
    <row r="98" spans="1:14" s="1" customFormat="1" ht="46.8">
      <c r="A98" s="128"/>
      <c r="B98" s="33" t="s">
        <v>728</v>
      </c>
      <c r="C98" s="55" t="s">
        <v>851</v>
      </c>
      <c r="D98" s="5" t="s">
        <v>689</v>
      </c>
      <c r="E98" s="52" t="s">
        <v>17</v>
      </c>
      <c r="F98" s="48">
        <v>168</v>
      </c>
      <c r="G98" s="101">
        <v>9</v>
      </c>
      <c r="H98" s="83">
        <f t="shared" si="1"/>
        <v>1512</v>
      </c>
      <c r="N98" s="82"/>
    </row>
    <row r="99" spans="1:14" s="1" customFormat="1" ht="46.8">
      <c r="A99" s="128"/>
      <c r="B99" s="33" t="s">
        <v>729</v>
      </c>
      <c r="C99" s="55" t="s">
        <v>852</v>
      </c>
      <c r="D99" s="5" t="s">
        <v>814</v>
      </c>
      <c r="E99" s="52" t="s">
        <v>17</v>
      </c>
      <c r="F99" s="48">
        <v>495</v>
      </c>
      <c r="G99" s="101">
        <v>10</v>
      </c>
      <c r="H99" s="83">
        <f t="shared" si="1"/>
        <v>4950</v>
      </c>
      <c r="N99" s="82"/>
    </row>
    <row r="100" spans="1:14" s="1" customFormat="1" ht="46.8">
      <c r="A100" s="128"/>
      <c r="B100" s="33" t="s">
        <v>730</v>
      </c>
      <c r="C100" s="55" t="s">
        <v>853</v>
      </c>
      <c r="D100" s="34" t="s">
        <v>815</v>
      </c>
      <c r="E100" s="52" t="s">
        <v>17</v>
      </c>
      <c r="F100" s="9">
        <v>1055</v>
      </c>
      <c r="G100" s="101">
        <v>8</v>
      </c>
      <c r="H100" s="83">
        <f t="shared" si="1"/>
        <v>8440</v>
      </c>
      <c r="N100" s="82"/>
    </row>
    <row r="101" spans="1:14" s="1" customFormat="1" ht="62.4">
      <c r="A101" s="128"/>
      <c r="B101" s="33" t="s">
        <v>731</v>
      </c>
      <c r="C101" s="56" t="s">
        <v>668</v>
      </c>
      <c r="D101" s="58" t="s">
        <v>816</v>
      </c>
      <c r="E101" s="52" t="s">
        <v>17</v>
      </c>
      <c r="F101" s="9">
        <v>25</v>
      </c>
      <c r="G101" s="101">
        <v>10</v>
      </c>
      <c r="H101" s="83">
        <f t="shared" si="1"/>
        <v>250</v>
      </c>
      <c r="N101" s="82"/>
    </row>
    <row r="102" spans="1:14" s="1" customFormat="1" ht="46.8">
      <c r="A102" s="128"/>
      <c r="B102" s="33" t="s">
        <v>732</v>
      </c>
      <c r="C102" s="56" t="s">
        <v>669</v>
      </c>
      <c r="D102" s="8" t="s">
        <v>690</v>
      </c>
      <c r="E102" s="52" t="s">
        <v>17</v>
      </c>
      <c r="F102" s="9">
        <v>28</v>
      </c>
      <c r="G102" s="101">
        <v>7</v>
      </c>
      <c r="H102" s="83">
        <f t="shared" si="1"/>
        <v>196</v>
      </c>
      <c r="N102" s="82"/>
    </row>
    <row r="103" spans="1:14" s="1" customFormat="1" ht="46.8">
      <c r="A103" s="128"/>
      <c r="B103" s="13" t="s">
        <v>3</v>
      </c>
      <c r="C103" s="21" t="s">
        <v>39</v>
      </c>
      <c r="D103" s="22"/>
      <c r="E103" s="22"/>
      <c r="F103" s="22"/>
      <c r="G103" s="97"/>
      <c r="H103" s="87"/>
      <c r="N103" s="82"/>
    </row>
    <row r="104" spans="1:14" s="1" customFormat="1">
      <c r="A104" s="128"/>
      <c r="B104" s="24" t="s">
        <v>41</v>
      </c>
      <c r="C104" s="113" t="s">
        <v>69</v>
      </c>
      <c r="D104" s="113"/>
      <c r="E104" s="45"/>
      <c r="F104" s="45"/>
      <c r="G104" s="102"/>
      <c r="H104" s="88"/>
      <c r="N104" s="82"/>
    </row>
    <row r="105" spans="1:14" s="1" customFormat="1">
      <c r="A105" s="128"/>
      <c r="B105" s="27" t="s">
        <v>9</v>
      </c>
      <c r="C105" s="125" t="s">
        <v>430</v>
      </c>
      <c r="D105" s="125"/>
      <c r="E105" s="11"/>
      <c r="F105" s="11"/>
      <c r="G105" s="103"/>
      <c r="H105" s="6"/>
      <c r="N105" s="82"/>
    </row>
    <row r="106" spans="1:14" s="1" customFormat="1" ht="30" customHeight="1">
      <c r="A106" s="128"/>
      <c r="B106" s="33" t="s">
        <v>64</v>
      </c>
      <c r="C106" s="123" t="s">
        <v>458</v>
      </c>
      <c r="D106" s="123"/>
      <c r="E106" s="4" t="s">
        <v>17</v>
      </c>
      <c r="F106" s="59">
        <v>280</v>
      </c>
      <c r="G106" s="101">
        <v>35</v>
      </c>
      <c r="H106" s="83">
        <f t="shared" ref="H106:H137" si="2">ROUND(F106*G106,2)</f>
        <v>9800</v>
      </c>
      <c r="N106" s="82"/>
    </row>
    <row r="107" spans="1:14" s="1" customFormat="1" ht="30" customHeight="1">
      <c r="A107" s="128"/>
      <c r="B107" s="33" t="s">
        <v>65</v>
      </c>
      <c r="C107" s="123" t="s">
        <v>837</v>
      </c>
      <c r="D107" s="123"/>
      <c r="E107" s="4" t="s">
        <v>17</v>
      </c>
      <c r="F107" s="59">
        <v>7</v>
      </c>
      <c r="G107" s="101">
        <v>8</v>
      </c>
      <c r="H107" s="83">
        <f t="shared" si="2"/>
        <v>56</v>
      </c>
      <c r="N107" s="82"/>
    </row>
    <row r="108" spans="1:14" s="1" customFormat="1" ht="30" customHeight="1">
      <c r="A108" s="128"/>
      <c r="B108" s="33" t="s">
        <v>211</v>
      </c>
      <c r="C108" s="123" t="s">
        <v>459</v>
      </c>
      <c r="D108" s="123"/>
      <c r="E108" s="4" t="s">
        <v>17</v>
      </c>
      <c r="F108" s="59">
        <v>28</v>
      </c>
      <c r="G108" s="101">
        <v>10</v>
      </c>
      <c r="H108" s="83">
        <f t="shared" si="2"/>
        <v>280</v>
      </c>
      <c r="N108" s="82"/>
    </row>
    <row r="109" spans="1:14" s="1" customFormat="1" ht="30" customHeight="1">
      <c r="A109" s="128"/>
      <c r="B109" s="33" t="s">
        <v>212</v>
      </c>
      <c r="C109" s="123" t="s">
        <v>460</v>
      </c>
      <c r="D109" s="123"/>
      <c r="E109" s="4" t="s">
        <v>17</v>
      </c>
      <c r="F109" s="59">
        <v>17</v>
      </c>
      <c r="G109" s="101">
        <v>10</v>
      </c>
      <c r="H109" s="83">
        <f t="shared" si="2"/>
        <v>170</v>
      </c>
      <c r="N109" s="82"/>
    </row>
    <row r="110" spans="1:14" s="1" customFormat="1" ht="30" customHeight="1">
      <c r="A110" s="128"/>
      <c r="B110" s="33" t="s">
        <v>213</v>
      </c>
      <c r="C110" s="123" t="s">
        <v>461</v>
      </c>
      <c r="D110" s="123"/>
      <c r="E110" s="4" t="s">
        <v>17</v>
      </c>
      <c r="F110" s="59">
        <v>11</v>
      </c>
      <c r="G110" s="101">
        <v>12</v>
      </c>
      <c r="H110" s="83">
        <f t="shared" si="2"/>
        <v>132</v>
      </c>
      <c r="N110" s="82"/>
    </row>
    <row r="111" spans="1:14" s="1" customFormat="1" ht="30" customHeight="1">
      <c r="A111" s="128"/>
      <c r="B111" s="33" t="s">
        <v>214</v>
      </c>
      <c r="C111" s="123" t="s">
        <v>462</v>
      </c>
      <c r="D111" s="123"/>
      <c r="E111" s="4" t="s">
        <v>17</v>
      </c>
      <c r="F111" s="59">
        <v>12</v>
      </c>
      <c r="G111" s="101">
        <v>15</v>
      </c>
      <c r="H111" s="83">
        <f t="shared" si="2"/>
        <v>180</v>
      </c>
      <c r="N111" s="82"/>
    </row>
    <row r="112" spans="1:14" s="1" customFormat="1" ht="30" customHeight="1">
      <c r="A112" s="128"/>
      <c r="B112" s="33" t="s">
        <v>215</v>
      </c>
      <c r="C112" s="123" t="s">
        <v>463</v>
      </c>
      <c r="D112" s="123"/>
      <c r="E112" s="4" t="s">
        <v>17</v>
      </c>
      <c r="F112" s="59">
        <v>2</v>
      </c>
      <c r="G112" s="101">
        <v>15</v>
      </c>
      <c r="H112" s="83">
        <f t="shared" si="2"/>
        <v>30</v>
      </c>
      <c r="N112" s="82"/>
    </row>
    <row r="113" spans="1:14" s="1" customFormat="1" ht="30" customHeight="1">
      <c r="A113" s="128"/>
      <c r="B113" s="33" t="s">
        <v>216</v>
      </c>
      <c r="C113" s="123" t="s">
        <v>464</v>
      </c>
      <c r="D113" s="123"/>
      <c r="E113" s="4" t="s">
        <v>17</v>
      </c>
      <c r="F113" s="59">
        <v>22</v>
      </c>
      <c r="G113" s="101">
        <v>10</v>
      </c>
      <c r="H113" s="83">
        <f t="shared" si="2"/>
        <v>220</v>
      </c>
      <c r="N113" s="82"/>
    </row>
    <row r="114" spans="1:14" s="1" customFormat="1" ht="30" customHeight="1">
      <c r="A114" s="128"/>
      <c r="B114" s="33" t="s">
        <v>217</v>
      </c>
      <c r="C114" s="123" t="s">
        <v>465</v>
      </c>
      <c r="D114" s="123"/>
      <c r="E114" s="4" t="s">
        <v>17</v>
      </c>
      <c r="F114" s="59">
        <v>1</v>
      </c>
      <c r="G114" s="101">
        <v>10</v>
      </c>
      <c r="H114" s="83">
        <f t="shared" si="2"/>
        <v>10</v>
      </c>
      <c r="N114" s="82"/>
    </row>
    <row r="115" spans="1:14" s="1" customFormat="1" ht="30" customHeight="1">
      <c r="A115" s="128"/>
      <c r="B115" s="33" t="s">
        <v>218</v>
      </c>
      <c r="C115" s="123" t="s">
        <v>466</v>
      </c>
      <c r="D115" s="123"/>
      <c r="E115" s="4" t="s">
        <v>17</v>
      </c>
      <c r="F115" s="59">
        <v>20</v>
      </c>
      <c r="G115" s="101">
        <v>12</v>
      </c>
      <c r="H115" s="83">
        <f t="shared" si="2"/>
        <v>240</v>
      </c>
      <c r="N115" s="82"/>
    </row>
    <row r="116" spans="1:14" s="1" customFormat="1" ht="30" customHeight="1">
      <c r="A116" s="128"/>
      <c r="B116" s="33" t="s">
        <v>219</v>
      </c>
      <c r="C116" s="123" t="s">
        <v>467</v>
      </c>
      <c r="D116" s="123"/>
      <c r="E116" s="4" t="s">
        <v>17</v>
      </c>
      <c r="F116" s="59">
        <v>46</v>
      </c>
      <c r="G116" s="101">
        <v>12</v>
      </c>
      <c r="H116" s="83">
        <f t="shared" si="2"/>
        <v>552</v>
      </c>
      <c r="N116" s="82"/>
    </row>
    <row r="117" spans="1:14" ht="30" customHeight="1">
      <c r="A117" s="128"/>
      <c r="B117" s="33" t="s">
        <v>220</v>
      </c>
      <c r="C117" s="123" t="s">
        <v>468</v>
      </c>
      <c r="D117" s="123"/>
      <c r="E117" s="4" t="s">
        <v>17</v>
      </c>
      <c r="F117" s="59">
        <v>22</v>
      </c>
      <c r="G117" s="101">
        <v>12</v>
      </c>
      <c r="H117" s="83">
        <f t="shared" si="2"/>
        <v>264</v>
      </c>
      <c r="K117" s="1"/>
      <c r="N117" s="82"/>
    </row>
    <row r="118" spans="1:14" ht="30" customHeight="1">
      <c r="A118" s="128"/>
      <c r="B118" s="33" t="s">
        <v>221</v>
      </c>
      <c r="C118" s="123" t="s">
        <v>469</v>
      </c>
      <c r="D118" s="123"/>
      <c r="E118" s="4" t="s">
        <v>17</v>
      </c>
      <c r="F118" s="59">
        <v>6</v>
      </c>
      <c r="G118" s="101">
        <v>12</v>
      </c>
      <c r="H118" s="83">
        <f t="shared" si="2"/>
        <v>72</v>
      </c>
      <c r="K118" s="1"/>
      <c r="N118" s="82"/>
    </row>
    <row r="119" spans="1:14" ht="30" customHeight="1">
      <c r="A119" s="128"/>
      <c r="B119" s="33" t="s">
        <v>222</v>
      </c>
      <c r="C119" s="123" t="s">
        <v>470</v>
      </c>
      <c r="D119" s="123"/>
      <c r="E119" s="4" t="s">
        <v>17</v>
      </c>
      <c r="F119" s="59">
        <v>53</v>
      </c>
      <c r="G119" s="101">
        <v>20</v>
      </c>
      <c r="H119" s="83">
        <f t="shared" si="2"/>
        <v>1060</v>
      </c>
      <c r="K119" s="1"/>
      <c r="N119" s="82"/>
    </row>
    <row r="120" spans="1:14" ht="30" customHeight="1">
      <c r="A120" s="60"/>
      <c r="B120" s="33" t="s">
        <v>223</v>
      </c>
      <c r="C120" s="123" t="s">
        <v>471</v>
      </c>
      <c r="D120" s="123"/>
      <c r="E120" s="4" t="s">
        <v>17</v>
      </c>
      <c r="F120" s="59">
        <v>6</v>
      </c>
      <c r="G120" s="101">
        <v>13</v>
      </c>
      <c r="H120" s="83">
        <f t="shared" si="2"/>
        <v>78</v>
      </c>
      <c r="K120" s="1"/>
      <c r="N120" s="82"/>
    </row>
    <row r="121" spans="1:14" ht="30" customHeight="1">
      <c r="A121" s="60"/>
      <c r="B121" s="33" t="s">
        <v>224</v>
      </c>
      <c r="C121" s="123" t="s">
        <v>472</v>
      </c>
      <c r="D121" s="123"/>
      <c r="E121" s="4" t="s">
        <v>17</v>
      </c>
      <c r="F121" s="59">
        <v>3</v>
      </c>
      <c r="G121" s="101">
        <v>15</v>
      </c>
      <c r="H121" s="83">
        <f t="shared" si="2"/>
        <v>45</v>
      </c>
      <c r="K121" s="1"/>
      <c r="N121" s="82"/>
    </row>
    <row r="122" spans="1:14" ht="30" customHeight="1">
      <c r="A122" s="60"/>
      <c r="B122" s="33" t="s">
        <v>225</v>
      </c>
      <c r="C122" s="123" t="s">
        <v>473</v>
      </c>
      <c r="D122" s="123"/>
      <c r="E122" s="4" t="s">
        <v>17</v>
      </c>
      <c r="F122" s="59">
        <v>12</v>
      </c>
      <c r="G122" s="101">
        <v>15</v>
      </c>
      <c r="H122" s="83">
        <f t="shared" si="2"/>
        <v>180</v>
      </c>
      <c r="K122" s="1"/>
      <c r="N122" s="82"/>
    </row>
    <row r="123" spans="1:14" ht="30" customHeight="1">
      <c r="A123" s="60"/>
      <c r="B123" s="33" t="s">
        <v>226</v>
      </c>
      <c r="C123" s="123" t="s">
        <v>474</v>
      </c>
      <c r="D123" s="123"/>
      <c r="E123" s="4" t="s">
        <v>17</v>
      </c>
      <c r="F123" s="59">
        <v>6</v>
      </c>
      <c r="G123" s="101">
        <v>13</v>
      </c>
      <c r="H123" s="83">
        <f t="shared" si="2"/>
        <v>78</v>
      </c>
      <c r="K123" s="1"/>
      <c r="N123" s="82"/>
    </row>
    <row r="124" spans="1:14" ht="15" customHeight="1">
      <c r="A124" s="60"/>
      <c r="B124" s="33" t="s">
        <v>227</v>
      </c>
      <c r="C124" s="123" t="s">
        <v>475</v>
      </c>
      <c r="D124" s="123"/>
      <c r="E124" s="4" t="s">
        <v>17</v>
      </c>
      <c r="F124" s="59">
        <v>3</v>
      </c>
      <c r="G124" s="101">
        <v>10</v>
      </c>
      <c r="H124" s="83">
        <f t="shared" si="2"/>
        <v>30</v>
      </c>
      <c r="K124" s="1"/>
      <c r="N124" s="82"/>
    </row>
    <row r="125" spans="1:14" ht="15" customHeight="1">
      <c r="A125" s="60"/>
      <c r="B125" s="33" t="s">
        <v>228</v>
      </c>
      <c r="C125" s="123" t="s">
        <v>476</v>
      </c>
      <c r="D125" s="123"/>
      <c r="E125" s="4" t="s">
        <v>17</v>
      </c>
      <c r="F125" s="59">
        <v>3</v>
      </c>
      <c r="G125" s="101">
        <v>10</v>
      </c>
      <c r="H125" s="83">
        <f t="shared" si="2"/>
        <v>30</v>
      </c>
      <c r="K125" s="1"/>
      <c r="N125" s="82"/>
    </row>
    <row r="126" spans="1:14" ht="15" customHeight="1">
      <c r="A126" s="60"/>
      <c r="B126" s="33" t="s">
        <v>229</v>
      </c>
      <c r="C126" s="123" t="s">
        <v>704</v>
      </c>
      <c r="D126" s="123"/>
      <c r="E126" s="4" t="s">
        <v>17</v>
      </c>
      <c r="F126" s="59">
        <v>200</v>
      </c>
      <c r="G126" s="101">
        <v>5</v>
      </c>
      <c r="H126" s="83">
        <f t="shared" si="2"/>
        <v>1000</v>
      </c>
      <c r="K126" s="1"/>
      <c r="N126" s="82"/>
    </row>
    <row r="127" spans="1:14" ht="31.5" customHeight="1">
      <c r="A127" s="60"/>
      <c r="B127" s="33" t="s">
        <v>230</v>
      </c>
      <c r="C127" s="123" t="s">
        <v>477</v>
      </c>
      <c r="D127" s="123"/>
      <c r="E127" s="4" t="s">
        <v>17</v>
      </c>
      <c r="F127" s="59">
        <v>1</v>
      </c>
      <c r="G127" s="101">
        <v>60</v>
      </c>
      <c r="H127" s="83">
        <f t="shared" si="2"/>
        <v>60</v>
      </c>
      <c r="K127" s="1"/>
      <c r="N127" s="82"/>
    </row>
    <row r="128" spans="1:14" ht="45" customHeight="1">
      <c r="A128" s="60"/>
      <c r="B128" s="33" t="s">
        <v>231</v>
      </c>
      <c r="C128" s="123" t="s">
        <v>478</v>
      </c>
      <c r="D128" s="123"/>
      <c r="E128" s="4" t="s">
        <v>79</v>
      </c>
      <c r="F128" s="59">
        <v>180</v>
      </c>
      <c r="G128" s="101">
        <v>95</v>
      </c>
      <c r="H128" s="83">
        <f t="shared" si="2"/>
        <v>17100</v>
      </c>
      <c r="K128" s="1"/>
      <c r="N128" s="82"/>
    </row>
    <row r="129" spans="1:14" ht="45" customHeight="1">
      <c r="A129" s="60"/>
      <c r="B129" s="33" t="s">
        <v>232</v>
      </c>
      <c r="C129" s="123" t="s">
        <v>479</v>
      </c>
      <c r="D129" s="123"/>
      <c r="E129" s="4" t="s">
        <v>17</v>
      </c>
      <c r="F129" s="59">
        <v>280</v>
      </c>
      <c r="G129" s="101">
        <v>1</v>
      </c>
      <c r="H129" s="83">
        <f t="shared" si="2"/>
        <v>280</v>
      </c>
      <c r="K129" s="1"/>
      <c r="N129" s="82"/>
    </row>
    <row r="130" spans="1:14" ht="45" customHeight="1">
      <c r="A130" s="60"/>
      <c r="B130" s="33" t="s">
        <v>233</v>
      </c>
      <c r="C130" s="123" t="s">
        <v>480</v>
      </c>
      <c r="D130" s="123"/>
      <c r="E130" s="4" t="s">
        <v>17</v>
      </c>
      <c r="F130" s="59">
        <v>280</v>
      </c>
      <c r="G130" s="101">
        <v>1.5</v>
      </c>
      <c r="H130" s="83">
        <f t="shared" si="2"/>
        <v>420</v>
      </c>
      <c r="K130" s="1"/>
      <c r="N130" s="82"/>
    </row>
    <row r="131" spans="1:14" ht="60" customHeight="1">
      <c r="A131" s="60"/>
      <c r="B131" s="33" t="s">
        <v>234</v>
      </c>
      <c r="C131" s="123" t="s">
        <v>481</v>
      </c>
      <c r="D131" s="123"/>
      <c r="E131" s="4" t="s">
        <v>17</v>
      </c>
      <c r="F131" s="59">
        <v>9</v>
      </c>
      <c r="G131" s="101">
        <v>100</v>
      </c>
      <c r="H131" s="83">
        <f t="shared" si="2"/>
        <v>900</v>
      </c>
      <c r="K131" s="1"/>
      <c r="N131" s="82"/>
    </row>
    <row r="132" spans="1:14" ht="60" customHeight="1">
      <c r="A132" s="60"/>
      <c r="B132" s="33" t="s">
        <v>431</v>
      </c>
      <c r="C132" s="123" t="s">
        <v>482</v>
      </c>
      <c r="D132" s="123"/>
      <c r="E132" s="4" t="s">
        <v>17</v>
      </c>
      <c r="F132" s="59">
        <v>15</v>
      </c>
      <c r="G132" s="101">
        <v>100</v>
      </c>
      <c r="H132" s="83">
        <f t="shared" si="2"/>
        <v>1500</v>
      </c>
      <c r="K132" s="1"/>
      <c r="N132" s="82"/>
    </row>
    <row r="133" spans="1:14" ht="45" customHeight="1">
      <c r="A133" s="60"/>
      <c r="B133" s="33" t="s">
        <v>432</v>
      </c>
      <c r="C133" s="123" t="s">
        <v>483</v>
      </c>
      <c r="D133" s="123"/>
      <c r="E133" s="4" t="s">
        <v>17</v>
      </c>
      <c r="F133" s="59">
        <v>48</v>
      </c>
      <c r="G133" s="101">
        <v>5</v>
      </c>
      <c r="H133" s="83">
        <f t="shared" si="2"/>
        <v>240</v>
      </c>
      <c r="K133" s="1"/>
      <c r="N133" s="82"/>
    </row>
    <row r="134" spans="1:14" ht="150" customHeight="1">
      <c r="A134" s="60"/>
      <c r="B134" s="33" t="s">
        <v>433</v>
      </c>
      <c r="C134" s="123" t="s">
        <v>484</v>
      </c>
      <c r="D134" s="123"/>
      <c r="E134" s="4" t="s">
        <v>17</v>
      </c>
      <c r="F134" s="59">
        <v>1</v>
      </c>
      <c r="G134" s="101">
        <v>500</v>
      </c>
      <c r="H134" s="83">
        <f t="shared" si="2"/>
        <v>500</v>
      </c>
      <c r="K134" s="1"/>
      <c r="N134" s="82"/>
    </row>
    <row r="135" spans="1:14" ht="30" customHeight="1">
      <c r="A135" s="60"/>
      <c r="B135" s="33" t="s">
        <v>434</v>
      </c>
      <c r="C135" s="123" t="s">
        <v>485</v>
      </c>
      <c r="D135" s="123"/>
      <c r="E135" s="4" t="s">
        <v>17</v>
      </c>
      <c r="F135" s="59">
        <v>3</v>
      </c>
      <c r="G135" s="101">
        <v>380</v>
      </c>
      <c r="H135" s="83">
        <f t="shared" si="2"/>
        <v>1140</v>
      </c>
      <c r="K135" s="1"/>
      <c r="N135" s="82"/>
    </row>
    <row r="136" spans="1:14" ht="30" customHeight="1">
      <c r="A136" s="60"/>
      <c r="B136" s="33" t="s">
        <v>435</v>
      </c>
      <c r="C136" s="123" t="s">
        <v>486</v>
      </c>
      <c r="D136" s="123"/>
      <c r="E136" s="4" t="s">
        <v>17</v>
      </c>
      <c r="F136" s="59">
        <v>1</v>
      </c>
      <c r="G136" s="101">
        <v>260</v>
      </c>
      <c r="H136" s="83">
        <f t="shared" si="2"/>
        <v>260</v>
      </c>
      <c r="K136" s="1"/>
      <c r="N136" s="82"/>
    </row>
    <row r="137" spans="1:14" ht="30" customHeight="1">
      <c r="A137" s="60"/>
      <c r="B137" s="33" t="s">
        <v>436</v>
      </c>
      <c r="C137" s="123" t="s">
        <v>487</v>
      </c>
      <c r="D137" s="123"/>
      <c r="E137" s="4" t="s">
        <v>17</v>
      </c>
      <c r="F137" s="59">
        <v>6</v>
      </c>
      <c r="G137" s="101">
        <v>50</v>
      </c>
      <c r="H137" s="83">
        <f t="shared" si="2"/>
        <v>300</v>
      </c>
      <c r="K137" s="1"/>
      <c r="N137" s="82"/>
    </row>
    <row r="138" spans="1:14" ht="30" customHeight="1">
      <c r="A138" s="60"/>
      <c r="B138" s="33" t="s">
        <v>437</v>
      </c>
      <c r="C138" s="123" t="s">
        <v>488</v>
      </c>
      <c r="D138" s="123"/>
      <c r="E138" s="4" t="s">
        <v>17</v>
      </c>
      <c r="F138" s="59">
        <v>2</v>
      </c>
      <c r="G138" s="101">
        <v>60</v>
      </c>
      <c r="H138" s="83">
        <f t="shared" ref="H138:H201" si="3">ROUND(F138*G138,2)</f>
        <v>120</v>
      </c>
      <c r="K138" s="1"/>
      <c r="N138" s="82"/>
    </row>
    <row r="139" spans="1:14" ht="15" customHeight="1">
      <c r="A139" s="60"/>
      <c r="B139" s="33" t="s">
        <v>438</v>
      </c>
      <c r="C139" s="123" t="s">
        <v>489</v>
      </c>
      <c r="D139" s="123"/>
      <c r="E139" s="4" t="s">
        <v>17</v>
      </c>
      <c r="F139" s="59">
        <v>7</v>
      </c>
      <c r="G139" s="101">
        <v>45</v>
      </c>
      <c r="H139" s="83">
        <f t="shared" si="3"/>
        <v>315</v>
      </c>
      <c r="K139" s="1"/>
      <c r="N139" s="82"/>
    </row>
    <row r="140" spans="1:14" ht="15" customHeight="1">
      <c r="A140" s="60"/>
      <c r="B140" s="33" t="s">
        <v>439</v>
      </c>
      <c r="C140" s="123" t="s">
        <v>490</v>
      </c>
      <c r="D140" s="123"/>
      <c r="E140" s="4" t="s">
        <v>17</v>
      </c>
      <c r="F140" s="59">
        <v>2</v>
      </c>
      <c r="G140" s="101">
        <v>30</v>
      </c>
      <c r="H140" s="83">
        <f t="shared" si="3"/>
        <v>60</v>
      </c>
      <c r="K140" s="1"/>
      <c r="N140" s="82"/>
    </row>
    <row r="141" spans="1:14" ht="15" customHeight="1">
      <c r="A141" s="60"/>
      <c r="B141" s="33" t="s">
        <v>440</v>
      </c>
      <c r="C141" s="123" t="s">
        <v>491</v>
      </c>
      <c r="D141" s="123"/>
      <c r="E141" s="4" t="s">
        <v>17</v>
      </c>
      <c r="F141" s="59">
        <v>4</v>
      </c>
      <c r="G141" s="101">
        <v>40</v>
      </c>
      <c r="H141" s="83">
        <f t="shared" si="3"/>
        <v>160</v>
      </c>
      <c r="K141" s="1"/>
      <c r="N141" s="82"/>
    </row>
    <row r="142" spans="1:14" ht="15" customHeight="1">
      <c r="A142" s="60"/>
      <c r="B142" s="33" t="s">
        <v>441</v>
      </c>
      <c r="C142" s="123" t="s">
        <v>492</v>
      </c>
      <c r="D142" s="123"/>
      <c r="E142" s="4" t="s">
        <v>17</v>
      </c>
      <c r="F142" s="59">
        <v>2</v>
      </c>
      <c r="G142" s="101">
        <v>50</v>
      </c>
      <c r="H142" s="83">
        <f t="shared" si="3"/>
        <v>100</v>
      </c>
      <c r="K142" s="1"/>
      <c r="N142" s="82"/>
    </row>
    <row r="143" spans="1:14" ht="15" customHeight="1">
      <c r="A143" s="60"/>
      <c r="B143" s="33" t="s">
        <v>442</v>
      </c>
      <c r="C143" s="123" t="s">
        <v>493</v>
      </c>
      <c r="D143" s="123"/>
      <c r="E143" s="4" t="s">
        <v>17</v>
      </c>
      <c r="F143" s="59">
        <v>9</v>
      </c>
      <c r="G143" s="101">
        <v>3</v>
      </c>
      <c r="H143" s="83">
        <f t="shared" si="3"/>
        <v>27</v>
      </c>
      <c r="K143" s="1"/>
      <c r="N143" s="82"/>
    </row>
    <row r="144" spans="1:14" ht="15" customHeight="1">
      <c r="A144" s="60"/>
      <c r="B144" s="33" t="s">
        <v>443</v>
      </c>
      <c r="C144" s="123" t="s">
        <v>494</v>
      </c>
      <c r="D144" s="123"/>
      <c r="E144" s="4" t="s">
        <v>17</v>
      </c>
      <c r="F144" s="59">
        <v>8</v>
      </c>
      <c r="G144" s="101">
        <v>5</v>
      </c>
      <c r="H144" s="83">
        <f t="shared" si="3"/>
        <v>40</v>
      </c>
      <c r="K144" s="1"/>
      <c r="N144" s="82"/>
    </row>
    <row r="145" spans="1:14" ht="15" customHeight="1">
      <c r="A145" s="60"/>
      <c r="B145" s="33" t="s">
        <v>444</v>
      </c>
      <c r="C145" s="123" t="s">
        <v>495</v>
      </c>
      <c r="D145" s="123"/>
      <c r="E145" s="4" t="s">
        <v>17</v>
      </c>
      <c r="F145" s="59">
        <v>8</v>
      </c>
      <c r="G145" s="101">
        <v>3</v>
      </c>
      <c r="H145" s="83">
        <f t="shared" si="3"/>
        <v>24</v>
      </c>
      <c r="K145" s="1"/>
      <c r="N145" s="82"/>
    </row>
    <row r="146" spans="1:14" ht="30" customHeight="1">
      <c r="A146" s="60"/>
      <c r="B146" s="33" t="s">
        <v>445</v>
      </c>
      <c r="C146" s="123" t="s">
        <v>496</v>
      </c>
      <c r="D146" s="123"/>
      <c r="E146" s="4" t="s">
        <v>17</v>
      </c>
      <c r="F146" s="59">
        <v>9</v>
      </c>
      <c r="G146" s="101">
        <v>30</v>
      </c>
      <c r="H146" s="83">
        <f t="shared" si="3"/>
        <v>270</v>
      </c>
      <c r="K146" s="1"/>
      <c r="N146" s="82"/>
    </row>
    <row r="147" spans="1:14" ht="15" customHeight="1">
      <c r="A147" s="60"/>
      <c r="B147" s="33" t="s">
        <v>446</v>
      </c>
      <c r="C147" s="123" t="s">
        <v>497</v>
      </c>
      <c r="D147" s="123"/>
      <c r="E147" s="4" t="s">
        <v>17</v>
      </c>
      <c r="F147" s="59">
        <v>8</v>
      </c>
      <c r="G147" s="101">
        <v>48</v>
      </c>
      <c r="H147" s="83">
        <f t="shared" si="3"/>
        <v>384</v>
      </c>
      <c r="K147" s="1"/>
      <c r="N147" s="82"/>
    </row>
    <row r="148" spans="1:14" ht="30" customHeight="1">
      <c r="A148" s="60"/>
      <c r="B148" s="33" t="s">
        <v>447</v>
      </c>
      <c r="C148" s="123" t="s">
        <v>498</v>
      </c>
      <c r="D148" s="123"/>
      <c r="E148" s="4" t="s">
        <v>17</v>
      </c>
      <c r="F148" s="59">
        <v>9</v>
      </c>
      <c r="G148" s="101">
        <v>45</v>
      </c>
      <c r="H148" s="83">
        <f t="shared" si="3"/>
        <v>405</v>
      </c>
      <c r="K148" s="1"/>
      <c r="N148" s="82"/>
    </row>
    <row r="149" spans="1:14" ht="30" customHeight="1">
      <c r="A149" s="60"/>
      <c r="B149" s="33" t="s">
        <v>448</v>
      </c>
      <c r="C149" s="123" t="s">
        <v>499</v>
      </c>
      <c r="D149" s="123"/>
      <c r="E149" s="4" t="s">
        <v>17</v>
      </c>
      <c r="F149" s="59">
        <v>31</v>
      </c>
      <c r="G149" s="101">
        <v>75</v>
      </c>
      <c r="H149" s="83">
        <f t="shared" si="3"/>
        <v>2325</v>
      </c>
      <c r="K149" s="1"/>
      <c r="N149" s="82"/>
    </row>
    <row r="150" spans="1:14" ht="15" customHeight="1">
      <c r="A150" s="60"/>
      <c r="B150" s="33" t="s">
        <v>449</v>
      </c>
      <c r="C150" s="121" t="s">
        <v>500</v>
      </c>
      <c r="D150" s="121"/>
      <c r="E150" s="4" t="s">
        <v>17</v>
      </c>
      <c r="F150" s="59">
        <v>1</v>
      </c>
      <c r="G150" s="101">
        <v>70</v>
      </c>
      <c r="H150" s="83">
        <f t="shared" si="3"/>
        <v>70</v>
      </c>
      <c r="K150" s="1"/>
      <c r="N150" s="82"/>
    </row>
    <row r="151" spans="1:14" ht="15" customHeight="1">
      <c r="A151" s="60"/>
      <c r="B151" s="33" t="s">
        <v>450</v>
      </c>
      <c r="C151" s="121" t="s">
        <v>501</v>
      </c>
      <c r="D151" s="121"/>
      <c r="E151" s="4" t="s">
        <v>17</v>
      </c>
      <c r="F151" s="59">
        <v>1</v>
      </c>
      <c r="G151" s="101">
        <v>38</v>
      </c>
      <c r="H151" s="83">
        <f t="shared" si="3"/>
        <v>38</v>
      </c>
      <c r="K151" s="1"/>
      <c r="N151" s="82"/>
    </row>
    <row r="152" spans="1:14" ht="15" customHeight="1">
      <c r="A152" s="60"/>
      <c r="B152" s="33" t="s">
        <v>451</v>
      </c>
      <c r="C152" s="121" t="s">
        <v>502</v>
      </c>
      <c r="D152" s="121"/>
      <c r="E152" s="4" t="s">
        <v>17</v>
      </c>
      <c r="F152" s="59">
        <v>57</v>
      </c>
      <c r="G152" s="101">
        <v>2</v>
      </c>
      <c r="H152" s="83">
        <f t="shared" si="3"/>
        <v>114</v>
      </c>
      <c r="K152" s="1"/>
      <c r="N152" s="82"/>
    </row>
    <row r="153" spans="1:14" ht="15" customHeight="1">
      <c r="A153" s="60"/>
      <c r="B153" s="33" t="s">
        <v>452</v>
      </c>
      <c r="C153" s="121" t="s">
        <v>503</v>
      </c>
      <c r="D153" s="121"/>
      <c r="E153" s="4" t="s">
        <v>17</v>
      </c>
      <c r="F153" s="59">
        <v>57</v>
      </c>
      <c r="G153" s="101">
        <v>1</v>
      </c>
      <c r="H153" s="83">
        <f t="shared" si="3"/>
        <v>57</v>
      </c>
      <c r="K153" s="1"/>
      <c r="N153" s="82"/>
    </row>
    <row r="154" spans="1:14" ht="15" customHeight="1">
      <c r="A154" s="60"/>
      <c r="B154" s="33" t="s">
        <v>453</v>
      </c>
      <c r="C154" s="121" t="s">
        <v>504</v>
      </c>
      <c r="D154" s="121"/>
      <c r="E154" s="4" t="s">
        <v>17</v>
      </c>
      <c r="F154" s="59">
        <v>1</v>
      </c>
      <c r="G154" s="101">
        <v>100</v>
      </c>
      <c r="H154" s="83">
        <f t="shared" si="3"/>
        <v>100</v>
      </c>
      <c r="K154" s="1"/>
      <c r="N154" s="82"/>
    </row>
    <row r="155" spans="1:14" ht="15" customHeight="1">
      <c r="A155" s="60"/>
      <c r="B155" s="33" t="s">
        <v>454</v>
      </c>
      <c r="C155" s="121" t="s">
        <v>505</v>
      </c>
      <c r="D155" s="121"/>
      <c r="E155" s="4" t="s">
        <v>17</v>
      </c>
      <c r="F155" s="59">
        <v>2</v>
      </c>
      <c r="G155" s="101">
        <v>100</v>
      </c>
      <c r="H155" s="83">
        <f t="shared" si="3"/>
        <v>200</v>
      </c>
      <c r="K155" s="1"/>
      <c r="N155" s="82"/>
    </row>
    <row r="156" spans="1:14" ht="15" customHeight="1">
      <c r="A156" s="60"/>
      <c r="B156" s="33" t="s">
        <v>455</v>
      </c>
      <c r="C156" s="121" t="s">
        <v>506</v>
      </c>
      <c r="D156" s="121"/>
      <c r="E156" s="4" t="s">
        <v>17</v>
      </c>
      <c r="F156" s="59">
        <v>1</v>
      </c>
      <c r="G156" s="101">
        <v>120</v>
      </c>
      <c r="H156" s="83">
        <f t="shared" si="3"/>
        <v>120</v>
      </c>
      <c r="K156" s="1"/>
      <c r="N156" s="82"/>
    </row>
    <row r="157" spans="1:14" ht="15" customHeight="1">
      <c r="A157" s="60"/>
      <c r="B157" s="33" t="s">
        <v>456</v>
      </c>
      <c r="C157" s="121" t="s">
        <v>507</v>
      </c>
      <c r="D157" s="121"/>
      <c r="E157" s="4" t="s">
        <v>17</v>
      </c>
      <c r="F157" s="59">
        <v>1</v>
      </c>
      <c r="G157" s="101">
        <v>110</v>
      </c>
      <c r="H157" s="83">
        <f t="shared" si="3"/>
        <v>110</v>
      </c>
      <c r="K157" s="1"/>
      <c r="N157" s="82"/>
    </row>
    <row r="158" spans="1:14" ht="15" customHeight="1">
      <c r="A158" s="60"/>
      <c r="B158" s="33" t="s">
        <v>457</v>
      </c>
      <c r="C158" s="121" t="s">
        <v>508</v>
      </c>
      <c r="D158" s="121"/>
      <c r="E158" s="4" t="s">
        <v>17</v>
      </c>
      <c r="F158" s="59">
        <v>30</v>
      </c>
      <c r="G158" s="101">
        <v>100</v>
      </c>
      <c r="H158" s="83">
        <f t="shared" si="3"/>
        <v>3000</v>
      </c>
      <c r="K158" s="1"/>
      <c r="N158" s="82"/>
    </row>
    <row r="159" spans="1:14">
      <c r="A159" s="60"/>
      <c r="B159" s="27" t="s">
        <v>10</v>
      </c>
      <c r="C159" s="125" t="s">
        <v>509</v>
      </c>
      <c r="D159" s="125"/>
      <c r="E159" s="11"/>
      <c r="F159" s="11"/>
      <c r="G159" s="103"/>
      <c r="H159" s="6"/>
      <c r="K159" s="1"/>
      <c r="N159" s="82"/>
    </row>
    <row r="160" spans="1:14">
      <c r="A160" s="60"/>
      <c r="B160" s="33" t="s">
        <v>235</v>
      </c>
      <c r="C160" s="123" t="s">
        <v>518</v>
      </c>
      <c r="D160" s="123"/>
      <c r="E160" s="4" t="s">
        <v>79</v>
      </c>
      <c r="F160" s="59">
        <v>40</v>
      </c>
      <c r="G160" s="101">
        <v>38</v>
      </c>
      <c r="H160" s="83">
        <f t="shared" si="3"/>
        <v>1520</v>
      </c>
      <c r="K160" s="1"/>
      <c r="N160" s="82"/>
    </row>
    <row r="161" spans="1:14">
      <c r="A161" s="60"/>
      <c r="B161" s="33" t="s">
        <v>236</v>
      </c>
      <c r="C161" s="123" t="s">
        <v>519</v>
      </c>
      <c r="D161" s="123"/>
      <c r="E161" s="4" t="s">
        <v>79</v>
      </c>
      <c r="F161" s="59">
        <v>200</v>
      </c>
      <c r="G161" s="101">
        <v>4</v>
      </c>
      <c r="H161" s="83">
        <f t="shared" si="3"/>
        <v>800</v>
      </c>
      <c r="K161" s="1"/>
      <c r="N161" s="82"/>
    </row>
    <row r="162" spans="1:14" ht="15" customHeight="1">
      <c r="A162" s="60"/>
      <c r="B162" s="33" t="s">
        <v>237</v>
      </c>
      <c r="C162" s="123" t="s">
        <v>520</v>
      </c>
      <c r="D162" s="123"/>
      <c r="E162" s="4" t="s">
        <v>17</v>
      </c>
      <c r="F162" s="59">
        <v>2</v>
      </c>
      <c r="G162" s="101">
        <v>4</v>
      </c>
      <c r="H162" s="83">
        <f t="shared" si="3"/>
        <v>8</v>
      </c>
      <c r="K162" s="1"/>
      <c r="N162" s="82"/>
    </row>
    <row r="163" spans="1:14" ht="15" customHeight="1">
      <c r="A163" s="60"/>
      <c r="B163" s="33" t="s">
        <v>238</v>
      </c>
      <c r="C163" s="123" t="s">
        <v>521</v>
      </c>
      <c r="D163" s="123"/>
      <c r="E163" s="4" t="s">
        <v>17</v>
      </c>
      <c r="F163" s="59">
        <v>8</v>
      </c>
      <c r="G163" s="101">
        <v>8</v>
      </c>
      <c r="H163" s="83">
        <f t="shared" si="3"/>
        <v>64</v>
      </c>
      <c r="K163" s="1"/>
      <c r="N163" s="82"/>
    </row>
    <row r="164" spans="1:14" ht="15" customHeight="1">
      <c r="A164" s="60"/>
      <c r="B164" s="33" t="s">
        <v>239</v>
      </c>
      <c r="C164" s="123" t="s">
        <v>522</v>
      </c>
      <c r="D164" s="123"/>
      <c r="E164" s="4" t="s">
        <v>17</v>
      </c>
      <c r="F164" s="59">
        <v>25</v>
      </c>
      <c r="G164" s="101">
        <v>3</v>
      </c>
      <c r="H164" s="83">
        <f t="shared" si="3"/>
        <v>75</v>
      </c>
      <c r="K164" s="1"/>
      <c r="N164" s="82"/>
    </row>
    <row r="165" spans="1:14" ht="15" customHeight="1">
      <c r="A165" s="60"/>
      <c r="B165" s="33" t="s">
        <v>240</v>
      </c>
      <c r="C165" s="123" t="s">
        <v>523</v>
      </c>
      <c r="D165" s="123"/>
      <c r="E165" s="4" t="s">
        <v>17</v>
      </c>
      <c r="F165" s="59">
        <v>9</v>
      </c>
      <c r="G165" s="101">
        <v>8</v>
      </c>
      <c r="H165" s="83">
        <f t="shared" si="3"/>
        <v>72</v>
      </c>
      <c r="K165" s="1"/>
      <c r="N165" s="82"/>
    </row>
    <row r="166" spans="1:14" ht="15" customHeight="1">
      <c r="A166" s="60"/>
      <c r="B166" s="33" t="s">
        <v>241</v>
      </c>
      <c r="C166" s="123" t="s">
        <v>524</v>
      </c>
      <c r="D166" s="123"/>
      <c r="E166" s="4" t="s">
        <v>17</v>
      </c>
      <c r="F166" s="59">
        <v>9</v>
      </c>
      <c r="G166" s="101">
        <v>19</v>
      </c>
      <c r="H166" s="83">
        <f t="shared" si="3"/>
        <v>171</v>
      </c>
      <c r="K166" s="1"/>
      <c r="N166" s="82"/>
    </row>
    <row r="167" spans="1:14" ht="15" customHeight="1">
      <c r="A167" s="60"/>
      <c r="B167" s="33" t="s">
        <v>242</v>
      </c>
      <c r="C167" s="123" t="s">
        <v>423</v>
      </c>
      <c r="D167" s="123"/>
      <c r="E167" s="4" t="s">
        <v>79</v>
      </c>
      <c r="F167" s="59">
        <v>1400</v>
      </c>
      <c r="G167" s="101">
        <v>4.8</v>
      </c>
      <c r="H167" s="83">
        <f t="shared" si="3"/>
        <v>6720</v>
      </c>
      <c r="K167" s="1"/>
      <c r="N167" s="82"/>
    </row>
    <row r="168" spans="1:14">
      <c r="A168" s="60"/>
      <c r="B168" s="33" t="s">
        <v>243</v>
      </c>
      <c r="C168" s="123" t="s">
        <v>525</v>
      </c>
      <c r="D168" s="123"/>
      <c r="E168" s="4" t="s">
        <v>17</v>
      </c>
      <c r="F168" s="59">
        <v>14</v>
      </c>
      <c r="G168" s="101">
        <v>7</v>
      </c>
      <c r="H168" s="83">
        <f t="shared" si="3"/>
        <v>98</v>
      </c>
      <c r="K168" s="1"/>
      <c r="N168" s="82"/>
    </row>
    <row r="169" spans="1:14" ht="15" customHeight="1">
      <c r="A169" s="60"/>
      <c r="B169" s="33" t="s">
        <v>244</v>
      </c>
      <c r="C169" s="123" t="s">
        <v>526</v>
      </c>
      <c r="D169" s="123"/>
      <c r="E169" s="4" t="s">
        <v>17</v>
      </c>
      <c r="F169" s="59">
        <v>73</v>
      </c>
      <c r="G169" s="101">
        <v>9</v>
      </c>
      <c r="H169" s="83">
        <f t="shared" si="3"/>
        <v>657</v>
      </c>
      <c r="K169" s="1"/>
      <c r="N169" s="82"/>
    </row>
    <row r="170" spans="1:14">
      <c r="A170" s="60"/>
      <c r="B170" s="33" t="s">
        <v>245</v>
      </c>
      <c r="C170" s="123" t="s">
        <v>527</v>
      </c>
      <c r="D170" s="123"/>
      <c r="E170" s="4" t="s">
        <v>17</v>
      </c>
      <c r="F170" s="59">
        <v>65</v>
      </c>
      <c r="G170" s="101">
        <v>7</v>
      </c>
      <c r="H170" s="83">
        <f t="shared" si="3"/>
        <v>455</v>
      </c>
      <c r="K170" s="1"/>
      <c r="N170" s="82"/>
    </row>
    <row r="171" spans="1:14">
      <c r="A171" s="60"/>
      <c r="B171" s="33" t="s">
        <v>246</v>
      </c>
      <c r="C171" s="123" t="s">
        <v>528</v>
      </c>
      <c r="D171" s="123"/>
      <c r="E171" s="4" t="s">
        <v>17</v>
      </c>
      <c r="F171" s="59">
        <v>97</v>
      </c>
      <c r="G171" s="101">
        <v>7</v>
      </c>
      <c r="H171" s="83">
        <f t="shared" si="3"/>
        <v>679</v>
      </c>
      <c r="K171" s="1"/>
      <c r="N171" s="82"/>
    </row>
    <row r="172" spans="1:14" ht="15" customHeight="1">
      <c r="A172" s="60"/>
      <c r="B172" s="33" t="s">
        <v>247</v>
      </c>
      <c r="C172" s="123" t="s">
        <v>529</v>
      </c>
      <c r="D172" s="123"/>
      <c r="E172" s="4" t="s">
        <v>17</v>
      </c>
      <c r="F172" s="59">
        <v>14</v>
      </c>
      <c r="G172" s="101">
        <v>7</v>
      </c>
      <c r="H172" s="83">
        <f t="shared" si="3"/>
        <v>98</v>
      </c>
      <c r="K172" s="1"/>
      <c r="N172" s="82"/>
    </row>
    <row r="173" spans="1:14" ht="30" customHeight="1">
      <c r="A173" s="60"/>
      <c r="B173" s="33" t="s">
        <v>510</v>
      </c>
      <c r="C173" s="123" t="s">
        <v>530</v>
      </c>
      <c r="D173" s="123"/>
      <c r="E173" s="4" t="s">
        <v>17</v>
      </c>
      <c r="F173" s="59">
        <v>15</v>
      </c>
      <c r="G173" s="101">
        <v>10</v>
      </c>
      <c r="H173" s="83">
        <f t="shared" si="3"/>
        <v>150</v>
      </c>
      <c r="K173" s="1"/>
      <c r="N173" s="82"/>
    </row>
    <row r="174" spans="1:14" ht="15" customHeight="1">
      <c r="A174" s="60"/>
      <c r="B174" s="33" t="s">
        <v>511</v>
      </c>
      <c r="C174" s="123" t="s">
        <v>531</v>
      </c>
      <c r="D174" s="123"/>
      <c r="E174" s="4" t="s">
        <v>17</v>
      </c>
      <c r="F174" s="59">
        <v>9</v>
      </c>
      <c r="G174" s="101">
        <v>5</v>
      </c>
      <c r="H174" s="83">
        <f t="shared" si="3"/>
        <v>45</v>
      </c>
      <c r="K174" s="1"/>
      <c r="N174" s="82"/>
    </row>
    <row r="175" spans="1:14">
      <c r="A175" s="60"/>
      <c r="B175" s="33" t="s">
        <v>512</v>
      </c>
      <c r="C175" s="123" t="s">
        <v>532</v>
      </c>
      <c r="D175" s="123"/>
      <c r="E175" s="4" t="s">
        <v>17</v>
      </c>
      <c r="F175" s="59">
        <v>240</v>
      </c>
      <c r="G175" s="101">
        <v>5</v>
      </c>
      <c r="H175" s="83">
        <f t="shared" si="3"/>
        <v>1200</v>
      </c>
      <c r="K175" s="1"/>
      <c r="N175" s="82"/>
    </row>
    <row r="176" spans="1:14" ht="15" customHeight="1">
      <c r="A176" s="60"/>
      <c r="B176" s="33" t="s">
        <v>513</v>
      </c>
      <c r="C176" s="123" t="s">
        <v>533</v>
      </c>
      <c r="D176" s="123"/>
      <c r="E176" s="4" t="s">
        <v>17</v>
      </c>
      <c r="F176" s="59">
        <v>15</v>
      </c>
      <c r="G176" s="101">
        <v>3</v>
      </c>
      <c r="H176" s="83">
        <f t="shared" si="3"/>
        <v>45</v>
      </c>
      <c r="K176" s="1"/>
      <c r="N176" s="82"/>
    </row>
    <row r="177" spans="1:14" ht="15" customHeight="1">
      <c r="A177" s="60"/>
      <c r="B177" s="33" t="s">
        <v>514</v>
      </c>
      <c r="C177" s="123" t="s">
        <v>534</v>
      </c>
      <c r="D177" s="123"/>
      <c r="E177" s="4" t="s">
        <v>79</v>
      </c>
      <c r="F177" s="59">
        <v>125</v>
      </c>
      <c r="G177" s="101">
        <v>1.52</v>
      </c>
      <c r="H177" s="83">
        <f t="shared" si="3"/>
        <v>190</v>
      </c>
      <c r="K177" s="1"/>
      <c r="N177" s="82"/>
    </row>
    <row r="178" spans="1:14">
      <c r="A178" s="60"/>
      <c r="B178" s="33" t="s">
        <v>515</v>
      </c>
      <c r="C178" s="123" t="s">
        <v>535</v>
      </c>
      <c r="D178" s="123"/>
      <c r="E178" s="4" t="s">
        <v>79</v>
      </c>
      <c r="F178" s="59">
        <v>185</v>
      </c>
      <c r="G178" s="101">
        <v>2.86</v>
      </c>
      <c r="H178" s="83">
        <f t="shared" si="3"/>
        <v>529.1</v>
      </c>
      <c r="K178" s="1"/>
      <c r="N178" s="82"/>
    </row>
    <row r="179" spans="1:14">
      <c r="A179" s="60"/>
      <c r="B179" s="33" t="s">
        <v>516</v>
      </c>
      <c r="C179" s="123" t="s">
        <v>536</v>
      </c>
      <c r="D179" s="123"/>
      <c r="E179" s="4" t="s">
        <v>79</v>
      </c>
      <c r="F179" s="59">
        <v>65</v>
      </c>
      <c r="G179" s="101">
        <v>3.18</v>
      </c>
      <c r="H179" s="83">
        <f t="shared" si="3"/>
        <v>206.7</v>
      </c>
      <c r="K179" s="1"/>
      <c r="N179" s="82"/>
    </row>
    <row r="180" spans="1:14" ht="30" customHeight="1">
      <c r="A180" s="60"/>
      <c r="B180" s="33" t="s">
        <v>517</v>
      </c>
      <c r="C180" s="123" t="s">
        <v>577</v>
      </c>
      <c r="D180" s="123"/>
      <c r="E180" s="4" t="s">
        <v>79</v>
      </c>
      <c r="F180" s="59">
        <v>375</v>
      </c>
      <c r="G180" s="101">
        <v>3.25</v>
      </c>
      <c r="H180" s="83">
        <f t="shared" si="3"/>
        <v>1218.75</v>
      </c>
      <c r="K180" s="1"/>
      <c r="N180" s="82"/>
    </row>
    <row r="181" spans="1:14" ht="15" customHeight="1">
      <c r="A181" s="60"/>
      <c r="B181" s="27" t="s">
        <v>11</v>
      </c>
      <c r="C181" s="125" t="s">
        <v>542</v>
      </c>
      <c r="D181" s="125"/>
      <c r="E181" s="11"/>
      <c r="F181" s="11"/>
      <c r="G181" s="103"/>
      <c r="H181" s="6"/>
      <c r="K181" s="1"/>
      <c r="N181" s="82"/>
    </row>
    <row r="182" spans="1:14" ht="15" customHeight="1">
      <c r="A182" s="60"/>
      <c r="B182" s="33" t="s">
        <v>537</v>
      </c>
      <c r="C182" s="123" t="s">
        <v>540</v>
      </c>
      <c r="D182" s="123"/>
      <c r="E182" s="4" t="s">
        <v>17</v>
      </c>
      <c r="F182" s="59">
        <v>1</v>
      </c>
      <c r="G182" s="101">
        <v>1000</v>
      </c>
      <c r="H182" s="83">
        <f t="shared" si="3"/>
        <v>1000</v>
      </c>
      <c r="K182" s="1"/>
      <c r="N182" s="82"/>
    </row>
    <row r="183" spans="1:14" ht="15" customHeight="1">
      <c r="A183" s="60"/>
      <c r="B183" s="33" t="s">
        <v>538</v>
      </c>
      <c r="C183" s="123" t="s">
        <v>541</v>
      </c>
      <c r="D183" s="123"/>
      <c r="E183" s="4" t="s">
        <v>79</v>
      </c>
      <c r="F183" s="59">
        <v>1175</v>
      </c>
      <c r="G183" s="101">
        <v>14</v>
      </c>
      <c r="H183" s="83">
        <f t="shared" si="3"/>
        <v>16450</v>
      </c>
      <c r="K183" s="1"/>
      <c r="N183" s="82"/>
    </row>
    <row r="184" spans="1:14" ht="48" customHeight="1">
      <c r="A184" s="60"/>
      <c r="B184" s="33" t="s">
        <v>539</v>
      </c>
      <c r="C184" s="123" t="s">
        <v>826</v>
      </c>
      <c r="D184" s="123"/>
      <c r="E184" s="4" t="s">
        <v>17</v>
      </c>
      <c r="F184" s="59">
        <v>1</v>
      </c>
      <c r="G184" s="101">
        <v>500</v>
      </c>
      <c r="H184" s="83">
        <f t="shared" si="3"/>
        <v>500</v>
      </c>
      <c r="K184" s="1"/>
      <c r="N184" s="82"/>
    </row>
    <row r="185" spans="1:14" ht="15" customHeight="1">
      <c r="A185" s="60"/>
      <c r="B185" s="27" t="s">
        <v>18</v>
      </c>
      <c r="C185" s="124" t="s">
        <v>576</v>
      </c>
      <c r="D185" s="124"/>
      <c r="E185" s="11"/>
      <c r="F185" s="11"/>
      <c r="G185" s="103"/>
      <c r="H185" s="6"/>
      <c r="K185" s="1"/>
      <c r="N185" s="82"/>
    </row>
    <row r="186" spans="1:14" ht="180" customHeight="1">
      <c r="A186" s="60"/>
      <c r="B186" s="33" t="s">
        <v>543</v>
      </c>
      <c r="C186" s="123" t="s">
        <v>560</v>
      </c>
      <c r="D186" s="123"/>
      <c r="E186" s="4" t="s">
        <v>17</v>
      </c>
      <c r="F186" s="59">
        <v>1</v>
      </c>
      <c r="G186" s="101">
        <v>350</v>
      </c>
      <c r="H186" s="83">
        <f t="shared" si="3"/>
        <v>350</v>
      </c>
      <c r="K186" s="1"/>
      <c r="N186" s="82"/>
    </row>
    <row r="187" spans="1:14" ht="30" customHeight="1">
      <c r="A187" s="60"/>
      <c r="B187" s="33" t="s">
        <v>544</v>
      </c>
      <c r="C187" s="123" t="s">
        <v>561</v>
      </c>
      <c r="D187" s="123"/>
      <c r="E187" s="4" t="s">
        <v>17</v>
      </c>
      <c r="F187" s="59">
        <v>1</v>
      </c>
      <c r="G187" s="101">
        <v>350</v>
      </c>
      <c r="H187" s="83">
        <f t="shared" si="3"/>
        <v>350</v>
      </c>
      <c r="K187" s="1"/>
      <c r="N187" s="82"/>
    </row>
    <row r="188" spans="1:14" ht="15" customHeight="1">
      <c r="A188" s="60"/>
      <c r="B188" s="33" t="s">
        <v>545</v>
      </c>
      <c r="C188" s="123" t="s">
        <v>562</v>
      </c>
      <c r="D188" s="123"/>
      <c r="E188" s="4" t="s">
        <v>17</v>
      </c>
      <c r="F188" s="59">
        <v>1</v>
      </c>
      <c r="G188" s="101">
        <v>100</v>
      </c>
      <c r="H188" s="83">
        <f t="shared" si="3"/>
        <v>100</v>
      </c>
      <c r="K188" s="1"/>
      <c r="N188" s="82"/>
    </row>
    <row r="189" spans="1:14" ht="15" customHeight="1">
      <c r="A189" s="60"/>
      <c r="B189" s="33" t="s">
        <v>546</v>
      </c>
      <c r="C189" s="123" t="s">
        <v>563</v>
      </c>
      <c r="D189" s="123"/>
      <c r="E189" s="4" t="s">
        <v>17</v>
      </c>
      <c r="F189" s="59">
        <v>1</v>
      </c>
      <c r="G189" s="101">
        <v>60</v>
      </c>
      <c r="H189" s="83">
        <f t="shared" si="3"/>
        <v>60</v>
      </c>
      <c r="K189" s="1"/>
      <c r="N189" s="82"/>
    </row>
    <row r="190" spans="1:14">
      <c r="A190" s="60"/>
      <c r="B190" s="33" t="s">
        <v>547</v>
      </c>
      <c r="C190" s="123" t="s">
        <v>564</v>
      </c>
      <c r="D190" s="123"/>
      <c r="E190" s="4" t="s">
        <v>17</v>
      </c>
      <c r="F190" s="59">
        <v>1</v>
      </c>
      <c r="G190" s="101">
        <v>30</v>
      </c>
      <c r="H190" s="83">
        <f t="shared" si="3"/>
        <v>30</v>
      </c>
      <c r="K190" s="1"/>
      <c r="N190" s="82"/>
    </row>
    <row r="191" spans="1:14">
      <c r="A191" s="60"/>
      <c r="B191" s="33" t="s">
        <v>548</v>
      </c>
      <c r="C191" s="123" t="s">
        <v>565</v>
      </c>
      <c r="D191" s="123"/>
      <c r="E191" s="4" t="s">
        <v>17</v>
      </c>
      <c r="F191" s="59">
        <v>1</v>
      </c>
      <c r="G191" s="101">
        <v>15</v>
      </c>
      <c r="H191" s="83">
        <f t="shared" si="3"/>
        <v>15</v>
      </c>
      <c r="K191" s="1"/>
      <c r="N191" s="82"/>
    </row>
    <row r="192" spans="1:14">
      <c r="A192" s="60"/>
      <c r="B192" s="33" t="s">
        <v>549</v>
      </c>
      <c r="C192" s="123" t="s">
        <v>566</v>
      </c>
      <c r="D192" s="123"/>
      <c r="E192" s="4" t="s">
        <v>17</v>
      </c>
      <c r="F192" s="59">
        <v>1</v>
      </c>
      <c r="G192" s="101">
        <v>12</v>
      </c>
      <c r="H192" s="83">
        <f t="shared" si="3"/>
        <v>12</v>
      </c>
      <c r="K192" s="1"/>
      <c r="N192" s="82"/>
    </row>
    <row r="193" spans="1:14">
      <c r="A193" s="60"/>
      <c r="B193" s="33" t="s">
        <v>550</v>
      </c>
      <c r="C193" s="123" t="s">
        <v>567</v>
      </c>
      <c r="D193" s="123"/>
      <c r="E193" s="4" t="s">
        <v>17</v>
      </c>
      <c r="F193" s="59">
        <v>1</v>
      </c>
      <c r="G193" s="101">
        <v>290</v>
      </c>
      <c r="H193" s="83">
        <f t="shared" si="3"/>
        <v>290</v>
      </c>
      <c r="K193" s="1"/>
      <c r="N193" s="82"/>
    </row>
    <row r="194" spans="1:14" ht="28.5" customHeight="1">
      <c r="A194" s="60"/>
      <c r="B194" s="33" t="s">
        <v>551</v>
      </c>
      <c r="C194" s="123" t="s">
        <v>568</v>
      </c>
      <c r="D194" s="123"/>
      <c r="E194" s="4" t="s">
        <v>17</v>
      </c>
      <c r="F194" s="59">
        <v>1</v>
      </c>
      <c r="G194" s="101">
        <v>1200</v>
      </c>
      <c r="H194" s="83">
        <f t="shared" si="3"/>
        <v>1200</v>
      </c>
      <c r="K194" s="1"/>
      <c r="N194" s="82"/>
    </row>
    <row r="195" spans="1:14">
      <c r="A195" s="60"/>
      <c r="B195" s="33" t="s">
        <v>552</v>
      </c>
      <c r="C195" s="123" t="s">
        <v>569</v>
      </c>
      <c r="D195" s="123"/>
      <c r="E195" s="4" t="s">
        <v>17</v>
      </c>
      <c r="F195" s="59">
        <v>1</v>
      </c>
      <c r="G195" s="101">
        <v>18</v>
      </c>
      <c r="H195" s="83">
        <f t="shared" si="3"/>
        <v>18</v>
      </c>
      <c r="K195" s="1"/>
      <c r="N195" s="82"/>
    </row>
    <row r="196" spans="1:14">
      <c r="A196" s="60"/>
      <c r="B196" s="33" t="s">
        <v>553</v>
      </c>
      <c r="C196" s="123" t="s">
        <v>570</v>
      </c>
      <c r="D196" s="123"/>
      <c r="E196" s="4" t="s">
        <v>17</v>
      </c>
      <c r="F196" s="59">
        <v>1</v>
      </c>
      <c r="G196" s="101">
        <v>23</v>
      </c>
      <c r="H196" s="83">
        <f t="shared" si="3"/>
        <v>23</v>
      </c>
      <c r="K196" s="1"/>
      <c r="N196" s="82"/>
    </row>
    <row r="197" spans="1:14">
      <c r="A197" s="60"/>
      <c r="B197" s="33" t="s">
        <v>554</v>
      </c>
      <c r="C197" s="123" t="s">
        <v>571</v>
      </c>
      <c r="D197" s="123"/>
      <c r="E197" s="4" t="s">
        <v>17</v>
      </c>
      <c r="F197" s="59">
        <v>1</v>
      </c>
      <c r="G197" s="101">
        <v>70</v>
      </c>
      <c r="H197" s="83">
        <f t="shared" si="3"/>
        <v>70</v>
      </c>
      <c r="K197" s="1"/>
      <c r="N197" s="82"/>
    </row>
    <row r="198" spans="1:14" ht="15" customHeight="1">
      <c r="A198" s="60"/>
      <c r="B198" s="33" t="s">
        <v>555</v>
      </c>
      <c r="C198" s="123" t="s">
        <v>572</v>
      </c>
      <c r="D198" s="123"/>
      <c r="E198" s="4" t="s">
        <v>17</v>
      </c>
      <c r="F198" s="59">
        <v>1</v>
      </c>
      <c r="G198" s="101">
        <v>20</v>
      </c>
      <c r="H198" s="83">
        <f t="shared" si="3"/>
        <v>20</v>
      </c>
      <c r="K198" s="1"/>
      <c r="N198" s="82"/>
    </row>
    <row r="199" spans="1:14" ht="15" customHeight="1">
      <c r="A199" s="60"/>
      <c r="B199" s="33" t="s">
        <v>556</v>
      </c>
      <c r="C199" s="123" t="s">
        <v>573</v>
      </c>
      <c r="D199" s="123"/>
      <c r="E199" s="4" t="s">
        <v>17</v>
      </c>
      <c r="F199" s="59">
        <v>1</v>
      </c>
      <c r="G199" s="101">
        <v>128</v>
      </c>
      <c r="H199" s="83">
        <f t="shared" si="3"/>
        <v>128</v>
      </c>
      <c r="K199" s="1"/>
      <c r="N199" s="82"/>
    </row>
    <row r="200" spans="1:14" ht="45" customHeight="1">
      <c r="A200" s="60"/>
      <c r="B200" s="33" t="s">
        <v>557</v>
      </c>
      <c r="C200" s="123" t="s">
        <v>574</v>
      </c>
      <c r="D200" s="123"/>
      <c r="E200" s="4" t="s">
        <v>17</v>
      </c>
      <c r="F200" s="59">
        <v>1</v>
      </c>
      <c r="G200" s="101">
        <v>6000</v>
      </c>
      <c r="H200" s="83">
        <f t="shared" si="3"/>
        <v>6000</v>
      </c>
      <c r="K200" s="1"/>
      <c r="N200" s="82"/>
    </row>
    <row r="201" spans="1:14" ht="15" customHeight="1">
      <c r="A201" s="60"/>
      <c r="B201" s="33" t="s">
        <v>558</v>
      </c>
      <c r="C201" s="123" t="s">
        <v>575</v>
      </c>
      <c r="D201" s="123"/>
      <c r="E201" s="4" t="s">
        <v>17</v>
      </c>
      <c r="F201" s="59">
        <v>1</v>
      </c>
      <c r="G201" s="101">
        <v>1000</v>
      </c>
      <c r="H201" s="83">
        <f t="shared" si="3"/>
        <v>1000</v>
      </c>
      <c r="K201" s="1"/>
      <c r="N201" s="82"/>
    </row>
    <row r="202" spans="1:14" ht="45" customHeight="1">
      <c r="A202" s="60"/>
      <c r="B202" s="33" t="s">
        <v>559</v>
      </c>
      <c r="C202" s="123" t="s">
        <v>578</v>
      </c>
      <c r="D202" s="123"/>
      <c r="E202" s="4" t="s">
        <v>17</v>
      </c>
      <c r="F202" s="59">
        <v>1</v>
      </c>
      <c r="G202" s="101">
        <v>2000</v>
      </c>
      <c r="H202" s="83">
        <f t="shared" ref="H202:H265" si="4">ROUND(F202*G202,2)</f>
        <v>2000</v>
      </c>
      <c r="K202" s="1"/>
      <c r="N202" s="82"/>
    </row>
    <row r="203" spans="1:14" ht="15" customHeight="1">
      <c r="A203" s="60"/>
      <c r="B203" s="24" t="s">
        <v>42</v>
      </c>
      <c r="C203" s="113" t="s">
        <v>70</v>
      </c>
      <c r="D203" s="113"/>
      <c r="E203" s="45"/>
      <c r="F203" s="45"/>
      <c r="G203" s="102"/>
      <c r="H203" s="88"/>
      <c r="K203" s="1"/>
      <c r="N203" s="82"/>
    </row>
    <row r="204" spans="1:14" ht="30" customHeight="1">
      <c r="A204" s="60"/>
      <c r="B204" s="27" t="s">
        <v>44</v>
      </c>
      <c r="C204" s="122" t="s">
        <v>210</v>
      </c>
      <c r="D204" s="122"/>
      <c r="E204" s="11"/>
      <c r="F204" s="11"/>
      <c r="G204" s="103"/>
      <c r="H204" s="6"/>
      <c r="K204" s="1"/>
      <c r="N204" s="82"/>
    </row>
    <row r="205" spans="1:14" ht="15" customHeight="1">
      <c r="A205" s="60"/>
      <c r="B205" s="33" t="s">
        <v>209</v>
      </c>
      <c r="C205" s="121" t="s">
        <v>282</v>
      </c>
      <c r="D205" s="121"/>
      <c r="E205" s="9" t="s">
        <v>17</v>
      </c>
      <c r="F205" s="9">
        <v>7</v>
      </c>
      <c r="G205" s="104">
        <v>285</v>
      </c>
      <c r="H205" s="83">
        <f t="shared" si="4"/>
        <v>1995</v>
      </c>
      <c r="K205" s="1"/>
      <c r="N205" s="82"/>
    </row>
    <row r="206" spans="1:14" ht="15" customHeight="1">
      <c r="A206" s="60"/>
      <c r="B206" s="33" t="s">
        <v>248</v>
      </c>
      <c r="C206" s="121" t="s">
        <v>283</v>
      </c>
      <c r="D206" s="121"/>
      <c r="E206" s="9" t="s">
        <v>17</v>
      </c>
      <c r="F206" s="9">
        <v>7</v>
      </c>
      <c r="G206" s="104">
        <v>100</v>
      </c>
      <c r="H206" s="83">
        <f t="shared" si="4"/>
        <v>700</v>
      </c>
      <c r="K206" s="1"/>
      <c r="N206" s="82"/>
    </row>
    <row r="207" spans="1:14" ht="15" customHeight="1">
      <c r="A207" s="60"/>
      <c r="B207" s="33" t="s">
        <v>249</v>
      </c>
      <c r="C207" s="121" t="s">
        <v>284</v>
      </c>
      <c r="D207" s="121"/>
      <c r="E207" s="9" t="s">
        <v>17</v>
      </c>
      <c r="F207" s="9">
        <v>14</v>
      </c>
      <c r="G207" s="104">
        <v>27</v>
      </c>
      <c r="H207" s="83">
        <f t="shared" si="4"/>
        <v>378</v>
      </c>
      <c r="K207" s="1"/>
      <c r="N207" s="82"/>
    </row>
    <row r="208" spans="1:14" ht="15" customHeight="1">
      <c r="A208" s="60"/>
      <c r="B208" s="33" t="s">
        <v>250</v>
      </c>
      <c r="C208" s="121" t="s">
        <v>285</v>
      </c>
      <c r="D208" s="121"/>
      <c r="E208" s="9" t="s">
        <v>17</v>
      </c>
      <c r="F208" s="9">
        <v>7</v>
      </c>
      <c r="G208" s="104">
        <v>25</v>
      </c>
      <c r="H208" s="83">
        <f t="shared" si="4"/>
        <v>175</v>
      </c>
      <c r="K208" s="1"/>
      <c r="N208" s="82"/>
    </row>
    <row r="209" spans="1:14" ht="232.5" customHeight="1">
      <c r="A209" s="60"/>
      <c r="B209" s="33" t="s">
        <v>251</v>
      </c>
      <c r="C209" s="121" t="s">
        <v>286</v>
      </c>
      <c r="D209" s="121"/>
      <c r="E209" s="9" t="s">
        <v>17</v>
      </c>
      <c r="F209" s="9">
        <v>7</v>
      </c>
      <c r="G209" s="104">
        <v>50</v>
      </c>
      <c r="H209" s="83">
        <f t="shared" si="4"/>
        <v>350</v>
      </c>
      <c r="K209" s="1"/>
      <c r="N209" s="82"/>
    </row>
    <row r="210" spans="1:14" ht="107.25" customHeight="1">
      <c r="A210" s="60"/>
      <c r="B210" s="33" t="s">
        <v>252</v>
      </c>
      <c r="C210" s="121" t="s">
        <v>287</v>
      </c>
      <c r="D210" s="121"/>
      <c r="E210" s="9" t="s">
        <v>17</v>
      </c>
      <c r="F210" s="9">
        <v>3</v>
      </c>
      <c r="G210" s="104">
        <v>80</v>
      </c>
      <c r="H210" s="83">
        <f t="shared" si="4"/>
        <v>240</v>
      </c>
      <c r="K210" s="1"/>
      <c r="N210" s="82"/>
    </row>
    <row r="211" spans="1:14" ht="105" customHeight="1">
      <c r="A211" s="60"/>
      <c r="B211" s="33" t="s">
        <v>253</v>
      </c>
      <c r="C211" s="121" t="s">
        <v>288</v>
      </c>
      <c r="D211" s="121"/>
      <c r="E211" s="9" t="s">
        <v>17</v>
      </c>
      <c r="F211" s="9">
        <v>2</v>
      </c>
      <c r="G211" s="104">
        <v>300</v>
      </c>
      <c r="H211" s="83">
        <f t="shared" si="4"/>
        <v>600</v>
      </c>
      <c r="K211" s="1"/>
      <c r="N211" s="82"/>
    </row>
    <row r="212" spans="1:14" ht="135" customHeight="1">
      <c r="A212" s="60"/>
      <c r="B212" s="33" t="s">
        <v>254</v>
      </c>
      <c r="C212" s="121" t="s">
        <v>289</v>
      </c>
      <c r="D212" s="121"/>
      <c r="E212" s="9" t="s">
        <v>17</v>
      </c>
      <c r="F212" s="9">
        <v>1</v>
      </c>
      <c r="G212" s="104">
        <v>400</v>
      </c>
      <c r="H212" s="83">
        <f t="shared" si="4"/>
        <v>400</v>
      </c>
      <c r="K212" s="1"/>
      <c r="N212" s="82"/>
    </row>
    <row r="213" spans="1:14">
      <c r="A213" s="60"/>
      <c r="B213" s="33" t="s">
        <v>255</v>
      </c>
      <c r="C213" s="121" t="s">
        <v>304</v>
      </c>
      <c r="D213" s="121"/>
      <c r="E213" s="9" t="s">
        <v>17</v>
      </c>
      <c r="F213" s="9">
        <v>1</v>
      </c>
      <c r="G213" s="104">
        <v>50</v>
      </c>
      <c r="H213" s="83">
        <f t="shared" si="4"/>
        <v>50</v>
      </c>
      <c r="K213" s="1"/>
      <c r="N213" s="82"/>
    </row>
    <row r="214" spans="1:14" ht="45" customHeight="1">
      <c r="A214" s="60"/>
      <c r="B214" s="33" t="s">
        <v>256</v>
      </c>
      <c r="C214" s="121" t="s">
        <v>290</v>
      </c>
      <c r="D214" s="121"/>
      <c r="E214" s="9" t="s">
        <v>17</v>
      </c>
      <c r="F214" s="9">
        <v>1</v>
      </c>
      <c r="G214" s="104">
        <v>150</v>
      </c>
      <c r="H214" s="83">
        <f t="shared" si="4"/>
        <v>150</v>
      </c>
      <c r="K214" s="1"/>
      <c r="N214" s="82"/>
    </row>
    <row r="215" spans="1:14" ht="45" customHeight="1">
      <c r="A215" s="60"/>
      <c r="B215" s="33" t="s">
        <v>257</v>
      </c>
      <c r="C215" s="121" t="s">
        <v>291</v>
      </c>
      <c r="D215" s="121"/>
      <c r="E215" s="9" t="s">
        <v>17</v>
      </c>
      <c r="F215" s="9">
        <v>7</v>
      </c>
      <c r="G215" s="104">
        <v>150</v>
      </c>
      <c r="H215" s="83">
        <f t="shared" si="4"/>
        <v>1050</v>
      </c>
      <c r="K215" s="1"/>
      <c r="N215" s="82"/>
    </row>
    <row r="216" spans="1:14" ht="57" customHeight="1">
      <c r="A216" s="60"/>
      <c r="B216" s="33" t="s">
        <v>258</v>
      </c>
      <c r="C216" s="121" t="s">
        <v>292</v>
      </c>
      <c r="D216" s="121"/>
      <c r="E216" s="9" t="s">
        <v>17</v>
      </c>
      <c r="F216" s="9">
        <v>1</v>
      </c>
      <c r="G216" s="104">
        <v>150</v>
      </c>
      <c r="H216" s="83">
        <f t="shared" si="4"/>
        <v>150</v>
      </c>
      <c r="K216" s="1"/>
      <c r="N216" s="82"/>
    </row>
    <row r="217" spans="1:14" ht="15" customHeight="1">
      <c r="A217" s="60"/>
      <c r="B217" s="33" t="s">
        <v>259</v>
      </c>
      <c r="C217" s="121" t="s">
        <v>293</v>
      </c>
      <c r="D217" s="121"/>
      <c r="E217" s="9" t="s">
        <v>17</v>
      </c>
      <c r="F217" s="9">
        <v>1</v>
      </c>
      <c r="G217" s="104">
        <v>100</v>
      </c>
      <c r="H217" s="83">
        <f t="shared" si="4"/>
        <v>100</v>
      </c>
      <c r="K217" s="1"/>
      <c r="N217" s="82"/>
    </row>
    <row r="218" spans="1:14" ht="49.5" customHeight="1">
      <c r="A218" s="60"/>
      <c r="B218" s="33" t="s">
        <v>270</v>
      </c>
      <c r="C218" s="121" t="s">
        <v>294</v>
      </c>
      <c r="D218" s="121"/>
      <c r="E218" s="9" t="s">
        <v>17</v>
      </c>
      <c r="F218" s="9">
        <v>1</v>
      </c>
      <c r="G218" s="104">
        <v>100</v>
      </c>
      <c r="H218" s="83">
        <f t="shared" si="4"/>
        <v>100</v>
      </c>
      <c r="K218" s="1"/>
      <c r="N218" s="82"/>
    </row>
    <row r="219" spans="1:14" ht="15" customHeight="1">
      <c r="A219" s="60"/>
      <c r="B219" s="33" t="s">
        <v>271</v>
      </c>
      <c r="C219" s="121" t="s">
        <v>295</v>
      </c>
      <c r="D219" s="121"/>
      <c r="E219" s="9" t="s">
        <v>17</v>
      </c>
      <c r="F219" s="9">
        <v>5</v>
      </c>
      <c r="G219" s="104">
        <v>10</v>
      </c>
      <c r="H219" s="83">
        <f t="shared" si="4"/>
        <v>50</v>
      </c>
      <c r="K219" s="1"/>
      <c r="N219" s="82"/>
    </row>
    <row r="220" spans="1:14" ht="30" customHeight="1">
      <c r="A220" s="60"/>
      <c r="B220" s="33" t="s">
        <v>272</v>
      </c>
      <c r="C220" s="121" t="s">
        <v>296</v>
      </c>
      <c r="D220" s="121"/>
      <c r="E220" s="9" t="s">
        <v>17</v>
      </c>
      <c r="F220" s="9">
        <v>4</v>
      </c>
      <c r="G220" s="104">
        <v>10</v>
      </c>
      <c r="H220" s="83">
        <f t="shared" si="4"/>
        <v>40</v>
      </c>
      <c r="K220" s="1"/>
      <c r="N220" s="82"/>
    </row>
    <row r="221" spans="1:14" ht="15" customHeight="1">
      <c r="A221" s="60"/>
      <c r="B221" s="33" t="s">
        <v>273</v>
      </c>
      <c r="C221" s="121" t="s">
        <v>297</v>
      </c>
      <c r="D221" s="121"/>
      <c r="E221" s="9" t="s">
        <v>79</v>
      </c>
      <c r="F221" s="9">
        <v>25</v>
      </c>
      <c r="G221" s="104">
        <v>10</v>
      </c>
      <c r="H221" s="83">
        <f t="shared" si="4"/>
        <v>250</v>
      </c>
      <c r="K221" s="1"/>
      <c r="N221" s="82"/>
    </row>
    <row r="222" spans="1:14" ht="45" customHeight="1">
      <c r="A222" s="60"/>
      <c r="B222" s="33" t="s">
        <v>274</v>
      </c>
      <c r="C222" s="121" t="s">
        <v>298</v>
      </c>
      <c r="D222" s="121"/>
      <c r="E222" s="9" t="s">
        <v>17</v>
      </c>
      <c r="F222" s="9">
        <v>5</v>
      </c>
      <c r="G222" s="104">
        <v>150</v>
      </c>
      <c r="H222" s="83">
        <f t="shared" si="4"/>
        <v>750</v>
      </c>
      <c r="K222" s="1"/>
      <c r="N222" s="82"/>
    </row>
    <row r="223" spans="1:14" ht="45" customHeight="1">
      <c r="A223" s="60"/>
      <c r="B223" s="33" t="s">
        <v>275</v>
      </c>
      <c r="C223" s="121" t="s">
        <v>299</v>
      </c>
      <c r="D223" s="121"/>
      <c r="E223" s="9" t="s">
        <v>17</v>
      </c>
      <c r="F223" s="9">
        <v>2</v>
      </c>
      <c r="G223" s="104">
        <v>150</v>
      </c>
      <c r="H223" s="83">
        <f t="shared" si="4"/>
        <v>300</v>
      </c>
      <c r="K223" s="1"/>
      <c r="N223" s="82"/>
    </row>
    <row r="224" spans="1:14" ht="60" customHeight="1">
      <c r="A224" s="60"/>
      <c r="B224" s="33" t="s">
        <v>276</v>
      </c>
      <c r="C224" s="121" t="s">
        <v>838</v>
      </c>
      <c r="D224" s="121"/>
      <c r="E224" s="9" t="s">
        <v>17</v>
      </c>
      <c r="F224" s="9">
        <v>1</v>
      </c>
      <c r="G224" s="104">
        <v>450</v>
      </c>
      <c r="H224" s="83">
        <f t="shared" si="4"/>
        <v>450</v>
      </c>
      <c r="K224" s="1"/>
      <c r="N224" s="82"/>
    </row>
    <row r="225" spans="1:14" ht="48.75" customHeight="1">
      <c r="A225" s="60"/>
      <c r="B225" s="33" t="s">
        <v>277</v>
      </c>
      <c r="C225" s="121" t="s">
        <v>839</v>
      </c>
      <c r="D225" s="121"/>
      <c r="E225" s="9" t="s">
        <v>17</v>
      </c>
      <c r="F225" s="9">
        <v>1</v>
      </c>
      <c r="G225" s="104">
        <v>85</v>
      </c>
      <c r="H225" s="83">
        <f t="shared" si="4"/>
        <v>85</v>
      </c>
      <c r="K225" s="1"/>
      <c r="N225" s="82"/>
    </row>
    <row r="226" spans="1:14" ht="30" customHeight="1">
      <c r="A226" s="60"/>
      <c r="B226" s="33" t="s">
        <v>278</v>
      </c>
      <c r="C226" s="121" t="s">
        <v>300</v>
      </c>
      <c r="D226" s="121"/>
      <c r="E226" s="9" t="s">
        <v>17</v>
      </c>
      <c r="F226" s="9">
        <v>120</v>
      </c>
      <c r="G226" s="104">
        <v>15</v>
      </c>
      <c r="H226" s="83">
        <f t="shared" si="4"/>
        <v>1800</v>
      </c>
      <c r="K226" s="1"/>
      <c r="N226" s="82"/>
    </row>
    <row r="227" spans="1:14" ht="15" customHeight="1">
      <c r="A227" s="60"/>
      <c r="B227" s="33" t="s">
        <v>279</v>
      </c>
      <c r="C227" s="121" t="s">
        <v>301</v>
      </c>
      <c r="D227" s="121"/>
      <c r="E227" s="9" t="s">
        <v>17</v>
      </c>
      <c r="F227" s="9">
        <v>120</v>
      </c>
      <c r="G227" s="104">
        <v>2</v>
      </c>
      <c r="H227" s="83">
        <f t="shared" si="4"/>
        <v>240</v>
      </c>
      <c r="K227" s="1"/>
      <c r="N227" s="82"/>
    </row>
    <row r="228" spans="1:14" ht="15" customHeight="1">
      <c r="A228" s="60"/>
      <c r="B228" s="33" t="s">
        <v>280</v>
      </c>
      <c r="C228" s="121" t="s">
        <v>302</v>
      </c>
      <c r="D228" s="121"/>
      <c r="E228" s="9" t="s">
        <v>17</v>
      </c>
      <c r="F228" s="9">
        <v>1</v>
      </c>
      <c r="G228" s="104">
        <v>450</v>
      </c>
      <c r="H228" s="83">
        <f t="shared" si="4"/>
        <v>450</v>
      </c>
      <c r="K228" s="1"/>
      <c r="N228" s="82"/>
    </row>
    <row r="229" spans="1:14" ht="15" customHeight="1">
      <c r="A229" s="60"/>
      <c r="B229" s="33" t="s">
        <v>281</v>
      </c>
      <c r="C229" s="121" t="s">
        <v>303</v>
      </c>
      <c r="D229" s="121"/>
      <c r="E229" s="9" t="s">
        <v>17</v>
      </c>
      <c r="F229" s="9">
        <v>1</v>
      </c>
      <c r="G229" s="104">
        <v>1500</v>
      </c>
      <c r="H229" s="83">
        <f t="shared" si="4"/>
        <v>1500</v>
      </c>
      <c r="K229" s="1"/>
      <c r="N229" s="82"/>
    </row>
    <row r="230" spans="1:14" ht="30" customHeight="1">
      <c r="A230" s="60"/>
      <c r="B230" s="27" t="s">
        <v>45</v>
      </c>
      <c r="C230" s="122" t="s">
        <v>318</v>
      </c>
      <c r="D230" s="122"/>
      <c r="E230" s="11"/>
      <c r="F230" s="11"/>
      <c r="G230" s="103"/>
      <c r="H230" s="6"/>
      <c r="K230" s="1"/>
      <c r="N230" s="82"/>
    </row>
    <row r="231" spans="1:14">
      <c r="A231" s="60"/>
      <c r="B231" s="33" t="s">
        <v>305</v>
      </c>
      <c r="C231" s="122" t="s">
        <v>318</v>
      </c>
      <c r="D231" s="122"/>
      <c r="E231" s="9" t="s">
        <v>17</v>
      </c>
      <c r="F231" s="9">
        <v>1</v>
      </c>
      <c r="G231" s="104">
        <v>1000</v>
      </c>
      <c r="H231" s="83">
        <f t="shared" si="4"/>
        <v>1000</v>
      </c>
      <c r="K231" s="1"/>
      <c r="N231" s="82"/>
    </row>
    <row r="232" spans="1:14" ht="15" customHeight="1">
      <c r="A232" s="60"/>
      <c r="B232" s="33" t="s">
        <v>306</v>
      </c>
      <c r="C232" s="121" t="s">
        <v>260</v>
      </c>
      <c r="D232" s="121"/>
      <c r="E232" s="9" t="s">
        <v>17</v>
      </c>
      <c r="F232" s="9">
        <v>5</v>
      </c>
      <c r="G232" s="104">
        <v>30</v>
      </c>
      <c r="H232" s="83">
        <f t="shared" si="4"/>
        <v>150</v>
      </c>
      <c r="K232" s="1"/>
      <c r="N232" s="82"/>
    </row>
    <row r="233" spans="1:14" ht="105" customHeight="1">
      <c r="A233" s="60"/>
      <c r="B233" s="33" t="s">
        <v>307</v>
      </c>
      <c r="C233" s="121" t="s">
        <v>261</v>
      </c>
      <c r="D233" s="121"/>
      <c r="E233" s="9" t="s">
        <v>17</v>
      </c>
      <c r="F233" s="9">
        <v>1</v>
      </c>
      <c r="G233" s="104">
        <v>1000</v>
      </c>
      <c r="H233" s="83">
        <f t="shared" si="4"/>
        <v>1000</v>
      </c>
      <c r="K233" s="1"/>
      <c r="N233" s="82"/>
    </row>
    <row r="234" spans="1:14" ht="45" customHeight="1">
      <c r="A234" s="60"/>
      <c r="B234" s="33" t="s">
        <v>308</v>
      </c>
      <c r="C234" s="121" t="s">
        <v>262</v>
      </c>
      <c r="D234" s="121"/>
      <c r="E234" s="9" t="s">
        <v>17</v>
      </c>
      <c r="F234" s="9">
        <v>2</v>
      </c>
      <c r="G234" s="104">
        <v>180</v>
      </c>
      <c r="H234" s="83">
        <f t="shared" si="4"/>
        <v>360</v>
      </c>
      <c r="K234" s="1"/>
      <c r="N234" s="82"/>
    </row>
    <row r="235" spans="1:14" ht="45" customHeight="1">
      <c r="A235" s="60"/>
      <c r="B235" s="33" t="s">
        <v>309</v>
      </c>
      <c r="C235" s="121" t="s">
        <v>263</v>
      </c>
      <c r="D235" s="121"/>
      <c r="E235" s="9" t="s">
        <v>17</v>
      </c>
      <c r="F235" s="9">
        <v>1</v>
      </c>
      <c r="G235" s="104">
        <v>250</v>
      </c>
      <c r="H235" s="83">
        <f t="shared" si="4"/>
        <v>250</v>
      </c>
      <c r="K235" s="1"/>
      <c r="N235" s="82"/>
    </row>
    <row r="236" spans="1:14" ht="45" customHeight="1">
      <c r="A236" s="60"/>
      <c r="B236" s="33" t="s">
        <v>310</v>
      </c>
      <c r="C236" s="121" t="s">
        <v>840</v>
      </c>
      <c r="D236" s="121"/>
      <c r="E236" s="9" t="s">
        <v>17</v>
      </c>
      <c r="F236" s="9">
        <v>1</v>
      </c>
      <c r="G236" s="104">
        <v>90</v>
      </c>
      <c r="H236" s="83">
        <f t="shared" si="4"/>
        <v>90</v>
      </c>
      <c r="K236" s="1"/>
      <c r="N236" s="82"/>
    </row>
    <row r="237" spans="1:14" ht="30" customHeight="1">
      <c r="A237" s="60"/>
      <c r="B237" s="33" t="s">
        <v>311</v>
      </c>
      <c r="C237" s="121" t="s">
        <v>841</v>
      </c>
      <c r="D237" s="121"/>
      <c r="E237" s="9" t="s">
        <v>17</v>
      </c>
      <c r="F237" s="9">
        <v>1</v>
      </c>
      <c r="G237" s="104">
        <v>50</v>
      </c>
      <c r="H237" s="83">
        <f t="shared" si="4"/>
        <v>50</v>
      </c>
      <c r="K237" s="1"/>
      <c r="N237" s="82"/>
    </row>
    <row r="238" spans="1:14" ht="105" customHeight="1">
      <c r="A238" s="60"/>
      <c r="B238" s="33" t="s">
        <v>312</v>
      </c>
      <c r="C238" s="121" t="s">
        <v>264</v>
      </c>
      <c r="D238" s="121"/>
      <c r="E238" s="9" t="s">
        <v>17</v>
      </c>
      <c r="F238" s="9">
        <v>1</v>
      </c>
      <c r="G238" s="104">
        <v>280</v>
      </c>
      <c r="H238" s="83">
        <f t="shared" si="4"/>
        <v>280</v>
      </c>
      <c r="K238" s="1"/>
      <c r="N238" s="82"/>
    </row>
    <row r="239" spans="1:14" ht="105" customHeight="1">
      <c r="A239" s="60"/>
      <c r="B239" s="33" t="s">
        <v>313</v>
      </c>
      <c r="C239" s="121" t="s">
        <v>265</v>
      </c>
      <c r="D239" s="121"/>
      <c r="E239" s="9" t="s">
        <v>17</v>
      </c>
      <c r="F239" s="9">
        <v>1</v>
      </c>
      <c r="G239" s="104">
        <v>75</v>
      </c>
      <c r="H239" s="83">
        <f t="shared" si="4"/>
        <v>75</v>
      </c>
      <c r="K239" s="1"/>
      <c r="N239" s="82"/>
    </row>
    <row r="240" spans="1:14" ht="44.25" customHeight="1">
      <c r="A240" s="60"/>
      <c r="B240" s="33" t="s">
        <v>314</v>
      </c>
      <c r="C240" s="121" t="s">
        <v>266</v>
      </c>
      <c r="D240" s="121"/>
      <c r="E240" s="9" t="s">
        <v>17</v>
      </c>
      <c r="F240" s="9">
        <v>1</v>
      </c>
      <c r="G240" s="104">
        <v>100</v>
      </c>
      <c r="H240" s="83">
        <f t="shared" si="4"/>
        <v>100</v>
      </c>
      <c r="K240" s="1"/>
      <c r="N240" s="82"/>
    </row>
    <row r="241" spans="1:14" ht="30.75" customHeight="1">
      <c r="A241" s="60"/>
      <c r="B241" s="33" t="s">
        <v>315</v>
      </c>
      <c r="C241" s="121" t="s">
        <v>267</v>
      </c>
      <c r="D241" s="121"/>
      <c r="E241" s="9" t="s">
        <v>17</v>
      </c>
      <c r="F241" s="9">
        <v>1</v>
      </c>
      <c r="G241" s="104">
        <v>60</v>
      </c>
      <c r="H241" s="83">
        <f t="shared" si="4"/>
        <v>60</v>
      </c>
      <c r="K241" s="1"/>
      <c r="N241" s="82"/>
    </row>
    <row r="242" spans="1:14">
      <c r="A242" s="60"/>
      <c r="B242" s="33" t="s">
        <v>316</v>
      </c>
      <c r="C242" s="121" t="s">
        <v>268</v>
      </c>
      <c r="D242" s="121"/>
      <c r="E242" s="9" t="s">
        <v>17</v>
      </c>
      <c r="F242" s="9">
        <v>1</v>
      </c>
      <c r="G242" s="104">
        <v>1000</v>
      </c>
      <c r="H242" s="83">
        <f t="shared" si="4"/>
        <v>1000</v>
      </c>
      <c r="K242" s="1"/>
      <c r="N242" s="82"/>
    </row>
    <row r="243" spans="1:14" ht="30" customHeight="1">
      <c r="A243" s="60"/>
      <c r="B243" s="33" t="s">
        <v>317</v>
      </c>
      <c r="C243" s="121" t="s">
        <v>269</v>
      </c>
      <c r="D243" s="121"/>
      <c r="E243" s="9" t="s">
        <v>17</v>
      </c>
      <c r="F243" s="9">
        <v>1</v>
      </c>
      <c r="G243" s="104">
        <v>500</v>
      </c>
      <c r="H243" s="83">
        <f t="shared" si="4"/>
        <v>500</v>
      </c>
      <c r="K243" s="1"/>
      <c r="N243" s="82"/>
    </row>
    <row r="244" spans="1:14">
      <c r="A244" s="60"/>
      <c r="B244" s="27" t="s">
        <v>46</v>
      </c>
      <c r="C244" s="122" t="s">
        <v>379</v>
      </c>
      <c r="D244" s="122"/>
      <c r="E244" s="11"/>
      <c r="F244" s="11"/>
      <c r="G244" s="103"/>
      <c r="H244" s="6"/>
      <c r="K244" s="1"/>
      <c r="N244" s="82"/>
    </row>
    <row r="245" spans="1:14" ht="15" customHeight="1">
      <c r="A245" s="60"/>
      <c r="B245" s="33" t="s">
        <v>319</v>
      </c>
      <c r="C245" s="121" t="s">
        <v>380</v>
      </c>
      <c r="D245" s="121"/>
      <c r="E245" s="9" t="s">
        <v>79</v>
      </c>
      <c r="F245" s="9">
        <v>6</v>
      </c>
      <c r="G245" s="104">
        <v>7</v>
      </c>
      <c r="H245" s="83">
        <v>42</v>
      </c>
      <c r="K245" s="1"/>
      <c r="N245" s="82"/>
    </row>
    <row r="246" spans="1:14" ht="15" customHeight="1">
      <c r="A246" s="60"/>
      <c r="B246" s="33" t="s">
        <v>320</v>
      </c>
      <c r="C246" s="121" t="s">
        <v>381</v>
      </c>
      <c r="D246" s="121"/>
      <c r="E246" s="9" t="s">
        <v>17</v>
      </c>
      <c r="F246" s="9">
        <v>3</v>
      </c>
      <c r="G246" s="104">
        <v>3</v>
      </c>
      <c r="H246" s="83">
        <f t="shared" si="4"/>
        <v>9</v>
      </c>
      <c r="K246" s="1"/>
      <c r="N246" s="82"/>
    </row>
    <row r="247" spans="1:14" ht="15" customHeight="1">
      <c r="A247" s="60"/>
      <c r="B247" s="33" t="s">
        <v>321</v>
      </c>
      <c r="C247" s="121" t="s">
        <v>382</v>
      </c>
      <c r="D247" s="121"/>
      <c r="E247" s="9" t="s">
        <v>17</v>
      </c>
      <c r="F247" s="9">
        <v>1</v>
      </c>
      <c r="G247" s="104">
        <v>5</v>
      </c>
      <c r="H247" s="83">
        <f t="shared" si="4"/>
        <v>5</v>
      </c>
      <c r="K247" s="1"/>
      <c r="N247" s="82"/>
    </row>
    <row r="248" spans="1:14" ht="15" customHeight="1">
      <c r="A248" s="60"/>
      <c r="B248" s="33" t="s">
        <v>322</v>
      </c>
      <c r="C248" s="121" t="s">
        <v>383</v>
      </c>
      <c r="D248" s="121"/>
      <c r="E248" s="9" t="s">
        <v>17</v>
      </c>
      <c r="F248" s="9">
        <v>1</v>
      </c>
      <c r="G248" s="104">
        <v>3</v>
      </c>
      <c r="H248" s="83">
        <f t="shared" si="4"/>
        <v>3</v>
      </c>
      <c r="K248" s="1"/>
      <c r="N248" s="82"/>
    </row>
    <row r="249" spans="1:14" ht="33" customHeight="1">
      <c r="A249" s="60"/>
      <c r="B249" s="33" t="s">
        <v>323</v>
      </c>
      <c r="C249" s="121" t="s">
        <v>384</v>
      </c>
      <c r="D249" s="121"/>
      <c r="E249" s="9" t="s">
        <v>17</v>
      </c>
      <c r="F249" s="9">
        <v>1</v>
      </c>
      <c r="G249" s="104">
        <v>2</v>
      </c>
      <c r="H249" s="83">
        <f t="shared" si="4"/>
        <v>2</v>
      </c>
      <c r="K249" s="1"/>
      <c r="N249" s="82"/>
    </row>
    <row r="250" spans="1:14" ht="15" customHeight="1">
      <c r="A250" s="60"/>
      <c r="B250" s="33" t="s">
        <v>324</v>
      </c>
      <c r="C250" s="121" t="s">
        <v>385</v>
      </c>
      <c r="D250" s="121"/>
      <c r="E250" s="9" t="s">
        <v>17</v>
      </c>
      <c r="F250" s="9">
        <v>2</v>
      </c>
      <c r="G250" s="104">
        <v>2</v>
      </c>
      <c r="H250" s="83">
        <f t="shared" si="4"/>
        <v>4</v>
      </c>
      <c r="K250" s="1"/>
      <c r="N250" s="82"/>
    </row>
    <row r="251" spans="1:14" ht="15" customHeight="1">
      <c r="A251" s="60"/>
      <c r="B251" s="33" t="s">
        <v>325</v>
      </c>
      <c r="C251" s="121" t="s">
        <v>386</v>
      </c>
      <c r="D251" s="121"/>
      <c r="E251" s="9" t="s">
        <v>17</v>
      </c>
      <c r="F251" s="9">
        <v>2</v>
      </c>
      <c r="G251" s="104">
        <v>20</v>
      </c>
      <c r="H251" s="83">
        <f t="shared" si="4"/>
        <v>40</v>
      </c>
      <c r="K251" s="1"/>
      <c r="N251" s="82"/>
    </row>
    <row r="252" spans="1:14" ht="15" customHeight="1">
      <c r="A252" s="60"/>
      <c r="B252" s="33" t="s">
        <v>326</v>
      </c>
      <c r="C252" s="121" t="s">
        <v>387</v>
      </c>
      <c r="D252" s="121"/>
      <c r="E252" s="9" t="s">
        <v>79</v>
      </c>
      <c r="F252" s="9">
        <v>16</v>
      </c>
      <c r="G252" s="104">
        <v>14.5</v>
      </c>
      <c r="H252" s="83">
        <f t="shared" si="4"/>
        <v>232</v>
      </c>
      <c r="K252" s="1"/>
      <c r="N252" s="82"/>
    </row>
    <row r="253" spans="1:14" ht="15" customHeight="1">
      <c r="A253" s="60"/>
      <c r="B253" s="33" t="s">
        <v>327</v>
      </c>
      <c r="C253" s="121" t="s">
        <v>388</v>
      </c>
      <c r="D253" s="121"/>
      <c r="E253" s="9" t="s">
        <v>17</v>
      </c>
      <c r="F253" s="9">
        <v>1</v>
      </c>
      <c r="G253" s="104">
        <v>6</v>
      </c>
      <c r="H253" s="83">
        <f t="shared" si="4"/>
        <v>6</v>
      </c>
      <c r="K253" s="1"/>
      <c r="N253" s="82"/>
    </row>
    <row r="254" spans="1:14" ht="15" customHeight="1">
      <c r="A254" s="60"/>
      <c r="B254" s="33" t="s">
        <v>328</v>
      </c>
      <c r="C254" s="121" t="s">
        <v>389</v>
      </c>
      <c r="D254" s="121"/>
      <c r="E254" s="9" t="s">
        <v>17</v>
      </c>
      <c r="F254" s="9">
        <v>3</v>
      </c>
      <c r="G254" s="104">
        <v>7</v>
      </c>
      <c r="H254" s="83">
        <f t="shared" si="4"/>
        <v>21</v>
      </c>
      <c r="K254" s="1"/>
      <c r="N254" s="82"/>
    </row>
    <row r="255" spans="1:14" ht="21.75" customHeight="1">
      <c r="A255" s="60"/>
      <c r="B255" s="27" t="s">
        <v>118</v>
      </c>
      <c r="C255" s="122" t="s">
        <v>390</v>
      </c>
      <c r="D255" s="122"/>
      <c r="E255" s="11"/>
      <c r="F255" s="11"/>
      <c r="G255" s="103"/>
      <c r="H255" s="6"/>
      <c r="K255" s="1"/>
      <c r="N255" s="82"/>
    </row>
    <row r="256" spans="1:14" ht="21" customHeight="1">
      <c r="A256" s="60"/>
      <c r="B256" s="33" t="s">
        <v>329</v>
      </c>
      <c r="C256" s="121" t="s">
        <v>391</v>
      </c>
      <c r="D256" s="121"/>
      <c r="E256" s="9" t="s">
        <v>79</v>
      </c>
      <c r="F256" s="9">
        <v>11</v>
      </c>
      <c r="G256" s="104">
        <v>12</v>
      </c>
      <c r="H256" s="83">
        <f t="shared" si="4"/>
        <v>132</v>
      </c>
      <c r="K256" s="1"/>
      <c r="N256" s="82"/>
    </row>
    <row r="257" spans="1:14" ht="17.25" customHeight="1">
      <c r="A257" s="60"/>
      <c r="B257" s="33" t="s">
        <v>330</v>
      </c>
      <c r="C257" s="121" t="s">
        <v>392</v>
      </c>
      <c r="D257" s="121"/>
      <c r="E257" s="9" t="s">
        <v>17</v>
      </c>
      <c r="F257" s="9">
        <v>7</v>
      </c>
      <c r="G257" s="104">
        <v>3</v>
      </c>
      <c r="H257" s="83">
        <f t="shared" si="4"/>
        <v>21</v>
      </c>
      <c r="K257" s="1"/>
      <c r="N257" s="82"/>
    </row>
    <row r="258" spans="1:14" ht="30" customHeight="1">
      <c r="A258" s="60"/>
      <c r="B258" s="33" t="s">
        <v>331</v>
      </c>
      <c r="C258" s="121" t="s">
        <v>393</v>
      </c>
      <c r="D258" s="121"/>
      <c r="E258" s="9" t="s">
        <v>17</v>
      </c>
      <c r="F258" s="9">
        <v>2</v>
      </c>
      <c r="G258" s="104">
        <v>5</v>
      </c>
      <c r="H258" s="83">
        <f t="shared" si="4"/>
        <v>10</v>
      </c>
      <c r="K258" s="1"/>
      <c r="N258" s="82"/>
    </row>
    <row r="259" spans="1:14" ht="15.75" customHeight="1">
      <c r="A259" s="60"/>
      <c r="B259" s="33" t="s">
        <v>332</v>
      </c>
      <c r="C259" s="121" t="s">
        <v>394</v>
      </c>
      <c r="D259" s="121"/>
      <c r="E259" s="9" t="s">
        <v>17</v>
      </c>
      <c r="F259" s="9">
        <v>1</v>
      </c>
      <c r="G259" s="104">
        <v>5</v>
      </c>
      <c r="H259" s="83">
        <f t="shared" si="4"/>
        <v>5</v>
      </c>
      <c r="K259" s="1"/>
      <c r="N259" s="82"/>
    </row>
    <row r="260" spans="1:14" ht="15" customHeight="1">
      <c r="A260" s="60"/>
      <c r="B260" s="33" t="s">
        <v>333</v>
      </c>
      <c r="C260" s="121" t="s">
        <v>395</v>
      </c>
      <c r="D260" s="121"/>
      <c r="E260" s="9" t="s">
        <v>17</v>
      </c>
      <c r="F260" s="9">
        <v>1</v>
      </c>
      <c r="G260" s="104">
        <v>3</v>
      </c>
      <c r="H260" s="83">
        <f t="shared" si="4"/>
        <v>3</v>
      </c>
      <c r="K260" s="1"/>
      <c r="N260" s="82"/>
    </row>
    <row r="261" spans="1:14">
      <c r="A261" s="60"/>
      <c r="B261" s="33" t="s">
        <v>334</v>
      </c>
      <c r="C261" s="121" t="s">
        <v>396</v>
      </c>
      <c r="D261" s="121"/>
      <c r="E261" s="9" t="s">
        <v>17</v>
      </c>
      <c r="F261" s="9">
        <v>1</v>
      </c>
      <c r="G261" s="104">
        <v>2</v>
      </c>
      <c r="H261" s="83">
        <f t="shared" si="4"/>
        <v>2</v>
      </c>
      <c r="K261" s="1"/>
      <c r="N261" s="82"/>
    </row>
    <row r="262" spans="1:14" ht="15" customHeight="1">
      <c r="A262" s="60"/>
      <c r="B262" s="33" t="s">
        <v>335</v>
      </c>
      <c r="C262" s="121" t="s">
        <v>397</v>
      </c>
      <c r="D262" s="121"/>
      <c r="E262" s="9" t="s">
        <v>17</v>
      </c>
      <c r="F262" s="9">
        <v>1</v>
      </c>
      <c r="G262" s="104">
        <v>7</v>
      </c>
      <c r="H262" s="83">
        <f t="shared" si="4"/>
        <v>7</v>
      </c>
      <c r="K262" s="1"/>
      <c r="N262" s="82"/>
    </row>
    <row r="263" spans="1:14" ht="15" customHeight="1">
      <c r="A263" s="60"/>
      <c r="B263" s="33" t="s">
        <v>336</v>
      </c>
      <c r="C263" s="121" t="s">
        <v>398</v>
      </c>
      <c r="D263" s="121"/>
      <c r="E263" s="9" t="s">
        <v>17</v>
      </c>
      <c r="F263" s="9">
        <v>2</v>
      </c>
      <c r="G263" s="104">
        <v>6</v>
      </c>
      <c r="H263" s="83">
        <f t="shared" si="4"/>
        <v>12</v>
      </c>
      <c r="K263" s="1"/>
      <c r="N263" s="82"/>
    </row>
    <row r="264" spans="1:14">
      <c r="A264" s="60"/>
      <c r="B264" s="33" t="s">
        <v>337</v>
      </c>
      <c r="C264" s="121" t="s">
        <v>399</v>
      </c>
      <c r="D264" s="121"/>
      <c r="E264" s="9" t="s">
        <v>17</v>
      </c>
      <c r="F264" s="9">
        <v>1</v>
      </c>
      <c r="G264" s="104">
        <v>6</v>
      </c>
      <c r="H264" s="83">
        <f t="shared" si="4"/>
        <v>6</v>
      </c>
      <c r="K264" s="1"/>
      <c r="N264" s="82"/>
    </row>
    <row r="265" spans="1:14" ht="15" customHeight="1">
      <c r="A265" s="60"/>
      <c r="B265" s="33" t="s">
        <v>338</v>
      </c>
      <c r="C265" s="121" t="s">
        <v>386</v>
      </c>
      <c r="D265" s="121"/>
      <c r="E265" s="9" t="s">
        <v>17</v>
      </c>
      <c r="F265" s="9">
        <v>1</v>
      </c>
      <c r="G265" s="104">
        <v>20</v>
      </c>
      <c r="H265" s="83">
        <f t="shared" si="4"/>
        <v>20</v>
      </c>
      <c r="K265" s="1"/>
      <c r="N265" s="82"/>
    </row>
    <row r="266" spans="1:14" ht="15" customHeight="1">
      <c r="A266" s="60"/>
      <c r="B266" s="33" t="s">
        <v>339</v>
      </c>
      <c r="C266" s="121" t="s">
        <v>400</v>
      </c>
      <c r="D266" s="121"/>
      <c r="E266" s="9" t="s">
        <v>17</v>
      </c>
      <c r="F266" s="9">
        <v>3</v>
      </c>
      <c r="G266" s="104">
        <v>17</v>
      </c>
      <c r="H266" s="83">
        <f t="shared" ref="H266:H329" si="5">ROUND(F266*G266,2)</f>
        <v>51</v>
      </c>
      <c r="K266" s="1"/>
      <c r="N266" s="82"/>
    </row>
    <row r="267" spans="1:14" ht="15" customHeight="1">
      <c r="A267" s="60"/>
      <c r="B267" s="33" t="s">
        <v>340</v>
      </c>
      <c r="C267" s="121" t="s">
        <v>401</v>
      </c>
      <c r="D267" s="121"/>
      <c r="E267" s="9" t="s">
        <v>79</v>
      </c>
      <c r="F267" s="9">
        <v>8</v>
      </c>
      <c r="G267" s="104">
        <v>14.5</v>
      </c>
      <c r="H267" s="83">
        <f t="shared" si="5"/>
        <v>116</v>
      </c>
      <c r="K267" s="1"/>
      <c r="N267" s="82"/>
    </row>
    <row r="268" spans="1:14" ht="15" customHeight="1">
      <c r="A268" s="60"/>
      <c r="B268" s="33" t="s">
        <v>341</v>
      </c>
      <c r="C268" s="121" t="s">
        <v>402</v>
      </c>
      <c r="D268" s="121"/>
      <c r="E268" s="9" t="s">
        <v>17</v>
      </c>
      <c r="F268" s="9">
        <v>1</v>
      </c>
      <c r="G268" s="104">
        <v>4</v>
      </c>
      <c r="H268" s="83">
        <f t="shared" si="5"/>
        <v>4</v>
      </c>
      <c r="K268" s="1"/>
      <c r="N268" s="82"/>
    </row>
    <row r="269" spans="1:14" ht="15" customHeight="1">
      <c r="A269" s="60"/>
      <c r="B269" s="33" t="s">
        <v>342</v>
      </c>
      <c r="C269" s="121" t="s">
        <v>403</v>
      </c>
      <c r="D269" s="121"/>
      <c r="E269" s="9" t="s">
        <v>17</v>
      </c>
      <c r="F269" s="9">
        <v>1</v>
      </c>
      <c r="G269" s="104">
        <v>4</v>
      </c>
      <c r="H269" s="83">
        <f t="shared" si="5"/>
        <v>4</v>
      </c>
      <c r="K269" s="1"/>
      <c r="N269" s="82"/>
    </row>
    <row r="270" spans="1:14" ht="15" customHeight="1">
      <c r="A270" s="60"/>
      <c r="B270" s="27" t="s">
        <v>119</v>
      </c>
      <c r="C270" s="122" t="s">
        <v>404</v>
      </c>
      <c r="D270" s="122"/>
      <c r="E270" s="11"/>
      <c r="F270" s="11"/>
      <c r="G270" s="103"/>
      <c r="H270" s="6"/>
      <c r="K270" s="1"/>
      <c r="N270" s="82"/>
    </row>
    <row r="271" spans="1:14" ht="15" customHeight="1">
      <c r="A271" s="60"/>
      <c r="B271" s="33" t="s">
        <v>344</v>
      </c>
      <c r="C271" s="121" t="s">
        <v>405</v>
      </c>
      <c r="D271" s="121"/>
      <c r="E271" s="9" t="s">
        <v>79</v>
      </c>
      <c r="F271" s="9">
        <v>5</v>
      </c>
      <c r="G271" s="104">
        <v>45</v>
      </c>
      <c r="H271" s="83">
        <f t="shared" si="5"/>
        <v>225</v>
      </c>
      <c r="K271" s="1"/>
      <c r="N271" s="82"/>
    </row>
    <row r="272" spans="1:14">
      <c r="A272" s="60"/>
      <c r="B272" s="33" t="s">
        <v>343</v>
      </c>
      <c r="C272" s="121" t="s">
        <v>391</v>
      </c>
      <c r="D272" s="121"/>
      <c r="E272" s="9" t="s">
        <v>79</v>
      </c>
      <c r="F272" s="9">
        <v>5</v>
      </c>
      <c r="G272" s="104">
        <v>35</v>
      </c>
      <c r="H272" s="83">
        <f t="shared" si="5"/>
        <v>175</v>
      </c>
      <c r="K272" s="1"/>
      <c r="N272" s="82"/>
    </row>
    <row r="273" spans="1:14" ht="15" customHeight="1">
      <c r="A273" s="60"/>
      <c r="B273" s="33" t="s">
        <v>345</v>
      </c>
      <c r="C273" s="121" t="s">
        <v>406</v>
      </c>
      <c r="D273" s="121"/>
      <c r="E273" s="9" t="s">
        <v>17</v>
      </c>
      <c r="F273" s="9">
        <v>1</v>
      </c>
      <c r="G273" s="104">
        <v>5</v>
      </c>
      <c r="H273" s="83">
        <f t="shared" si="5"/>
        <v>5</v>
      </c>
      <c r="K273" s="1"/>
      <c r="N273" s="82"/>
    </row>
    <row r="274" spans="1:14" ht="30.75" customHeight="1">
      <c r="A274" s="60"/>
      <c r="B274" s="33" t="s">
        <v>346</v>
      </c>
      <c r="C274" s="121" t="s">
        <v>407</v>
      </c>
      <c r="D274" s="121"/>
      <c r="E274" s="9" t="s">
        <v>17</v>
      </c>
      <c r="F274" s="9">
        <v>1</v>
      </c>
      <c r="G274" s="104">
        <v>4</v>
      </c>
      <c r="H274" s="83">
        <f t="shared" si="5"/>
        <v>4</v>
      </c>
      <c r="K274" s="1"/>
      <c r="N274" s="82"/>
    </row>
    <row r="275" spans="1:14" ht="15" customHeight="1">
      <c r="A275" s="60"/>
      <c r="B275" s="33" t="s">
        <v>347</v>
      </c>
      <c r="C275" s="121" t="s">
        <v>399</v>
      </c>
      <c r="D275" s="121"/>
      <c r="E275" s="9" t="s">
        <v>17</v>
      </c>
      <c r="F275" s="9">
        <v>1</v>
      </c>
      <c r="G275" s="104">
        <v>6</v>
      </c>
      <c r="H275" s="83">
        <f t="shared" si="5"/>
        <v>6</v>
      </c>
      <c r="K275" s="1"/>
      <c r="N275" s="82"/>
    </row>
    <row r="276" spans="1:14">
      <c r="A276" s="60"/>
      <c r="B276" s="33" t="s">
        <v>348</v>
      </c>
      <c r="C276" s="121" t="s">
        <v>394</v>
      </c>
      <c r="D276" s="121"/>
      <c r="E276" s="9" t="s">
        <v>17</v>
      </c>
      <c r="F276" s="9">
        <v>1</v>
      </c>
      <c r="G276" s="104">
        <v>8</v>
      </c>
      <c r="H276" s="83">
        <f t="shared" si="5"/>
        <v>8</v>
      </c>
      <c r="K276" s="1"/>
      <c r="N276" s="82"/>
    </row>
    <row r="277" spans="1:14" ht="15" customHeight="1">
      <c r="A277" s="60"/>
      <c r="B277" s="33" t="s">
        <v>349</v>
      </c>
      <c r="C277" s="121" t="s">
        <v>392</v>
      </c>
      <c r="D277" s="121"/>
      <c r="E277" s="9" t="s">
        <v>17</v>
      </c>
      <c r="F277" s="9">
        <v>6</v>
      </c>
      <c r="G277" s="104">
        <v>4</v>
      </c>
      <c r="H277" s="83">
        <f t="shared" si="5"/>
        <v>24</v>
      </c>
      <c r="K277" s="1"/>
      <c r="N277" s="82"/>
    </row>
    <row r="278" spans="1:14" ht="15" customHeight="1">
      <c r="A278" s="60"/>
      <c r="B278" s="33" t="s">
        <v>350</v>
      </c>
      <c r="C278" s="121" t="s">
        <v>408</v>
      </c>
      <c r="D278" s="121"/>
      <c r="E278" s="9" t="s">
        <v>17</v>
      </c>
      <c r="F278" s="9">
        <v>2</v>
      </c>
      <c r="G278" s="104">
        <v>10</v>
      </c>
      <c r="H278" s="83">
        <f t="shared" si="5"/>
        <v>20</v>
      </c>
      <c r="K278" s="1"/>
      <c r="N278" s="82"/>
    </row>
    <row r="279" spans="1:14" ht="30.75" customHeight="1">
      <c r="A279" s="60"/>
      <c r="B279" s="33" t="s">
        <v>351</v>
      </c>
      <c r="C279" s="121" t="s">
        <v>409</v>
      </c>
      <c r="D279" s="121"/>
      <c r="E279" s="9" t="s">
        <v>17</v>
      </c>
      <c r="F279" s="9">
        <v>1</v>
      </c>
      <c r="G279" s="104">
        <v>100</v>
      </c>
      <c r="H279" s="83">
        <f t="shared" si="5"/>
        <v>100</v>
      </c>
      <c r="K279" s="1"/>
      <c r="N279" s="82"/>
    </row>
    <row r="280" spans="1:14" ht="15" customHeight="1">
      <c r="A280" s="60"/>
      <c r="B280" s="27" t="s">
        <v>120</v>
      </c>
      <c r="C280" s="122" t="s">
        <v>410</v>
      </c>
      <c r="D280" s="122"/>
      <c r="E280" s="11"/>
      <c r="F280" s="11"/>
      <c r="G280" s="103"/>
      <c r="H280" s="6"/>
      <c r="K280" s="1"/>
      <c r="N280" s="82"/>
    </row>
    <row r="281" spans="1:14" ht="15" customHeight="1">
      <c r="A281" s="60"/>
      <c r="B281" s="33" t="s">
        <v>352</v>
      </c>
      <c r="C281" s="121" t="s">
        <v>411</v>
      </c>
      <c r="D281" s="121"/>
      <c r="E281" s="9" t="s">
        <v>79</v>
      </c>
      <c r="F281" s="9">
        <v>3</v>
      </c>
      <c r="G281" s="104">
        <v>20</v>
      </c>
      <c r="H281" s="83">
        <f t="shared" si="5"/>
        <v>60</v>
      </c>
      <c r="K281" s="1"/>
      <c r="N281" s="82"/>
    </row>
    <row r="282" spans="1:14" ht="15" customHeight="1">
      <c r="A282" s="60"/>
      <c r="B282" s="33" t="s">
        <v>353</v>
      </c>
      <c r="C282" s="121" t="s">
        <v>412</v>
      </c>
      <c r="D282" s="121"/>
      <c r="E282" s="9" t="s">
        <v>17</v>
      </c>
      <c r="F282" s="9">
        <v>3</v>
      </c>
      <c r="G282" s="104">
        <v>2</v>
      </c>
      <c r="H282" s="83">
        <f t="shared" si="5"/>
        <v>6</v>
      </c>
      <c r="K282" s="1"/>
      <c r="N282" s="82"/>
    </row>
    <row r="283" spans="1:14" ht="15" customHeight="1">
      <c r="A283" s="60"/>
      <c r="B283" s="33" t="s">
        <v>354</v>
      </c>
      <c r="C283" s="121" t="s">
        <v>413</v>
      </c>
      <c r="D283" s="121"/>
      <c r="E283" s="9" t="s">
        <v>17</v>
      </c>
      <c r="F283" s="9">
        <v>1</v>
      </c>
      <c r="G283" s="104">
        <v>1</v>
      </c>
      <c r="H283" s="83">
        <f t="shared" si="5"/>
        <v>1</v>
      </c>
      <c r="K283" s="1"/>
      <c r="N283" s="82"/>
    </row>
    <row r="284" spans="1:14" ht="15" customHeight="1">
      <c r="A284" s="60"/>
      <c r="B284" s="33" t="s">
        <v>355</v>
      </c>
      <c r="C284" s="121" t="s">
        <v>414</v>
      </c>
      <c r="D284" s="121"/>
      <c r="E284" s="9" t="s">
        <v>17</v>
      </c>
      <c r="F284" s="9">
        <v>2</v>
      </c>
      <c r="G284" s="104">
        <v>3</v>
      </c>
      <c r="H284" s="83">
        <f t="shared" si="5"/>
        <v>6</v>
      </c>
      <c r="K284" s="1"/>
      <c r="N284" s="82"/>
    </row>
    <row r="285" spans="1:14" ht="15" customHeight="1">
      <c r="A285" s="60"/>
      <c r="B285" s="33" t="s">
        <v>356</v>
      </c>
      <c r="C285" s="121" t="s">
        <v>415</v>
      </c>
      <c r="D285" s="121"/>
      <c r="E285" s="9" t="s">
        <v>17</v>
      </c>
      <c r="F285" s="9">
        <v>3</v>
      </c>
      <c r="G285" s="104">
        <v>2</v>
      </c>
      <c r="H285" s="83">
        <f t="shared" si="5"/>
        <v>6</v>
      </c>
      <c r="K285" s="1"/>
      <c r="N285" s="82"/>
    </row>
    <row r="286" spans="1:14" ht="15" customHeight="1">
      <c r="A286" s="60"/>
      <c r="B286" s="33" t="s">
        <v>357</v>
      </c>
      <c r="C286" s="121" t="s">
        <v>416</v>
      </c>
      <c r="D286" s="121"/>
      <c r="E286" s="9" t="s">
        <v>17</v>
      </c>
      <c r="F286" s="9">
        <v>1</v>
      </c>
      <c r="G286" s="104">
        <v>2</v>
      </c>
      <c r="H286" s="83">
        <f t="shared" si="5"/>
        <v>2</v>
      </c>
      <c r="K286" s="1"/>
      <c r="N286" s="82"/>
    </row>
    <row r="287" spans="1:14">
      <c r="A287" s="60"/>
      <c r="B287" s="33" t="s">
        <v>358</v>
      </c>
      <c r="C287" s="121" t="s">
        <v>417</v>
      </c>
      <c r="D287" s="121"/>
      <c r="E287" s="9" t="s">
        <v>17</v>
      </c>
      <c r="F287" s="9">
        <v>2</v>
      </c>
      <c r="G287" s="104">
        <v>2</v>
      </c>
      <c r="H287" s="83">
        <f t="shared" si="5"/>
        <v>4</v>
      </c>
      <c r="K287" s="1"/>
      <c r="N287" s="82"/>
    </row>
    <row r="288" spans="1:14">
      <c r="A288" s="60"/>
      <c r="B288" s="33" t="s">
        <v>359</v>
      </c>
      <c r="C288" s="121" t="s">
        <v>418</v>
      </c>
      <c r="D288" s="121"/>
      <c r="E288" s="9" t="s">
        <v>17</v>
      </c>
      <c r="F288" s="9">
        <v>2</v>
      </c>
      <c r="G288" s="104">
        <v>2</v>
      </c>
      <c r="H288" s="83">
        <f t="shared" si="5"/>
        <v>4</v>
      </c>
      <c r="K288" s="1"/>
      <c r="N288" s="82"/>
    </row>
    <row r="289" spans="1:14" ht="15" customHeight="1">
      <c r="A289" s="60"/>
      <c r="B289" s="33" t="s">
        <v>360</v>
      </c>
      <c r="C289" s="121" t="s">
        <v>419</v>
      </c>
      <c r="D289" s="121"/>
      <c r="E289" s="9" t="s">
        <v>17</v>
      </c>
      <c r="F289" s="9">
        <v>2</v>
      </c>
      <c r="G289" s="104">
        <v>3</v>
      </c>
      <c r="H289" s="83">
        <f t="shared" si="5"/>
        <v>6</v>
      </c>
      <c r="K289" s="1"/>
      <c r="N289" s="82"/>
    </row>
    <row r="290" spans="1:14" ht="15" customHeight="1">
      <c r="A290" s="60"/>
      <c r="B290" s="33" t="s">
        <v>361</v>
      </c>
      <c r="C290" s="121" t="s">
        <v>420</v>
      </c>
      <c r="D290" s="121"/>
      <c r="E290" s="9" t="s">
        <v>17</v>
      </c>
      <c r="F290" s="9">
        <v>1</v>
      </c>
      <c r="G290" s="104">
        <v>2</v>
      </c>
      <c r="H290" s="83">
        <f t="shared" si="5"/>
        <v>2</v>
      </c>
      <c r="K290" s="1"/>
      <c r="N290" s="82"/>
    </row>
    <row r="291" spans="1:14" ht="15" customHeight="1">
      <c r="A291" s="60"/>
      <c r="B291" s="33" t="s">
        <v>362</v>
      </c>
      <c r="C291" s="121" t="s">
        <v>421</v>
      </c>
      <c r="D291" s="121"/>
      <c r="E291" s="9" t="s">
        <v>17</v>
      </c>
      <c r="F291" s="9">
        <v>3</v>
      </c>
      <c r="G291" s="104">
        <v>10</v>
      </c>
      <c r="H291" s="83">
        <f t="shared" si="5"/>
        <v>30</v>
      </c>
      <c r="K291" s="1"/>
      <c r="N291" s="82"/>
    </row>
    <row r="292" spans="1:14" ht="15" customHeight="1">
      <c r="A292" s="60"/>
      <c r="B292" s="33" t="s">
        <v>363</v>
      </c>
      <c r="C292" s="121" t="s">
        <v>422</v>
      </c>
      <c r="D292" s="121"/>
      <c r="E292" s="9" t="s">
        <v>17</v>
      </c>
      <c r="F292" s="9">
        <v>1</v>
      </c>
      <c r="G292" s="104">
        <v>100</v>
      </c>
      <c r="H292" s="83">
        <f t="shared" si="5"/>
        <v>100</v>
      </c>
      <c r="K292" s="1"/>
      <c r="N292" s="82"/>
    </row>
    <row r="293" spans="1:14" ht="15" customHeight="1">
      <c r="A293" s="60"/>
      <c r="B293" s="33" t="s">
        <v>364</v>
      </c>
      <c r="C293" s="121" t="s">
        <v>423</v>
      </c>
      <c r="D293" s="121"/>
      <c r="E293" s="9" t="s">
        <v>79</v>
      </c>
      <c r="F293" s="9">
        <v>8</v>
      </c>
      <c r="G293" s="104">
        <v>13.2</v>
      </c>
      <c r="H293" s="83">
        <f t="shared" si="5"/>
        <v>105.6</v>
      </c>
      <c r="K293" s="1"/>
      <c r="N293" s="82"/>
    </row>
    <row r="294" spans="1:14" ht="15" customHeight="1">
      <c r="A294" s="60"/>
      <c r="B294" s="33" t="s">
        <v>365</v>
      </c>
      <c r="C294" s="121" t="s">
        <v>424</v>
      </c>
      <c r="D294" s="121"/>
      <c r="E294" s="9" t="s">
        <v>17</v>
      </c>
      <c r="F294" s="9">
        <v>1</v>
      </c>
      <c r="G294" s="104">
        <v>5</v>
      </c>
      <c r="H294" s="83">
        <f t="shared" si="5"/>
        <v>5</v>
      </c>
      <c r="K294" s="1"/>
      <c r="N294" s="82"/>
    </row>
    <row r="295" spans="1:14" ht="15" customHeight="1">
      <c r="A295" s="60"/>
      <c r="B295" s="33" t="s">
        <v>366</v>
      </c>
      <c r="C295" s="121" t="s">
        <v>425</v>
      </c>
      <c r="D295" s="121"/>
      <c r="E295" s="9" t="s">
        <v>17</v>
      </c>
      <c r="F295" s="9">
        <v>1</v>
      </c>
      <c r="G295" s="104">
        <v>5</v>
      </c>
      <c r="H295" s="83">
        <f t="shared" si="5"/>
        <v>5</v>
      </c>
      <c r="K295" s="1"/>
      <c r="N295" s="82"/>
    </row>
    <row r="296" spans="1:14" ht="15" customHeight="1">
      <c r="A296" s="60"/>
      <c r="B296" s="27" t="s">
        <v>121</v>
      </c>
      <c r="C296" s="122" t="s">
        <v>426</v>
      </c>
      <c r="D296" s="122"/>
      <c r="E296" s="11"/>
      <c r="F296" s="11"/>
      <c r="G296" s="103"/>
      <c r="H296" s="6"/>
      <c r="K296" s="1"/>
      <c r="N296" s="82"/>
    </row>
    <row r="297" spans="1:14">
      <c r="A297" s="60"/>
      <c r="B297" s="33" t="s">
        <v>367</v>
      </c>
      <c r="C297" s="121" t="s">
        <v>405</v>
      </c>
      <c r="D297" s="121"/>
      <c r="E297" s="9" t="s">
        <v>79</v>
      </c>
      <c r="F297" s="9">
        <v>12</v>
      </c>
      <c r="G297" s="104">
        <v>45</v>
      </c>
      <c r="H297" s="83">
        <f t="shared" si="5"/>
        <v>540</v>
      </c>
      <c r="K297" s="1"/>
      <c r="N297" s="82"/>
    </row>
    <row r="298" spans="1:14" ht="15" customHeight="1">
      <c r="A298" s="60"/>
      <c r="B298" s="33" t="s">
        <v>368</v>
      </c>
      <c r="C298" s="121" t="s">
        <v>407</v>
      </c>
      <c r="D298" s="121"/>
      <c r="E298" s="9" t="s">
        <v>17</v>
      </c>
      <c r="F298" s="9">
        <v>1</v>
      </c>
      <c r="G298" s="104">
        <v>4</v>
      </c>
      <c r="H298" s="83">
        <f t="shared" si="5"/>
        <v>4</v>
      </c>
      <c r="K298" s="1"/>
      <c r="N298" s="82"/>
    </row>
    <row r="299" spans="1:14" ht="15" customHeight="1">
      <c r="A299" s="60"/>
      <c r="B299" s="33" t="s">
        <v>369</v>
      </c>
      <c r="C299" s="121" t="s">
        <v>406</v>
      </c>
      <c r="D299" s="121"/>
      <c r="E299" s="9" t="s">
        <v>17</v>
      </c>
      <c r="F299" s="9">
        <v>2</v>
      </c>
      <c r="G299" s="104">
        <v>4</v>
      </c>
      <c r="H299" s="83">
        <f t="shared" si="5"/>
        <v>8</v>
      </c>
      <c r="K299" s="1"/>
      <c r="N299" s="82"/>
    </row>
    <row r="300" spans="1:14" ht="15" customHeight="1">
      <c r="A300" s="60"/>
      <c r="B300" s="33" t="s">
        <v>370</v>
      </c>
      <c r="C300" s="121" t="s">
        <v>411</v>
      </c>
      <c r="D300" s="121"/>
      <c r="E300" s="9" t="s">
        <v>79</v>
      </c>
      <c r="F300" s="9">
        <v>1</v>
      </c>
      <c r="G300" s="104">
        <v>12</v>
      </c>
      <c r="H300" s="83">
        <f t="shared" si="5"/>
        <v>12</v>
      </c>
      <c r="K300" s="1"/>
      <c r="N300" s="82"/>
    </row>
    <row r="301" spans="1:14" ht="30.75" customHeight="1">
      <c r="A301" s="60"/>
      <c r="B301" s="33" t="s">
        <v>371</v>
      </c>
      <c r="C301" s="121" t="s">
        <v>415</v>
      </c>
      <c r="D301" s="121"/>
      <c r="E301" s="9" t="s">
        <v>17</v>
      </c>
      <c r="F301" s="9">
        <v>2</v>
      </c>
      <c r="G301" s="104">
        <v>2</v>
      </c>
      <c r="H301" s="83">
        <f t="shared" si="5"/>
        <v>4</v>
      </c>
      <c r="K301" s="1"/>
      <c r="N301" s="82"/>
    </row>
    <row r="302" spans="1:14" ht="15" customHeight="1">
      <c r="A302" s="60"/>
      <c r="B302" s="33" t="s">
        <v>372</v>
      </c>
      <c r="C302" s="121" t="s">
        <v>418</v>
      </c>
      <c r="D302" s="121"/>
      <c r="E302" s="9" t="s">
        <v>17</v>
      </c>
      <c r="F302" s="9">
        <v>1</v>
      </c>
      <c r="G302" s="104">
        <v>2</v>
      </c>
      <c r="H302" s="83">
        <f t="shared" si="5"/>
        <v>2</v>
      </c>
      <c r="K302" s="1"/>
      <c r="N302" s="82"/>
    </row>
    <row r="303" spans="1:14" ht="15" customHeight="1">
      <c r="A303" s="60"/>
      <c r="B303" s="33" t="s">
        <v>373</v>
      </c>
      <c r="C303" s="121" t="s">
        <v>417</v>
      </c>
      <c r="D303" s="121"/>
      <c r="E303" s="9" t="s">
        <v>17</v>
      </c>
      <c r="F303" s="9">
        <v>2</v>
      </c>
      <c r="G303" s="104">
        <v>3</v>
      </c>
      <c r="H303" s="83">
        <f t="shared" si="5"/>
        <v>6</v>
      </c>
      <c r="K303" s="1"/>
      <c r="N303" s="82"/>
    </row>
    <row r="304" spans="1:14">
      <c r="A304" s="60"/>
      <c r="B304" s="33" t="s">
        <v>374</v>
      </c>
      <c r="C304" s="121" t="s">
        <v>423</v>
      </c>
      <c r="D304" s="121"/>
      <c r="E304" s="9" t="s">
        <v>79</v>
      </c>
      <c r="F304" s="9">
        <v>8</v>
      </c>
      <c r="G304" s="104">
        <v>8.1999999999999993</v>
      </c>
      <c r="H304" s="83">
        <f t="shared" si="5"/>
        <v>65.599999999999994</v>
      </c>
      <c r="K304" s="1"/>
      <c r="N304" s="82"/>
    </row>
    <row r="305" spans="1:14" ht="15" customHeight="1">
      <c r="A305" s="60"/>
      <c r="B305" s="33" t="s">
        <v>375</v>
      </c>
      <c r="C305" s="121" t="s">
        <v>424</v>
      </c>
      <c r="D305" s="121"/>
      <c r="E305" s="9" t="s">
        <v>17</v>
      </c>
      <c r="F305" s="9">
        <v>1</v>
      </c>
      <c r="G305" s="104">
        <v>3</v>
      </c>
      <c r="H305" s="83">
        <f t="shared" si="5"/>
        <v>3</v>
      </c>
      <c r="K305" s="1"/>
      <c r="N305" s="82"/>
    </row>
    <row r="306" spans="1:14" ht="15" customHeight="1">
      <c r="A306" s="60"/>
      <c r="B306" s="33" t="s">
        <v>376</v>
      </c>
      <c r="C306" s="121" t="s">
        <v>425</v>
      </c>
      <c r="D306" s="121"/>
      <c r="E306" s="9" t="s">
        <v>17</v>
      </c>
      <c r="F306" s="9">
        <v>1</v>
      </c>
      <c r="G306" s="104">
        <v>3</v>
      </c>
      <c r="H306" s="83">
        <f t="shared" si="5"/>
        <v>3</v>
      </c>
      <c r="K306" s="1"/>
      <c r="N306" s="82"/>
    </row>
    <row r="307" spans="1:14" ht="15" customHeight="1">
      <c r="A307" s="60"/>
      <c r="B307" s="27" t="s">
        <v>122</v>
      </c>
      <c r="C307" s="122" t="s">
        <v>427</v>
      </c>
      <c r="D307" s="122"/>
      <c r="E307" s="11"/>
      <c r="F307" s="11"/>
      <c r="G307" s="103"/>
      <c r="H307" s="6"/>
      <c r="K307" s="1"/>
      <c r="N307" s="82"/>
    </row>
    <row r="308" spans="1:14" ht="31.5" customHeight="1">
      <c r="A308" s="60"/>
      <c r="B308" s="33" t="s">
        <v>377</v>
      </c>
      <c r="C308" s="121" t="s">
        <v>428</v>
      </c>
      <c r="D308" s="121"/>
      <c r="E308" s="9" t="s">
        <v>17</v>
      </c>
      <c r="F308" s="9">
        <v>1</v>
      </c>
      <c r="G308" s="104">
        <v>75</v>
      </c>
      <c r="H308" s="83">
        <f t="shared" si="5"/>
        <v>75</v>
      </c>
      <c r="K308" s="1"/>
      <c r="N308" s="82"/>
    </row>
    <row r="309" spans="1:14" ht="21.75" customHeight="1">
      <c r="A309" s="60"/>
      <c r="B309" s="33" t="s">
        <v>378</v>
      </c>
      <c r="C309" s="121" t="s">
        <v>429</v>
      </c>
      <c r="D309" s="121"/>
      <c r="E309" s="9" t="s">
        <v>17</v>
      </c>
      <c r="F309" s="9">
        <v>1</v>
      </c>
      <c r="G309" s="104">
        <v>5000</v>
      </c>
      <c r="H309" s="83">
        <f t="shared" si="5"/>
        <v>5000</v>
      </c>
      <c r="K309" s="1"/>
      <c r="N309" s="82"/>
    </row>
    <row r="310" spans="1:14">
      <c r="A310" s="60"/>
      <c r="B310" s="13" t="s">
        <v>4</v>
      </c>
      <c r="C310" s="21" t="s">
        <v>1</v>
      </c>
      <c r="D310" s="22"/>
      <c r="E310" s="22"/>
      <c r="F310" s="22"/>
      <c r="G310" s="97"/>
      <c r="H310" s="87"/>
      <c r="K310" s="1"/>
      <c r="N310" s="82"/>
    </row>
    <row r="311" spans="1:14" ht="15" customHeight="1">
      <c r="A311" s="60"/>
      <c r="B311" s="24" t="s">
        <v>41</v>
      </c>
      <c r="C311" s="117" t="s">
        <v>63</v>
      </c>
      <c r="D311" s="117"/>
      <c r="E311" s="25"/>
      <c r="F311" s="25"/>
      <c r="G311" s="98"/>
      <c r="H311" s="86"/>
      <c r="K311" s="1"/>
      <c r="N311" s="82"/>
    </row>
    <row r="312" spans="1:14" ht="15" customHeight="1">
      <c r="A312" s="60"/>
      <c r="B312" s="27" t="s">
        <v>9</v>
      </c>
      <c r="C312" s="28" t="s">
        <v>27</v>
      </c>
      <c r="D312" s="29"/>
      <c r="E312" s="31"/>
      <c r="F312" s="31"/>
      <c r="G312" s="99"/>
      <c r="H312" s="84"/>
      <c r="K312" s="1"/>
      <c r="N312" s="82"/>
    </row>
    <row r="313" spans="1:14" ht="102.75" customHeight="1">
      <c r="A313" s="60"/>
      <c r="B313" s="33" t="s">
        <v>64</v>
      </c>
      <c r="C313" s="61" t="s">
        <v>691</v>
      </c>
      <c r="D313" s="62" t="s">
        <v>742</v>
      </c>
      <c r="E313" s="7" t="s">
        <v>17</v>
      </c>
      <c r="F313" s="9">
        <v>35</v>
      </c>
      <c r="G313" s="94">
        <v>180</v>
      </c>
      <c r="H313" s="83">
        <f t="shared" si="5"/>
        <v>6300</v>
      </c>
      <c r="K313" s="1"/>
      <c r="N313" s="82"/>
    </row>
    <row r="314" spans="1:14" ht="15" customHeight="1">
      <c r="A314" s="60"/>
      <c r="B314" s="27" t="s">
        <v>10</v>
      </c>
      <c r="C314" s="28" t="s">
        <v>66</v>
      </c>
      <c r="D314" s="29"/>
      <c r="E314" s="63" t="s">
        <v>79</v>
      </c>
      <c r="F314" s="10">
        <v>140</v>
      </c>
      <c r="G314" s="99"/>
      <c r="H314" s="84"/>
      <c r="K314" s="1"/>
      <c r="N314" s="82"/>
    </row>
    <row r="315" spans="1:14" ht="31.2">
      <c r="A315" s="60"/>
      <c r="B315" s="33" t="s">
        <v>235</v>
      </c>
      <c r="C315" s="34" t="s">
        <v>705</v>
      </c>
      <c r="D315" s="64" t="s">
        <v>706</v>
      </c>
      <c r="E315" s="11" t="s">
        <v>170</v>
      </c>
      <c r="F315" s="9">
        <v>1.5</v>
      </c>
      <c r="G315" s="94">
        <v>95</v>
      </c>
      <c r="H315" s="83">
        <f t="shared" si="5"/>
        <v>142.5</v>
      </c>
      <c r="K315" s="1"/>
      <c r="N315" s="82"/>
    </row>
    <row r="316" spans="1:14" ht="30" customHeight="1">
      <c r="A316" s="60"/>
      <c r="B316" s="33" t="s">
        <v>236</v>
      </c>
      <c r="C316" s="34" t="s">
        <v>696</v>
      </c>
      <c r="D316" s="8" t="s">
        <v>697</v>
      </c>
      <c r="E316" s="9" t="s">
        <v>79</v>
      </c>
      <c r="F316" s="9">
        <v>140</v>
      </c>
      <c r="G316" s="94">
        <v>24</v>
      </c>
      <c r="H316" s="83">
        <f t="shared" si="5"/>
        <v>3360</v>
      </c>
      <c r="K316" s="1"/>
      <c r="N316" s="82"/>
    </row>
    <row r="317" spans="1:14" ht="78" customHeight="1">
      <c r="A317" s="60"/>
      <c r="B317" s="33" t="s">
        <v>237</v>
      </c>
      <c r="C317" s="34" t="s">
        <v>753</v>
      </c>
      <c r="D317" s="8" t="s">
        <v>754</v>
      </c>
      <c r="E317" s="11" t="s">
        <v>170</v>
      </c>
      <c r="F317" s="9">
        <v>17.5</v>
      </c>
      <c r="G317" s="94">
        <v>40</v>
      </c>
      <c r="H317" s="83">
        <f t="shared" si="5"/>
        <v>700</v>
      </c>
      <c r="K317" s="1"/>
      <c r="N317" s="82"/>
    </row>
    <row r="318" spans="1:14" ht="30" customHeight="1">
      <c r="A318" s="60"/>
      <c r="B318" s="33" t="s">
        <v>238</v>
      </c>
      <c r="C318" s="34" t="s">
        <v>692</v>
      </c>
      <c r="D318" s="64"/>
      <c r="E318" s="11" t="s">
        <v>171</v>
      </c>
      <c r="F318" s="9">
        <v>56</v>
      </c>
      <c r="G318" s="94">
        <v>3</v>
      </c>
      <c r="H318" s="83">
        <f t="shared" si="5"/>
        <v>168</v>
      </c>
      <c r="K318" s="1"/>
      <c r="N318" s="82"/>
    </row>
    <row r="319" spans="1:14" ht="60" customHeight="1">
      <c r="A319" s="60"/>
      <c r="B319" s="33" t="s">
        <v>239</v>
      </c>
      <c r="C319" s="34" t="s">
        <v>693</v>
      </c>
      <c r="D319" s="64" t="s">
        <v>706</v>
      </c>
      <c r="E319" s="11" t="s">
        <v>170</v>
      </c>
      <c r="F319" s="9">
        <v>0.4</v>
      </c>
      <c r="G319" s="94">
        <v>95</v>
      </c>
      <c r="H319" s="83">
        <f t="shared" si="5"/>
        <v>38</v>
      </c>
      <c r="K319" s="1"/>
      <c r="N319" s="82"/>
    </row>
    <row r="320" spans="1:14" ht="46.8">
      <c r="A320" s="60"/>
      <c r="B320" s="33" t="s">
        <v>240</v>
      </c>
      <c r="C320" s="34" t="s">
        <v>698</v>
      </c>
      <c r="D320" s="44" t="s">
        <v>695</v>
      </c>
      <c r="E320" s="9" t="s">
        <v>79</v>
      </c>
      <c r="F320" s="9">
        <v>140</v>
      </c>
      <c r="G320" s="94">
        <v>6</v>
      </c>
      <c r="H320" s="83">
        <f t="shared" si="5"/>
        <v>840</v>
      </c>
      <c r="K320" s="1"/>
      <c r="N320" s="82"/>
    </row>
    <row r="321" spans="1:14" ht="45" customHeight="1">
      <c r="A321" s="60"/>
      <c r="B321" s="33" t="s">
        <v>241</v>
      </c>
      <c r="C321" s="34" t="s">
        <v>699</v>
      </c>
      <c r="D321" s="8" t="s">
        <v>744</v>
      </c>
      <c r="E321" s="9" t="s">
        <v>79</v>
      </c>
      <c r="F321" s="9">
        <v>140</v>
      </c>
      <c r="G321" s="94">
        <v>10</v>
      </c>
      <c r="H321" s="83">
        <f t="shared" si="5"/>
        <v>1400</v>
      </c>
      <c r="K321" s="1"/>
      <c r="N321" s="82"/>
    </row>
    <row r="322" spans="1:14" ht="45" customHeight="1">
      <c r="A322" s="60"/>
      <c r="B322" s="33" t="s">
        <v>242</v>
      </c>
      <c r="C322" s="34" t="s">
        <v>694</v>
      </c>
      <c r="D322" s="44" t="s">
        <v>700</v>
      </c>
      <c r="E322" s="9" t="s">
        <v>79</v>
      </c>
      <c r="F322" s="9">
        <v>140</v>
      </c>
      <c r="G322" s="94">
        <v>8</v>
      </c>
      <c r="H322" s="83">
        <f t="shared" si="5"/>
        <v>1120</v>
      </c>
      <c r="K322" s="1"/>
      <c r="N322" s="82"/>
    </row>
    <row r="323" spans="1:14" ht="195" customHeight="1">
      <c r="A323" s="60"/>
      <c r="B323" s="33" t="s">
        <v>11</v>
      </c>
      <c r="C323" s="58" t="s">
        <v>67</v>
      </c>
      <c r="D323" s="61" t="s">
        <v>741</v>
      </c>
      <c r="E323" s="4" t="s">
        <v>17</v>
      </c>
      <c r="F323" s="4">
        <v>1</v>
      </c>
      <c r="G323" s="101">
        <v>1150</v>
      </c>
      <c r="H323" s="83">
        <f t="shared" si="5"/>
        <v>1150</v>
      </c>
      <c r="K323" s="1"/>
      <c r="N323" s="82"/>
    </row>
    <row r="324" spans="1:14" ht="165" customHeight="1">
      <c r="A324" s="60"/>
      <c r="B324" s="33" t="s">
        <v>18</v>
      </c>
      <c r="C324" s="58" t="s">
        <v>68</v>
      </c>
      <c r="D324" s="61" t="s">
        <v>743</v>
      </c>
      <c r="E324" s="4" t="s">
        <v>17</v>
      </c>
      <c r="F324" s="4">
        <v>31</v>
      </c>
      <c r="G324" s="101">
        <v>90</v>
      </c>
      <c r="H324" s="83">
        <f t="shared" si="5"/>
        <v>2790</v>
      </c>
      <c r="K324" s="1"/>
      <c r="N324" s="82"/>
    </row>
    <row r="325" spans="1:14" ht="15" customHeight="1">
      <c r="A325" s="60"/>
      <c r="B325" s="13" t="s">
        <v>5</v>
      </c>
      <c r="C325" s="21" t="s">
        <v>35</v>
      </c>
      <c r="D325" s="22"/>
      <c r="E325" s="22"/>
      <c r="F325" s="22"/>
      <c r="G325" s="97"/>
      <c r="H325" s="87"/>
      <c r="K325" s="1"/>
      <c r="N325" s="82"/>
    </row>
    <row r="326" spans="1:14" ht="15" customHeight="1">
      <c r="A326" s="60"/>
      <c r="B326" s="24" t="s">
        <v>41</v>
      </c>
      <c r="C326" s="117" t="s">
        <v>71</v>
      </c>
      <c r="D326" s="117"/>
      <c r="E326" s="25"/>
      <c r="F326" s="25"/>
      <c r="G326" s="98"/>
      <c r="H326" s="86"/>
      <c r="K326" s="1"/>
      <c r="N326" s="82"/>
    </row>
    <row r="327" spans="1:14" ht="15" customHeight="1">
      <c r="A327" s="60"/>
      <c r="B327" s="33" t="s">
        <v>644</v>
      </c>
      <c r="C327" s="50" t="s">
        <v>757</v>
      </c>
      <c r="D327" s="65" t="s">
        <v>758</v>
      </c>
      <c r="E327" s="66" t="s">
        <v>854</v>
      </c>
      <c r="F327" s="67">
        <v>416.6</v>
      </c>
      <c r="G327" s="105">
        <v>14</v>
      </c>
      <c r="H327" s="83">
        <f t="shared" si="5"/>
        <v>5832.4</v>
      </c>
      <c r="K327" s="1"/>
      <c r="N327" s="82"/>
    </row>
    <row r="328" spans="1:14" ht="15" customHeight="1">
      <c r="A328" s="60"/>
      <c r="B328" s="24" t="s">
        <v>41</v>
      </c>
      <c r="C328" s="119" t="s">
        <v>789</v>
      </c>
      <c r="D328" s="120"/>
      <c r="E328" s="24"/>
      <c r="F328" s="68"/>
      <c r="G328" s="98"/>
      <c r="H328" s="86"/>
      <c r="K328" s="1"/>
      <c r="N328" s="82"/>
    </row>
    <row r="329" spans="1:14" ht="15" customHeight="1">
      <c r="A329" s="60"/>
      <c r="B329" s="33" t="s">
        <v>9</v>
      </c>
      <c r="C329" s="50" t="s">
        <v>74</v>
      </c>
      <c r="D329" s="65" t="s">
        <v>758</v>
      </c>
      <c r="E329" s="66" t="s">
        <v>855</v>
      </c>
      <c r="F329" s="67">
        <v>30</v>
      </c>
      <c r="G329" s="105">
        <v>35</v>
      </c>
      <c r="H329" s="83">
        <f t="shared" si="5"/>
        <v>1050</v>
      </c>
      <c r="J329" s="69"/>
      <c r="K329" s="1"/>
      <c r="N329" s="82"/>
    </row>
    <row r="330" spans="1:14" ht="15" customHeight="1">
      <c r="A330" s="60"/>
      <c r="B330" s="33" t="s">
        <v>10</v>
      </c>
      <c r="C330" s="50" t="s">
        <v>72</v>
      </c>
      <c r="D330" s="65" t="s">
        <v>784</v>
      </c>
      <c r="E330" s="70" t="s">
        <v>733</v>
      </c>
      <c r="F330" s="67">
        <v>1779</v>
      </c>
      <c r="G330" s="105">
        <v>2</v>
      </c>
      <c r="H330" s="83">
        <f t="shared" ref="H330:H393" si="6">ROUND(F330*G330,2)</f>
        <v>3558</v>
      </c>
      <c r="K330" s="1"/>
      <c r="N330" s="82"/>
    </row>
    <row r="331" spans="1:14" ht="15" customHeight="1">
      <c r="A331" s="60"/>
      <c r="B331" s="33" t="s">
        <v>11</v>
      </c>
      <c r="C331" s="50" t="s">
        <v>75</v>
      </c>
      <c r="D331" s="65" t="s">
        <v>785</v>
      </c>
      <c r="E331" s="66" t="s">
        <v>854</v>
      </c>
      <c r="F331" s="67">
        <v>23.71</v>
      </c>
      <c r="G331" s="105">
        <v>99</v>
      </c>
      <c r="H331" s="83">
        <f t="shared" si="6"/>
        <v>2347.29</v>
      </c>
      <c r="K331" s="1"/>
      <c r="N331" s="82"/>
    </row>
    <row r="332" spans="1:14" ht="15" customHeight="1">
      <c r="A332" s="60"/>
      <c r="B332" s="33" t="s">
        <v>18</v>
      </c>
      <c r="C332" s="50" t="s">
        <v>786</v>
      </c>
      <c r="D332" s="65" t="s">
        <v>758</v>
      </c>
      <c r="E332" s="66" t="s">
        <v>854</v>
      </c>
      <c r="F332" s="67">
        <v>28.95</v>
      </c>
      <c r="G332" s="105">
        <v>38</v>
      </c>
      <c r="H332" s="83">
        <f t="shared" si="6"/>
        <v>1100.0999999999999</v>
      </c>
      <c r="K332" s="1"/>
      <c r="N332" s="82"/>
    </row>
    <row r="333" spans="1:14" ht="15" customHeight="1">
      <c r="A333" s="60"/>
      <c r="B333" s="33" t="s">
        <v>19</v>
      </c>
      <c r="C333" s="50" t="s">
        <v>787</v>
      </c>
      <c r="D333" s="65" t="s">
        <v>758</v>
      </c>
      <c r="E333" s="66" t="s">
        <v>855</v>
      </c>
      <c r="F333" s="67">
        <v>121</v>
      </c>
      <c r="G333" s="105">
        <v>1</v>
      </c>
      <c r="H333" s="83">
        <f t="shared" si="6"/>
        <v>121</v>
      </c>
      <c r="K333" s="1"/>
      <c r="N333" s="82"/>
    </row>
    <row r="334" spans="1:14" ht="15" customHeight="1">
      <c r="A334" s="60"/>
      <c r="B334" s="24" t="s">
        <v>42</v>
      </c>
      <c r="C334" s="119" t="s">
        <v>790</v>
      </c>
      <c r="D334" s="120"/>
      <c r="E334" s="24"/>
      <c r="F334" s="68"/>
      <c r="G334" s="98"/>
      <c r="H334" s="86"/>
      <c r="K334" s="1"/>
      <c r="N334" s="82"/>
    </row>
    <row r="335" spans="1:14" ht="15" customHeight="1">
      <c r="A335" s="60"/>
      <c r="B335" s="33" t="s">
        <v>44</v>
      </c>
      <c r="C335" s="71" t="s">
        <v>74</v>
      </c>
      <c r="D335" s="72" t="s">
        <v>758</v>
      </c>
      <c r="E335" s="66" t="s">
        <v>855</v>
      </c>
      <c r="F335" s="73">
        <v>35</v>
      </c>
      <c r="G335" s="106">
        <v>35</v>
      </c>
      <c r="H335" s="83">
        <f t="shared" si="6"/>
        <v>1225</v>
      </c>
      <c r="K335" s="1"/>
      <c r="N335" s="82"/>
    </row>
    <row r="336" spans="1:14" ht="15" customHeight="1">
      <c r="A336" s="60"/>
      <c r="B336" s="33" t="s">
        <v>45</v>
      </c>
      <c r="C336" s="71" t="s">
        <v>72</v>
      </c>
      <c r="D336" s="72" t="s">
        <v>784</v>
      </c>
      <c r="E336" s="66" t="s">
        <v>733</v>
      </c>
      <c r="F336" s="73">
        <v>1428</v>
      </c>
      <c r="G336" s="106">
        <v>2</v>
      </c>
      <c r="H336" s="83">
        <f t="shared" si="6"/>
        <v>2856</v>
      </c>
      <c r="K336" s="1"/>
      <c r="N336" s="82"/>
    </row>
    <row r="337" spans="1:14" ht="15" customHeight="1">
      <c r="A337" s="60"/>
      <c r="B337" s="33" t="s">
        <v>46</v>
      </c>
      <c r="C337" s="71" t="s">
        <v>75</v>
      </c>
      <c r="D337" s="72" t="s">
        <v>785</v>
      </c>
      <c r="E337" s="66" t="s">
        <v>854</v>
      </c>
      <c r="F337" s="73">
        <v>26.64</v>
      </c>
      <c r="G337" s="106">
        <v>99</v>
      </c>
      <c r="H337" s="83">
        <f t="shared" si="6"/>
        <v>2637.36</v>
      </c>
      <c r="K337" s="1"/>
      <c r="N337" s="82"/>
    </row>
    <row r="338" spans="1:14" ht="15" customHeight="1">
      <c r="A338" s="60"/>
      <c r="B338" s="24" t="s">
        <v>47</v>
      </c>
      <c r="C338" s="119" t="s">
        <v>830</v>
      </c>
      <c r="D338" s="120"/>
      <c r="E338" s="24"/>
      <c r="F338" s="68"/>
      <c r="G338" s="98"/>
      <c r="H338" s="86"/>
      <c r="K338" s="1"/>
      <c r="N338" s="82"/>
    </row>
    <row r="339" spans="1:14" ht="15" customHeight="1">
      <c r="A339" s="60"/>
      <c r="B339" s="33" t="s">
        <v>48</v>
      </c>
      <c r="C339" s="50" t="s">
        <v>74</v>
      </c>
      <c r="D339" s="65" t="s">
        <v>758</v>
      </c>
      <c r="E339" s="66" t="s">
        <v>855</v>
      </c>
      <c r="F339" s="67">
        <v>43</v>
      </c>
      <c r="G339" s="105">
        <v>35</v>
      </c>
      <c r="H339" s="83">
        <f t="shared" si="6"/>
        <v>1505</v>
      </c>
      <c r="K339" s="1"/>
      <c r="N339" s="82"/>
    </row>
    <row r="340" spans="1:14" ht="15" customHeight="1">
      <c r="A340" s="60"/>
      <c r="B340" s="33" t="s">
        <v>49</v>
      </c>
      <c r="C340" s="50" t="s">
        <v>72</v>
      </c>
      <c r="D340" s="65" t="s">
        <v>784</v>
      </c>
      <c r="E340" s="70" t="s">
        <v>733</v>
      </c>
      <c r="F340" s="67">
        <v>1426</v>
      </c>
      <c r="G340" s="105">
        <v>2</v>
      </c>
      <c r="H340" s="83">
        <f t="shared" si="6"/>
        <v>2852</v>
      </c>
      <c r="K340" s="1"/>
      <c r="N340" s="82"/>
    </row>
    <row r="341" spans="1:14" ht="15" customHeight="1">
      <c r="A341" s="60"/>
      <c r="B341" s="33" t="s">
        <v>50</v>
      </c>
      <c r="C341" s="50" t="s">
        <v>75</v>
      </c>
      <c r="D341" s="65" t="s">
        <v>785</v>
      </c>
      <c r="E341" s="66" t="s">
        <v>854</v>
      </c>
      <c r="F341" s="67">
        <v>20.18</v>
      </c>
      <c r="G341" s="105">
        <v>99</v>
      </c>
      <c r="H341" s="83">
        <f t="shared" si="6"/>
        <v>1997.82</v>
      </c>
      <c r="K341" s="1"/>
      <c r="N341" s="82"/>
    </row>
    <row r="342" spans="1:14" ht="15" customHeight="1">
      <c r="A342" s="60"/>
      <c r="B342" s="33" t="s">
        <v>146</v>
      </c>
      <c r="C342" s="50" t="s">
        <v>786</v>
      </c>
      <c r="D342" s="65" t="s">
        <v>758</v>
      </c>
      <c r="E342" s="66" t="s">
        <v>854</v>
      </c>
      <c r="F342" s="67">
        <v>23.72</v>
      </c>
      <c r="G342" s="105">
        <v>38</v>
      </c>
      <c r="H342" s="83">
        <f t="shared" si="6"/>
        <v>901.36</v>
      </c>
      <c r="K342" s="1"/>
      <c r="N342" s="82"/>
    </row>
    <row r="343" spans="1:14" ht="15" customHeight="1">
      <c r="A343" s="60"/>
      <c r="B343" s="33" t="s">
        <v>147</v>
      </c>
      <c r="C343" s="50" t="s">
        <v>787</v>
      </c>
      <c r="D343" s="65" t="s">
        <v>758</v>
      </c>
      <c r="E343" s="66" t="s">
        <v>855</v>
      </c>
      <c r="F343" s="67">
        <v>99</v>
      </c>
      <c r="G343" s="105">
        <v>1</v>
      </c>
      <c r="H343" s="83">
        <f t="shared" si="6"/>
        <v>99</v>
      </c>
      <c r="K343" s="1"/>
      <c r="N343" s="82"/>
    </row>
    <row r="344" spans="1:14" ht="15" customHeight="1">
      <c r="A344" s="60"/>
      <c r="B344" s="24" t="s">
        <v>51</v>
      </c>
      <c r="C344" s="119" t="s">
        <v>791</v>
      </c>
      <c r="D344" s="120"/>
      <c r="E344" s="24"/>
      <c r="F344" s="68"/>
      <c r="G344" s="98"/>
      <c r="H344" s="86"/>
      <c r="K344" s="1"/>
      <c r="N344" s="82"/>
    </row>
    <row r="345" spans="1:14" ht="15" customHeight="1">
      <c r="A345" s="60"/>
      <c r="B345" s="33" t="s">
        <v>53</v>
      </c>
      <c r="C345" s="50" t="s">
        <v>74</v>
      </c>
      <c r="D345" s="65" t="s">
        <v>758</v>
      </c>
      <c r="E345" s="66" t="s">
        <v>855</v>
      </c>
      <c r="F345" s="67">
        <v>4.5</v>
      </c>
      <c r="G345" s="105">
        <v>35</v>
      </c>
      <c r="H345" s="83">
        <f t="shared" si="6"/>
        <v>157.5</v>
      </c>
      <c r="K345" s="1"/>
      <c r="N345" s="82"/>
    </row>
    <row r="346" spans="1:14" ht="15" customHeight="1">
      <c r="A346" s="60"/>
      <c r="B346" s="33" t="s">
        <v>55</v>
      </c>
      <c r="C346" s="50" t="s">
        <v>72</v>
      </c>
      <c r="D346" s="65" t="s">
        <v>784</v>
      </c>
      <c r="E346" s="70" t="s">
        <v>733</v>
      </c>
      <c r="F346" s="67">
        <v>137</v>
      </c>
      <c r="G346" s="105">
        <v>2</v>
      </c>
      <c r="H346" s="83">
        <f t="shared" si="6"/>
        <v>274</v>
      </c>
      <c r="K346" s="1"/>
      <c r="N346" s="82"/>
    </row>
    <row r="347" spans="1:14" ht="15" customHeight="1">
      <c r="A347" s="60"/>
      <c r="B347" s="33" t="s">
        <v>56</v>
      </c>
      <c r="C347" s="50" t="s">
        <v>75</v>
      </c>
      <c r="D347" s="65" t="s">
        <v>785</v>
      </c>
      <c r="E347" s="66" t="s">
        <v>854</v>
      </c>
      <c r="F347" s="67">
        <v>1.85</v>
      </c>
      <c r="G347" s="105">
        <v>99</v>
      </c>
      <c r="H347" s="83">
        <f t="shared" si="6"/>
        <v>183.15</v>
      </c>
      <c r="K347" s="1"/>
      <c r="N347" s="82"/>
    </row>
    <row r="348" spans="1:14" ht="15" customHeight="1">
      <c r="A348" s="60"/>
      <c r="B348" s="24" t="s">
        <v>73</v>
      </c>
      <c r="C348" s="119" t="s">
        <v>792</v>
      </c>
      <c r="D348" s="120"/>
      <c r="E348" s="24"/>
      <c r="F348" s="68"/>
      <c r="G348" s="98"/>
      <c r="H348" s="86"/>
      <c r="K348" s="1"/>
      <c r="N348" s="82"/>
    </row>
    <row r="349" spans="1:14" ht="15" customHeight="1">
      <c r="A349" s="60"/>
      <c r="B349" s="33" t="s">
        <v>759</v>
      </c>
      <c r="C349" s="50" t="s">
        <v>74</v>
      </c>
      <c r="D349" s="65"/>
      <c r="E349" s="66" t="s">
        <v>855</v>
      </c>
      <c r="F349" s="67">
        <v>1.23</v>
      </c>
      <c r="G349" s="105">
        <v>35</v>
      </c>
      <c r="H349" s="83">
        <f t="shared" si="6"/>
        <v>43.05</v>
      </c>
      <c r="K349" s="1"/>
      <c r="N349" s="82"/>
    </row>
    <row r="350" spans="1:14" ht="15" customHeight="1">
      <c r="A350" s="60"/>
      <c r="B350" s="33" t="s">
        <v>760</v>
      </c>
      <c r="C350" s="50" t="s">
        <v>72</v>
      </c>
      <c r="D350" s="65" t="s">
        <v>784</v>
      </c>
      <c r="E350" s="70" t="s">
        <v>733</v>
      </c>
      <c r="F350" s="67">
        <v>137</v>
      </c>
      <c r="G350" s="105">
        <v>2</v>
      </c>
      <c r="H350" s="83">
        <f t="shared" si="6"/>
        <v>274</v>
      </c>
      <c r="K350" s="1"/>
      <c r="N350" s="82"/>
    </row>
    <row r="351" spans="1:14" ht="15" customHeight="1">
      <c r="A351" s="60"/>
      <c r="B351" s="33" t="s">
        <v>761</v>
      </c>
      <c r="C351" s="50" t="s">
        <v>75</v>
      </c>
      <c r="D351" s="65" t="s">
        <v>785</v>
      </c>
      <c r="E351" s="66" t="s">
        <v>854</v>
      </c>
      <c r="F351" s="67">
        <v>1.85</v>
      </c>
      <c r="G351" s="105">
        <v>99</v>
      </c>
      <c r="H351" s="83">
        <f t="shared" si="6"/>
        <v>183.15</v>
      </c>
      <c r="K351" s="1"/>
      <c r="N351" s="82"/>
    </row>
    <row r="352" spans="1:14" ht="15" customHeight="1">
      <c r="A352" s="60"/>
      <c r="B352" s="24" t="s">
        <v>647</v>
      </c>
      <c r="C352" s="119" t="s">
        <v>793</v>
      </c>
      <c r="D352" s="120"/>
      <c r="E352" s="24"/>
      <c r="F352" s="68"/>
      <c r="G352" s="98"/>
      <c r="H352" s="86"/>
      <c r="K352" s="1"/>
      <c r="N352" s="82"/>
    </row>
    <row r="353" spans="1:14" ht="15" customHeight="1">
      <c r="A353" s="60"/>
      <c r="B353" s="33" t="s">
        <v>762</v>
      </c>
      <c r="C353" s="50" t="s">
        <v>74</v>
      </c>
      <c r="D353" s="65"/>
      <c r="E353" s="66" t="s">
        <v>855</v>
      </c>
      <c r="F353" s="67">
        <v>1.23</v>
      </c>
      <c r="G353" s="105">
        <v>35</v>
      </c>
      <c r="H353" s="83">
        <f t="shared" si="6"/>
        <v>43.05</v>
      </c>
      <c r="K353" s="1"/>
      <c r="N353" s="82"/>
    </row>
    <row r="354" spans="1:14" ht="15" customHeight="1">
      <c r="A354" s="60"/>
      <c r="B354" s="33" t="s">
        <v>763</v>
      </c>
      <c r="C354" s="50" t="s">
        <v>72</v>
      </c>
      <c r="D354" s="65" t="s">
        <v>784</v>
      </c>
      <c r="E354" s="70" t="s">
        <v>733</v>
      </c>
      <c r="F354" s="67">
        <v>137</v>
      </c>
      <c r="G354" s="105">
        <v>2</v>
      </c>
      <c r="H354" s="83">
        <f t="shared" si="6"/>
        <v>274</v>
      </c>
      <c r="K354" s="1"/>
      <c r="N354" s="82"/>
    </row>
    <row r="355" spans="1:14" ht="15" customHeight="1">
      <c r="A355" s="60"/>
      <c r="B355" s="33" t="s">
        <v>764</v>
      </c>
      <c r="C355" s="50" t="s">
        <v>75</v>
      </c>
      <c r="D355" s="65" t="s">
        <v>785</v>
      </c>
      <c r="E355" s="66" t="s">
        <v>854</v>
      </c>
      <c r="F355" s="67">
        <v>1.85</v>
      </c>
      <c r="G355" s="105">
        <v>99</v>
      </c>
      <c r="H355" s="83">
        <f t="shared" si="6"/>
        <v>183.15</v>
      </c>
      <c r="K355" s="1"/>
      <c r="N355" s="82"/>
    </row>
    <row r="356" spans="1:14" ht="15" customHeight="1">
      <c r="A356" s="60"/>
      <c r="B356" s="24" t="s">
        <v>765</v>
      </c>
      <c r="C356" s="119" t="s">
        <v>794</v>
      </c>
      <c r="D356" s="120"/>
      <c r="E356" s="24"/>
      <c r="F356" s="68"/>
      <c r="G356" s="98"/>
      <c r="H356" s="86"/>
      <c r="K356" s="1"/>
      <c r="N356" s="82"/>
    </row>
    <row r="357" spans="1:14" ht="15" customHeight="1">
      <c r="A357" s="60"/>
      <c r="B357" s="33" t="s">
        <v>766</v>
      </c>
      <c r="C357" s="50" t="s">
        <v>74</v>
      </c>
      <c r="D357" s="65" t="s">
        <v>758</v>
      </c>
      <c r="E357" s="66" t="s">
        <v>855</v>
      </c>
      <c r="F357" s="67">
        <v>48.87</v>
      </c>
      <c r="G357" s="105">
        <v>35</v>
      </c>
      <c r="H357" s="83">
        <f t="shared" si="6"/>
        <v>1710.45</v>
      </c>
      <c r="K357" s="1"/>
      <c r="N357" s="82"/>
    </row>
    <row r="358" spans="1:14" ht="15" customHeight="1">
      <c r="A358" s="60"/>
      <c r="B358" s="33" t="s">
        <v>767</v>
      </c>
      <c r="C358" s="50" t="s">
        <v>72</v>
      </c>
      <c r="D358" s="65" t="s">
        <v>784</v>
      </c>
      <c r="E358" s="70" t="s">
        <v>733</v>
      </c>
      <c r="F358" s="67">
        <v>779</v>
      </c>
      <c r="G358" s="105">
        <v>2</v>
      </c>
      <c r="H358" s="83">
        <f t="shared" si="6"/>
        <v>1558</v>
      </c>
      <c r="K358" s="1"/>
      <c r="N358" s="82"/>
    </row>
    <row r="359" spans="1:14" ht="15" customHeight="1">
      <c r="A359" s="60"/>
      <c r="B359" s="33" t="s">
        <v>768</v>
      </c>
      <c r="C359" s="50" t="s">
        <v>75</v>
      </c>
      <c r="D359" s="65" t="s">
        <v>785</v>
      </c>
      <c r="E359" s="66" t="s">
        <v>854</v>
      </c>
      <c r="F359" s="67">
        <v>10.9</v>
      </c>
      <c r="G359" s="105">
        <v>99</v>
      </c>
      <c r="H359" s="83">
        <f t="shared" si="6"/>
        <v>1079.0999999999999</v>
      </c>
      <c r="K359" s="1"/>
      <c r="N359" s="82"/>
    </row>
    <row r="360" spans="1:14" ht="15" customHeight="1">
      <c r="A360" s="60"/>
      <c r="B360" s="33" t="s">
        <v>769</v>
      </c>
      <c r="C360" s="50" t="s">
        <v>76</v>
      </c>
      <c r="D360" s="65" t="s">
        <v>788</v>
      </c>
      <c r="E360" s="70" t="s">
        <v>733</v>
      </c>
      <c r="F360" s="67">
        <v>5021.5</v>
      </c>
      <c r="G360" s="105">
        <v>6</v>
      </c>
      <c r="H360" s="83">
        <f t="shared" si="6"/>
        <v>30129</v>
      </c>
      <c r="K360" s="1"/>
      <c r="N360" s="82"/>
    </row>
    <row r="361" spans="1:14" ht="15" customHeight="1">
      <c r="A361" s="60"/>
      <c r="B361" s="24" t="s">
        <v>770</v>
      </c>
      <c r="C361" s="119" t="s">
        <v>795</v>
      </c>
      <c r="D361" s="120"/>
      <c r="E361" s="24"/>
      <c r="F361" s="68"/>
      <c r="G361" s="98"/>
      <c r="H361" s="86"/>
      <c r="K361" s="1"/>
      <c r="N361" s="82"/>
    </row>
    <row r="362" spans="1:14" ht="15" customHeight="1">
      <c r="A362" s="60"/>
      <c r="B362" s="33" t="s">
        <v>771</v>
      </c>
      <c r="C362" s="50" t="s">
        <v>74</v>
      </c>
      <c r="D362" s="33" t="s">
        <v>758</v>
      </c>
      <c r="E362" s="66" t="s">
        <v>855</v>
      </c>
      <c r="F362" s="74">
        <v>48.87</v>
      </c>
      <c r="G362" s="101">
        <v>35</v>
      </c>
      <c r="H362" s="83">
        <f t="shared" si="6"/>
        <v>1710.45</v>
      </c>
      <c r="K362" s="1"/>
      <c r="N362" s="82"/>
    </row>
    <row r="363" spans="1:14" ht="15" customHeight="1">
      <c r="A363" s="60"/>
      <c r="B363" s="33" t="s">
        <v>772</v>
      </c>
      <c r="C363" s="50" t="s">
        <v>72</v>
      </c>
      <c r="D363" s="33" t="s">
        <v>784</v>
      </c>
      <c r="E363" s="52" t="s">
        <v>733</v>
      </c>
      <c r="F363" s="74">
        <v>779</v>
      </c>
      <c r="G363" s="101">
        <v>2</v>
      </c>
      <c r="H363" s="83">
        <f t="shared" si="6"/>
        <v>1558</v>
      </c>
      <c r="K363" s="1"/>
      <c r="N363" s="82"/>
    </row>
    <row r="364" spans="1:14" ht="15" customHeight="1">
      <c r="A364" s="60"/>
      <c r="B364" s="33" t="s">
        <v>773</v>
      </c>
      <c r="C364" s="50" t="s">
        <v>75</v>
      </c>
      <c r="D364" s="33" t="s">
        <v>785</v>
      </c>
      <c r="E364" s="66" t="s">
        <v>854</v>
      </c>
      <c r="F364" s="74">
        <v>10.9</v>
      </c>
      <c r="G364" s="101">
        <v>99</v>
      </c>
      <c r="H364" s="83">
        <f t="shared" si="6"/>
        <v>1079.0999999999999</v>
      </c>
      <c r="K364" s="1"/>
      <c r="N364" s="82"/>
    </row>
    <row r="365" spans="1:14" ht="15" customHeight="1">
      <c r="A365" s="60"/>
      <c r="B365" s="33" t="s">
        <v>774</v>
      </c>
      <c r="C365" s="50" t="s">
        <v>76</v>
      </c>
      <c r="D365" s="33" t="s">
        <v>788</v>
      </c>
      <c r="E365" s="52" t="s">
        <v>733</v>
      </c>
      <c r="F365" s="74">
        <v>5021.5</v>
      </c>
      <c r="G365" s="101">
        <v>6</v>
      </c>
      <c r="H365" s="83">
        <f t="shared" si="6"/>
        <v>30129</v>
      </c>
      <c r="K365" s="1"/>
      <c r="N365" s="82"/>
    </row>
    <row r="366" spans="1:14" ht="15" customHeight="1">
      <c r="A366" s="60"/>
      <c r="B366" s="24" t="s">
        <v>775</v>
      </c>
      <c r="C366" s="119" t="s">
        <v>796</v>
      </c>
      <c r="D366" s="120"/>
      <c r="E366" s="24"/>
      <c r="F366" s="68"/>
      <c r="G366" s="98"/>
      <c r="H366" s="86"/>
      <c r="K366" s="1"/>
      <c r="N366" s="82"/>
    </row>
    <row r="367" spans="1:14" ht="15" customHeight="1">
      <c r="A367" s="60"/>
      <c r="B367" s="33" t="s">
        <v>776</v>
      </c>
      <c r="C367" s="50" t="s">
        <v>74</v>
      </c>
      <c r="D367" s="33" t="s">
        <v>758</v>
      </c>
      <c r="E367" s="66" t="s">
        <v>855</v>
      </c>
      <c r="F367" s="74">
        <v>63.36</v>
      </c>
      <c r="G367" s="101">
        <v>35</v>
      </c>
      <c r="H367" s="83">
        <f t="shared" si="6"/>
        <v>2217.6</v>
      </c>
      <c r="K367" s="1"/>
      <c r="N367" s="82"/>
    </row>
    <row r="368" spans="1:14" ht="15" customHeight="1">
      <c r="A368" s="60"/>
      <c r="B368" s="33" t="s">
        <v>777</v>
      </c>
      <c r="C368" s="50" t="s">
        <v>72</v>
      </c>
      <c r="D368" s="33" t="s">
        <v>784</v>
      </c>
      <c r="E368" s="52" t="s">
        <v>733</v>
      </c>
      <c r="F368" s="74">
        <v>1042</v>
      </c>
      <c r="G368" s="101">
        <v>2</v>
      </c>
      <c r="H368" s="83">
        <f t="shared" si="6"/>
        <v>2084</v>
      </c>
      <c r="K368" s="1"/>
      <c r="N368" s="82"/>
    </row>
    <row r="369" spans="1:14" ht="15" customHeight="1">
      <c r="A369" s="60"/>
      <c r="B369" s="33" t="s">
        <v>778</v>
      </c>
      <c r="C369" s="50" t="s">
        <v>75</v>
      </c>
      <c r="D369" s="33" t="s">
        <v>785</v>
      </c>
      <c r="E369" s="66" t="s">
        <v>854</v>
      </c>
      <c r="F369" s="74">
        <v>15.23</v>
      </c>
      <c r="G369" s="101">
        <v>99</v>
      </c>
      <c r="H369" s="83">
        <f t="shared" si="6"/>
        <v>1507.77</v>
      </c>
      <c r="K369" s="1"/>
      <c r="N369" s="82"/>
    </row>
    <row r="370" spans="1:14" ht="15" customHeight="1">
      <c r="A370" s="60"/>
      <c r="B370" s="24" t="s">
        <v>779</v>
      </c>
      <c r="C370" s="119" t="s">
        <v>797</v>
      </c>
      <c r="D370" s="120"/>
      <c r="E370" s="24"/>
      <c r="F370" s="68"/>
      <c r="G370" s="98"/>
      <c r="H370" s="86"/>
      <c r="K370" s="1"/>
      <c r="N370" s="82"/>
    </row>
    <row r="371" spans="1:14" ht="15" customHeight="1">
      <c r="A371" s="60"/>
      <c r="B371" s="33" t="s">
        <v>780</v>
      </c>
      <c r="C371" s="50" t="s">
        <v>74</v>
      </c>
      <c r="D371" s="33" t="s">
        <v>758</v>
      </c>
      <c r="E371" s="66" t="s">
        <v>855</v>
      </c>
      <c r="F371" s="74">
        <v>34.72</v>
      </c>
      <c r="G371" s="101">
        <v>35</v>
      </c>
      <c r="H371" s="83">
        <f t="shared" si="6"/>
        <v>1215.2</v>
      </c>
      <c r="K371" s="1"/>
      <c r="N371" s="82"/>
    </row>
    <row r="372" spans="1:14" ht="15" customHeight="1">
      <c r="A372" s="60"/>
      <c r="B372" s="33" t="s">
        <v>781</v>
      </c>
      <c r="C372" s="50" t="s">
        <v>72</v>
      </c>
      <c r="D372" s="33" t="s">
        <v>784</v>
      </c>
      <c r="E372" s="52" t="s">
        <v>733</v>
      </c>
      <c r="F372" s="74">
        <v>686</v>
      </c>
      <c r="G372" s="101">
        <v>2</v>
      </c>
      <c r="H372" s="83">
        <f t="shared" si="6"/>
        <v>1372</v>
      </c>
      <c r="K372" s="1"/>
      <c r="N372" s="82"/>
    </row>
    <row r="373" spans="1:14" ht="15" customHeight="1">
      <c r="A373" s="60"/>
      <c r="B373" s="33" t="s">
        <v>782</v>
      </c>
      <c r="C373" s="50" t="s">
        <v>75</v>
      </c>
      <c r="D373" s="33" t="s">
        <v>785</v>
      </c>
      <c r="E373" s="66" t="s">
        <v>854</v>
      </c>
      <c r="F373" s="74">
        <v>7.29</v>
      </c>
      <c r="G373" s="101">
        <v>99</v>
      </c>
      <c r="H373" s="83">
        <f t="shared" si="6"/>
        <v>721.71</v>
      </c>
      <c r="K373" s="1"/>
      <c r="N373" s="82"/>
    </row>
    <row r="374" spans="1:14" ht="15" customHeight="1">
      <c r="A374" s="60"/>
      <c r="B374" s="33" t="s">
        <v>783</v>
      </c>
      <c r="C374" s="50" t="s">
        <v>76</v>
      </c>
      <c r="D374" s="33" t="s">
        <v>788</v>
      </c>
      <c r="E374" s="52" t="s">
        <v>733</v>
      </c>
      <c r="F374" s="74">
        <v>5162</v>
      </c>
      <c r="G374" s="101">
        <v>6</v>
      </c>
      <c r="H374" s="83">
        <f t="shared" si="6"/>
        <v>30972</v>
      </c>
      <c r="K374" s="1"/>
      <c r="N374" s="82"/>
    </row>
    <row r="375" spans="1:14" ht="15" customHeight="1">
      <c r="A375" s="60"/>
      <c r="B375" s="13" t="s">
        <v>6</v>
      </c>
      <c r="C375" s="21" t="s">
        <v>8</v>
      </c>
      <c r="D375" s="22"/>
      <c r="E375" s="22"/>
      <c r="F375" s="22"/>
      <c r="G375" s="97"/>
      <c r="H375" s="87"/>
      <c r="K375" s="1"/>
      <c r="N375" s="82"/>
    </row>
    <row r="376" spans="1:14" ht="15" customHeight="1">
      <c r="A376" s="60"/>
      <c r="B376" s="27" t="s">
        <v>41</v>
      </c>
      <c r="C376" s="117" t="s">
        <v>78</v>
      </c>
      <c r="D376" s="117"/>
      <c r="E376" s="25"/>
      <c r="F376" s="25"/>
      <c r="G376" s="107"/>
      <c r="H376" s="89"/>
      <c r="K376" s="1"/>
      <c r="N376" s="82"/>
    </row>
    <row r="377" spans="1:14" ht="45" customHeight="1">
      <c r="A377" s="60"/>
      <c r="B377" s="33" t="s">
        <v>48</v>
      </c>
      <c r="C377" s="115" t="s">
        <v>172</v>
      </c>
      <c r="D377" s="115"/>
      <c r="E377" s="11" t="s">
        <v>79</v>
      </c>
      <c r="F377" s="75">
        <v>20.5</v>
      </c>
      <c r="G377" s="101">
        <v>15</v>
      </c>
      <c r="H377" s="83">
        <f t="shared" si="6"/>
        <v>307.5</v>
      </c>
      <c r="K377" s="1"/>
      <c r="N377" s="82"/>
    </row>
    <row r="378" spans="1:14" ht="45" customHeight="1">
      <c r="A378" s="60"/>
      <c r="B378" s="33" t="s">
        <v>49</v>
      </c>
      <c r="C378" s="115" t="s">
        <v>173</v>
      </c>
      <c r="D378" s="115"/>
      <c r="E378" s="11" t="s">
        <v>79</v>
      </c>
      <c r="F378" s="75">
        <v>12.1</v>
      </c>
      <c r="G378" s="101">
        <v>10</v>
      </c>
      <c r="H378" s="83">
        <f t="shared" si="6"/>
        <v>121</v>
      </c>
      <c r="K378" s="1"/>
      <c r="N378" s="82"/>
    </row>
    <row r="379" spans="1:14" ht="45" customHeight="1">
      <c r="A379" s="60"/>
      <c r="B379" s="33" t="s">
        <v>50</v>
      </c>
      <c r="C379" s="115" t="s">
        <v>174</v>
      </c>
      <c r="D379" s="115"/>
      <c r="E379" s="11" t="s">
        <v>79</v>
      </c>
      <c r="F379" s="75">
        <v>62.7</v>
      </c>
      <c r="G379" s="101">
        <v>8</v>
      </c>
      <c r="H379" s="83">
        <f t="shared" si="6"/>
        <v>501.6</v>
      </c>
      <c r="K379" s="1"/>
      <c r="N379" s="82"/>
    </row>
    <row r="380" spans="1:14" ht="15" customHeight="1">
      <c r="A380" s="60"/>
      <c r="B380" s="33" t="s">
        <v>146</v>
      </c>
      <c r="C380" s="115" t="s">
        <v>175</v>
      </c>
      <c r="D380" s="115"/>
      <c r="E380" s="11" t="s">
        <v>17</v>
      </c>
      <c r="F380" s="76">
        <v>1</v>
      </c>
      <c r="G380" s="101">
        <v>15</v>
      </c>
      <c r="H380" s="83">
        <f t="shared" si="6"/>
        <v>15</v>
      </c>
      <c r="K380" s="1"/>
      <c r="N380" s="82"/>
    </row>
    <row r="381" spans="1:14" ht="15" customHeight="1">
      <c r="A381" s="60"/>
      <c r="B381" s="33" t="s">
        <v>147</v>
      </c>
      <c r="C381" s="115" t="s">
        <v>176</v>
      </c>
      <c r="D381" s="115"/>
      <c r="E381" s="11" t="s">
        <v>17</v>
      </c>
      <c r="F381" s="76">
        <v>2</v>
      </c>
      <c r="G381" s="101">
        <v>200</v>
      </c>
      <c r="H381" s="83">
        <f t="shared" si="6"/>
        <v>400</v>
      </c>
      <c r="K381" s="1"/>
      <c r="N381" s="82"/>
    </row>
    <row r="382" spans="1:14" ht="30" customHeight="1">
      <c r="A382" s="60"/>
      <c r="B382" s="33" t="s">
        <v>148</v>
      </c>
      <c r="C382" s="115" t="s">
        <v>177</v>
      </c>
      <c r="D382" s="115"/>
      <c r="E382" s="11" t="s">
        <v>17</v>
      </c>
      <c r="F382" s="76">
        <v>2</v>
      </c>
      <c r="G382" s="101">
        <v>90</v>
      </c>
      <c r="H382" s="83">
        <f t="shared" si="6"/>
        <v>180</v>
      </c>
      <c r="K382" s="1"/>
      <c r="N382" s="82"/>
    </row>
    <row r="383" spans="1:14" ht="30" customHeight="1">
      <c r="A383" s="60"/>
      <c r="B383" s="33" t="s">
        <v>149</v>
      </c>
      <c r="C383" s="115" t="s">
        <v>178</v>
      </c>
      <c r="D383" s="115"/>
      <c r="E383" s="11" t="s">
        <v>17</v>
      </c>
      <c r="F383" s="76">
        <v>2</v>
      </c>
      <c r="G383" s="101">
        <v>70</v>
      </c>
      <c r="H383" s="83">
        <f t="shared" si="6"/>
        <v>140</v>
      </c>
      <c r="K383" s="1"/>
      <c r="N383" s="82"/>
    </row>
    <row r="384" spans="1:14" ht="15" customHeight="1">
      <c r="A384" s="60"/>
      <c r="B384" s="33" t="s">
        <v>150</v>
      </c>
      <c r="C384" s="115" t="s">
        <v>179</v>
      </c>
      <c r="D384" s="115"/>
      <c r="E384" s="11" t="s">
        <v>17</v>
      </c>
      <c r="F384" s="76">
        <v>1</v>
      </c>
      <c r="G384" s="101">
        <v>200</v>
      </c>
      <c r="H384" s="83">
        <f t="shared" si="6"/>
        <v>200</v>
      </c>
      <c r="K384" s="1"/>
      <c r="N384" s="82"/>
    </row>
    <row r="385" spans="1:14" ht="30" customHeight="1">
      <c r="A385" s="60"/>
      <c r="B385" s="33" t="s">
        <v>151</v>
      </c>
      <c r="C385" s="115" t="s">
        <v>180</v>
      </c>
      <c r="D385" s="115"/>
      <c r="E385" s="11" t="s">
        <v>17</v>
      </c>
      <c r="F385" s="76">
        <v>2</v>
      </c>
      <c r="G385" s="101">
        <v>6</v>
      </c>
      <c r="H385" s="83">
        <f t="shared" si="6"/>
        <v>12</v>
      </c>
      <c r="K385" s="1"/>
      <c r="N385" s="82"/>
    </row>
    <row r="386" spans="1:14" ht="30" customHeight="1">
      <c r="A386" s="60"/>
      <c r="B386" s="33" t="s">
        <v>152</v>
      </c>
      <c r="C386" s="115" t="s">
        <v>181</v>
      </c>
      <c r="D386" s="115"/>
      <c r="E386" s="11" t="s">
        <v>17</v>
      </c>
      <c r="F386" s="76">
        <v>1</v>
      </c>
      <c r="G386" s="101">
        <v>15</v>
      </c>
      <c r="H386" s="83">
        <f t="shared" si="6"/>
        <v>15</v>
      </c>
      <c r="K386" s="1"/>
      <c r="N386" s="82"/>
    </row>
    <row r="387" spans="1:14" ht="15" customHeight="1">
      <c r="A387" s="60"/>
      <c r="B387" s="33" t="s">
        <v>153</v>
      </c>
      <c r="C387" s="115" t="s">
        <v>182</v>
      </c>
      <c r="D387" s="115"/>
      <c r="E387" s="11" t="s">
        <v>17</v>
      </c>
      <c r="F387" s="76">
        <v>1</v>
      </c>
      <c r="G387" s="101">
        <v>40</v>
      </c>
      <c r="H387" s="83">
        <f t="shared" si="6"/>
        <v>40</v>
      </c>
      <c r="K387" s="1"/>
      <c r="N387" s="82"/>
    </row>
    <row r="388" spans="1:14" ht="30" customHeight="1">
      <c r="A388" s="60"/>
      <c r="B388" s="33" t="s">
        <v>154</v>
      </c>
      <c r="C388" s="115" t="s">
        <v>183</v>
      </c>
      <c r="D388" s="115"/>
      <c r="E388" s="11" t="s">
        <v>17</v>
      </c>
      <c r="F388" s="76">
        <v>1</v>
      </c>
      <c r="G388" s="101">
        <v>60</v>
      </c>
      <c r="H388" s="83">
        <f t="shared" si="6"/>
        <v>60</v>
      </c>
      <c r="K388" s="1"/>
      <c r="N388" s="82"/>
    </row>
    <row r="389" spans="1:14" ht="30" customHeight="1">
      <c r="A389" s="60"/>
      <c r="B389" s="33" t="s">
        <v>155</v>
      </c>
      <c r="C389" s="115" t="s">
        <v>184</v>
      </c>
      <c r="D389" s="115"/>
      <c r="E389" s="11" t="s">
        <v>17</v>
      </c>
      <c r="F389" s="76">
        <v>1</v>
      </c>
      <c r="G389" s="101">
        <v>40</v>
      </c>
      <c r="H389" s="83">
        <f t="shared" si="6"/>
        <v>40</v>
      </c>
      <c r="K389" s="1"/>
      <c r="N389" s="82"/>
    </row>
    <row r="390" spans="1:14" ht="30" customHeight="1">
      <c r="A390" s="60"/>
      <c r="B390" s="33" t="s">
        <v>156</v>
      </c>
      <c r="C390" s="115" t="s">
        <v>185</v>
      </c>
      <c r="D390" s="115"/>
      <c r="E390" s="11" t="s">
        <v>17</v>
      </c>
      <c r="F390" s="76">
        <v>1</v>
      </c>
      <c r="G390" s="101">
        <v>200</v>
      </c>
      <c r="H390" s="83">
        <f t="shared" si="6"/>
        <v>200</v>
      </c>
      <c r="K390" s="1"/>
      <c r="N390" s="82"/>
    </row>
    <row r="391" spans="1:14" ht="15" customHeight="1">
      <c r="A391" s="60"/>
      <c r="B391" s="33" t="s">
        <v>157</v>
      </c>
      <c r="C391" s="115" t="s">
        <v>186</v>
      </c>
      <c r="D391" s="115"/>
      <c r="E391" s="11" t="s">
        <v>17</v>
      </c>
      <c r="F391" s="76">
        <v>1</v>
      </c>
      <c r="G391" s="101">
        <v>15</v>
      </c>
      <c r="H391" s="83">
        <f t="shared" si="6"/>
        <v>15</v>
      </c>
      <c r="K391" s="1"/>
      <c r="N391" s="82"/>
    </row>
    <row r="392" spans="1:14" ht="30" customHeight="1">
      <c r="A392" s="60"/>
      <c r="B392" s="33" t="s">
        <v>158</v>
      </c>
      <c r="C392" s="115" t="s">
        <v>187</v>
      </c>
      <c r="D392" s="115"/>
      <c r="E392" s="11" t="s">
        <v>17</v>
      </c>
      <c r="F392" s="76">
        <v>1</v>
      </c>
      <c r="G392" s="101">
        <v>18</v>
      </c>
      <c r="H392" s="83">
        <f t="shared" si="6"/>
        <v>18</v>
      </c>
      <c r="K392" s="1"/>
      <c r="N392" s="82"/>
    </row>
    <row r="393" spans="1:14" ht="15" customHeight="1">
      <c r="A393" s="60"/>
      <c r="B393" s="33" t="s">
        <v>159</v>
      </c>
      <c r="C393" s="115" t="s">
        <v>188</v>
      </c>
      <c r="D393" s="115"/>
      <c r="E393" s="11" t="s">
        <v>17</v>
      </c>
      <c r="F393" s="76">
        <v>1</v>
      </c>
      <c r="G393" s="101">
        <v>20</v>
      </c>
      <c r="H393" s="83">
        <f t="shared" si="6"/>
        <v>20</v>
      </c>
      <c r="K393" s="1"/>
      <c r="N393" s="82"/>
    </row>
    <row r="394" spans="1:14" ht="30" customHeight="1">
      <c r="A394" s="60"/>
      <c r="B394" s="33" t="s">
        <v>160</v>
      </c>
      <c r="C394" s="115" t="s">
        <v>189</v>
      </c>
      <c r="D394" s="115"/>
      <c r="E394" s="11" t="s">
        <v>17</v>
      </c>
      <c r="F394" s="76">
        <v>1</v>
      </c>
      <c r="G394" s="101">
        <v>20</v>
      </c>
      <c r="H394" s="83">
        <f t="shared" ref="H394:H457" si="7">ROUND(F394*G394,2)</f>
        <v>20</v>
      </c>
      <c r="K394" s="1"/>
      <c r="N394" s="82"/>
    </row>
    <row r="395" spans="1:14" ht="15" customHeight="1">
      <c r="A395" s="60"/>
      <c r="B395" s="33" t="s">
        <v>161</v>
      </c>
      <c r="C395" s="115" t="s">
        <v>190</v>
      </c>
      <c r="D395" s="115"/>
      <c r="E395" s="11" t="s">
        <v>170</v>
      </c>
      <c r="F395" s="6">
        <v>19.877550000000003</v>
      </c>
      <c r="G395" s="101">
        <v>30</v>
      </c>
      <c r="H395" s="83">
        <f t="shared" si="7"/>
        <v>596.33000000000004</v>
      </c>
      <c r="K395" s="1"/>
      <c r="N395" s="82"/>
    </row>
    <row r="396" spans="1:14" ht="15" customHeight="1">
      <c r="A396" s="60"/>
      <c r="B396" s="33" t="s">
        <v>162</v>
      </c>
      <c r="C396" s="115" t="s">
        <v>191</v>
      </c>
      <c r="D396" s="115"/>
      <c r="E396" s="11" t="s">
        <v>170</v>
      </c>
      <c r="F396" s="6">
        <v>33.129250000000006</v>
      </c>
      <c r="G396" s="101">
        <v>30</v>
      </c>
      <c r="H396" s="83">
        <f t="shared" si="7"/>
        <v>993.88</v>
      </c>
      <c r="K396" s="1"/>
      <c r="N396" s="82"/>
    </row>
    <row r="397" spans="1:14" ht="15" customHeight="1">
      <c r="A397" s="60"/>
      <c r="B397" s="33" t="s">
        <v>163</v>
      </c>
      <c r="C397" s="118" t="s">
        <v>192</v>
      </c>
      <c r="D397" s="118"/>
      <c r="E397" s="11" t="s">
        <v>170</v>
      </c>
      <c r="F397" s="6">
        <v>79.510200000000012</v>
      </c>
      <c r="G397" s="101">
        <v>28</v>
      </c>
      <c r="H397" s="83">
        <f t="shared" si="7"/>
        <v>2226.29</v>
      </c>
      <c r="K397" s="1"/>
      <c r="N397" s="82"/>
    </row>
    <row r="398" spans="1:14" ht="15" customHeight="1">
      <c r="A398" s="60"/>
      <c r="B398" s="33" t="s">
        <v>164</v>
      </c>
      <c r="C398" s="115" t="s">
        <v>193</v>
      </c>
      <c r="D398" s="115"/>
      <c r="E398" s="11" t="s">
        <v>170</v>
      </c>
      <c r="F398" s="6">
        <v>132.51700000000002</v>
      </c>
      <c r="G398" s="101">
        <v>5</v>
      </c>
      <c r="H398" s="83">
        <f t="shared" si="7"/>
        <v>662.59</v>
      </c>
      <c r="K398" s="1"/>
      <c r="N398" s="82"/>
    </row>
    <row r="399" spans="1:14" ht="15" customHeight="1">
      <c r="A399" s="60"/>
      <c r="B399" s="33" t="s">
        <v>165</v>
      </c>
      <c r="C399" s="115" t="s">
        <v>194</v>
      </c>
      <c r="D399" s="115"/>
      <c r="E399" s="11" t="s">
        <v>170</v>
      </c>
      <c r="F399" s="6">
        <v>132.51700000000002</v>
      </c>
      <c r="G399" s="101">
        <v>5</v>
      </c>
      <c r="H399" s="83">
        <f t="shared" si="7"/>
        <v>662.59</v>
      </c>
      <c r="K399" s="1"/>
      <c r="N399" s="82"/>
    </row>
    <row r="400" spans="1:14" ht="15" customHeight="1">
      <c r="A400" s="60"/>
      <c r="B400" s="33" t="s">
        <v>166</v>
      </c>
      <c r="C400" s="115" t="s">
        <v>195</v>
      </c>
      <c r="D400" s="115"/>
      <c r="E400" s="11" t="s">
        <v>79</v>
      </c>
      <c r="F400" s="6">
        <v>94.655000000000015</v>
      </c>
      <c r="G400" s="101">
        <v>1</v>
      </c>
      <c r="H400" s="83">
        <f t="shared" si="7"/>
        <v>94.66</v>
      </c>
      <c r="K400" s="1"/>
      <c r="N400" s="82"/>
    </row>
    <row r="401" spans="1:14" ht="15" customHeight="1">
      <c r="A401" s="60"/>
      <c r="B401" s="33" t="s">
        <v>167</v>
      </c>
      <c r="C401" s="115" t="s">
        <v>196</v>
      </c>
      <c r="D401" s="115"/>
      <c r="E401" s="11" t="s">
        <v>79</v>
      </c>
      <c r="F401" s="6">
        <v>94.655000000000015</v>
      </c>
      <c r="G401" s="101">
        <v>3</v>
      </c>
      <c r="H401" s="83">
        <f t="shared" si="7"/>
        <v>283.97000000000003</v>
      </c>
      <c r="K401" s="1"/>
      <c r="N401" s="82"/>
    </row>
    <row r="402" spans="1:14" ht="15" customHeight="1">
      <c r="A402" s="60"/>
      <c r="B402" s="33" t="s">
        <v>168</v>
      </c>
      <c r="C402" s="115" t="s">
        <v>144</v>
      </c>
      <c r="D402" s="115"/>
      <c r="E402" s="77" t="s">
        <v>79</v>
      </c>
      <c r="F402" s="6">
        <v>94.655000000000015</v>
      </c>
      <c r="G402" s="101">
        <v>1</v>
      </c>
      <c r="H402" s="83">
        <f t="shared" si="7"/>
        <v>94.66</v>
      </c>
      <c r="K402" s="1"/>
      <c r="N402" s="82"/>
    </row>
    <row r="403" spans="1:14" ht="30" customHeight="1">
      <c r="A403" s="60"/>
      <c r="B403" s="33" t="s">
        <v>169</v>
      </c>
      <c r="C403" s="115" t="s">
        <v>145</v>
      </c>
      <c r="D403" s="115"/>
      <c r="E403" s="77" t="s">
        <v>79</v>
      </c>
      <c r="F403" s="6">
        <v>94.655000000000015</v>
      </c>
      <c r="G403" s="101">
        <v>1</v>
      </c>
      <c r="H403" s="83">
        <f t="shared" si="7"/>
        <v>94.66</v>
      </c>
      <c r="K403" s="1"/>
      <c r="N403" s="82"/>
    </row>
    <row r="404" spans="1:14" ht="15" customHeight="1">
      <c r="A404" s="60"/>
      <c r="B404" s="27" t="s">
        <v>42</v>
      </c>
      <c r="C404" s="117" t="s">
        <v>77</v>
      </c>
      <c r="D404" s="117"/>
      <c r="E404" s="25"/>
      <c r="F404" s="25"/>
      <c r="G404" s="98"/>
      <c r="H404" s="86"/>
      <c r="K404" s="1"/>
      <c r="N404" s="82"/>
    </row>
    <row r="405" spans="1:14" ht="45" customHeight="1">
      <c r="A405" s="60"/>
      <c r="B405" s="33" t="s">
        <v>53</v>
      </c>
      <c r="C405" s="115" t="s">
        <v>202</v>
      </c>
      <c r="D405" s="115"/>
      <c r="E405" s="77" t="s">
        <v>79</v>
      </c>
      <c r="F405" s="75">
        <v>5.3</v>
      </c>
      <c r="G405" s="101">
        <v>15</v>
      </c>
      <c r="H405" s="83">
        <f t="shared" si="7"/>
        <v>79.5</v>
      </c>
      <c r="K405" s="1"/>
      <c r="N405" s="82"/>
    </row>
    <row r="406" spans="1:14" ht="45" customHeight="1">
      <c r="A406" s="60"/>
      <c r="B406" s="33" t="s">
        <v>55</v>
      </c>
      <c r="C406" s="115" t="s">
        <v>203</v>
      </c>
      <c r="D406" s="115"/>
      <c r="E406" s="77" t="s">
        <v>79</v>
      </c>
      <c r="F406" s="75">
        <v>79.599999999999994</v>
      </c>
      <c r="G406" s="101">
        <v>25</v>
      </c>
      <c r="H406" s="83">
        <f t="shared" si="7"/>
        <v>1990</v>
      </c>
      <c r="K406" s="1"/>
      <c r="N406" s="82"/>
    </row>
    <row r="407" spans="1:14" ht="30" customHeight="1">
      <c r="A407" s="60"/>
      <c r="B407" s="33" t="s">
        <v>56</v>
      </c>
      <c r="C407" s="115" t="s">
        <v>204</v>
      </c>
      <c r="D407" s="115"/>
      <c r="E407" s="11" t="s">
        <v>17</v>
      </c>
      <c r="F407" s="76">
        <v>1</v>
      </c>
      <c r="G407" s="101">
        <v>30</v>
      </c>
      <c r="H407" s="83">
        <f t="shared" si="7"/>
        <v>30</v>
      </c>
      <c r="K407" s="1"/>
      <c r="N407" s="82"/>
    </row>
    <row r="408" spans="1:14" ht="60" customHeight="1">
      <c r="A408" s="60"/>
      <c r="B408" s="33" t="s">
        <v>58</v>
      </c>
      <c r="C408" s="116" t="s">
        <v>205</v>
      </c>
      <c r="D408" s="116"/>
      <c r="E408" s="11" t="s">
        <v>17</v>
      </c>
      <c r="F408" s="76">
        <v>4</v>
      </c>
      <c r="G408" s="101">
        <v>230</v>
      </c>
      <c r="H408" s="83">
        <f t="shared" si="7"/>
        <v>920</v>
      </c>
      <c r="K408" s="1"/>
      <c r="N408" s="82"/>
    </row>
    <row r="409" spans="1:14" ht="60" customHeight="1">
      <c r="A409" s="60"/>
      <c r="B409" s="33" t="s">
        <v>60</v>
      </c>
      <c r="C409" s="116" t="s">
        <v>206</v>
      </c>
      <c r="D409" s="116"/>
      <c r="E409" s="11" t="s">
        <v>17</v>
      </c>
      <c r="F409" s="76">
        <v>1</v>
      </c>
      <c r="G409" s="101">
        <v>210</v>
      </c>
      <c r="H409" s="83">
        <f t="shared" si="7"/>
        <v>210</v>
      </c>
      <c r="K409" s="1"/>
      <c r="N409" s="82"/>
    </row>
    <row r="410" spans="1:14" ht="30" customHeight="1">
      <c r="A410" s="60"/>
      <c r="B410" s="33" t="s">
        <v>197</v>
      </c>
      <c r="C410" s="116" t="s">
        <v>207</v>
      </c>
      <c r="D410" s="116"/>
      <c r="E410" s="77" t="s">
        <v>79</v>
      </c>
      <c r="F410" s="6">
        <v>104.61000000000001</v>
      </c>
      <c r="G410" s="101">
        <v>2</v>
      </c>
      <c r="H410" s="83">
        <f t="shared" si="7"/>
        <v>209.22</v>
      </c>
      <c r="K410" s="1"/>
      <c r="N410" s="82"/>
    </row>
    <row r="411" spans="1:14" ht="15" customHeight="1">
      <c r="A411" s="60"/>
      <c r="B411" s="33" t="s">
        <v>198</v>
      </c>
      <c r="C411" s="115" t="s">
        <v>190</v>
      </c>
      <c r="D411" s="115"/>
      <c r="E411" s="11" t="s">
        <v>170</v>
      </c>
      <c r="F411" s="6">
        <v>15.691500000000001</v>
      </c>
      <c r="G411" s="101">
        <v>30</v>
      </c>
      <c r="H411" s="83">
        <f t="shared" si="7"/>
        <v>470.75</v>
      </c>
      <c r="K411" s="1"/>
      <c r="N411" s="82"/>
    </row>
    <row r="412" spans="1:14" ht="15" customHeight="1">
      <c r="A412" s="60"/>
      <c r="B412" s="33" t="s">
        <v>200</v>
      </c>
      <c r="C412" s="115" t="s">
        <v>191</v>
      </c>
      <c r="D412" s="115"/>
      <c r="E412" s="11" t="s">
        <v>170</v>
      </c>
      <c r="F412" s="6">
        <v>26.152500000000003</v>
      </c>
      <c r="G412" s="101">
        <v>30</v>
      </c>
      <c r="H412" s="83">
        <f t="shared" si="7"/>
        <v>784.58</v>
      </c>
      <c r="K412" s="1"/>
      <c r="N412" s="82"/>
    </row>
    <row r="413" spans="1:14" ht="15" customHeight="1">
      <c r="A413" s="60"/>
      <c r="B413" s="33" t="s">
        <v>199</v>
      </c>
      <c r="C413" s="115" t="s">
        <v>192</v>
      </c>
      <c r="D413" s="115"/>
      <c r="E413" s="11" t="s">
        <v>170</v>
      </c>
      <c r="F413" s="6">
        <v>576.35599999999999</v>
      </c>
      <c r="G413" s="101">
        <v>25</v>
      </c>
      <c r="H413" s="83">
        <f t="shared" si="7"/>
        <v>14408.9</v>
      </c>
      <c r="K413" s="1"/>
      <c r="N413" s="82"/>
    </row>
    <row r="414" spans="1:14" ht="15" customHeight="1">
      <c r="A414" s="60"/>
      <c r="B414" s="33" t="s">
        <v>200</v>
      </c>
      <c r="C414" s="115" t="s">
        <v>208</v>
      </c>
      <c r="D414" s="115"/>
      <c r="E414" s="11" t="s">
        <v>170</v>
      </c>
      <c r="F414" s="6">
        <v>618.20000000000005</v>
      </c>
      <c r="G414" s="101">
        <v>10</v>
      </c>
      <c r="H414" s="83">
        <f t="shared" si="7"/>
        <v>6182</v>
      </c>
      <c r="K414" s="1"/>
      <c r="N414" s="82"/>
    </row>
    <row r="415" spans="1:14" ht="15" customHeight="1">
      <c r="A415" s="60"/>
      <c r="B415" s="33" t="s">
        <v>201</v>
      </c>
      <c r="C415" s="115" t="s">
        <v>194</v>
      </c>
      <c r="D415" s="115"/>
      <c r="E415" s="11" t="s">
        <v>170</v>
      </c>
      <c r="F415" s="6">
        <v>618.20000000000005</v>
      </c>
      <c r="G415" s="101">
        <v>5</v>
      </c>
      <c r="H415" s="83">
        <f t="shared" si="7"/>
        <v>3091</v>
      </c>
      <c r="K415" s="1"/>
      <c r="N415" s="82"/>
    </row>
    <row r="416" spans="1:14">
      <c r="A416" s="60"/>
      <c r="B416" s="13" t="s">
        <v>7</v>
      </c>
      <c r="C416" s="21" t="s">
        <v>40</v>
      </c>
      <c r="D416" s="78"/>
      <c r="E416" s="78"/>
      <c r="F416" s="78"/>
      <c r="G416" s="108"/>
      <c r="H416" s="90"/>
      <c r="K416" s="1"/>
      <c r="N416" s="82"/>
    </row>
    <row r="417" spans="1:14" ht="15" customHeight="1">
      <c r="A417" s="60"/>
      <c r="B417" s="24" t="s">
        <v>41</v>
      </c>
      <c r="C417" s="113" t="s">
        <v>82</v>
      </c>
      <c r="D417" s="113"/>
      <c r="E417" s="45"/>
      <c r="F417" s="45"/>
      <c r="G417" s="102"/>
      <c r="H417" s="88"/>
      <c r="K417" s="1"/>
      <c r="N417" s="82"/>
    </row>
    <row r="418" spans="1:14" ht="15" customHeight="1">
      <c r="A418" s="60"/>
      <c r="B418" s="33" t="s">
        <v>9</v>
      </c>
      <c r="C418" s="112" t="s">
        <v>83</v>
      </c>
      <c r="D418" s="112"/>
      <c r="E418" s="4" t="s">
        <v>79</v>
      </c>
      <c r="F418" s="4">
        <v>350</v>
      </c>
      <c r="G418" s="103">
        <v>1</v>
      </c>
      <c r="H418" s="83">
        <f t="shared" si="7"/>
        <v>350</v>
      </c>
      <c r="K418" s="1"/>
      <c r="N418" s="82"/>
    </row>
    <row r="419" spans="1:14" ht="30" customHeight="1">
      <c r="A419" s="60"/>
      <c r="B419" s="33" t="s">
        <v>10</v>
      </c>
      <c r="C419" s="112" t="s">
        <v>84</v>
      </c>
      <c r="D419" s="112"/>
      <c r="E419" s="4" t="s">
        <v>79</v>
      </c>
      <c r="F419" s="4">
        <v>350</v>
      </c>
      <c r="G419" s="103">
        <v>9.5</v>
      </c>
      <c r="H419" s="83">
        <f t="shared" si="7"/>
        <v>3325</v>
      </c>
      <c r="K419" s="1"/>
      <c r="N419" s="82"/>
    </row>
    <row r="420" spans="1:14" ht="30" customHeight="1">
      <c r="A420" s="60"/>
      <c r="B420" s="33" t="s">
        <v>11</v>
      </c>
      <c r="C420" s="112" t="s">
        <v>85</v>
      </c>
      <c r="D420" s="112"/>
      <c r="E420" s="4" t="s">
        <v>17</v>
      </c>
      <c r="F420" s="4">
        <v>25</v>
      </c>
      <c r="G420" s="103">
        <v>40.9</v>
      </c>
      <c r="H420" s="83">
        <f t="shared" si="7"/>
        <v>1022.5</v>
      </c>
      <c r="K420" s="1"/>
      <c r="N420" s="82"/>
    </row>
    <row r="421" spans="1:14" ht="15" customHeight="1">
      <c r="A421" s="60"/>
      <c r="B421" s="33" t="s">
        <v>18</v>
      </c>
      <c r="C421" s="112" t="s">
        <v>86</v>
      </c>
      <c r="D421" s="112"/>
      <c r="E421" s="4" t="s">
        <v>79</v>
      </c>
      <c r="F421" s="4">
        <v>850</v>
      </c>
      <c r="G421" s="103">
        <v>3.01</v>
      </c>
      <c r="H421" s="83">
        <f t="shared" si="7"/>
        <v>2558.5</v>
      </c>
      <c r="K421" s="1"/>
      <c r="N421" s="82"/>
    </row>
    <row r="422" spans="1:14" ht="15" customHeight="1">
      <c r="A422" s="60"/>
      <c r="B422" s="33" t="s">
        <v>19</v>
      </c>
      <c r="C422" s="112" t="s">
        <v>86</v>
      </c>
      <c r="D422" s="112"/>
      <c r="E422" s="4" t="s">
        <v>79</v>
      </c>
      <c r="F422" s="4">
        <v>200</v>
      </c>
      <c r="G422" s="103">
        <v>2.35</v>
      </c>
      <c r="H422" s="83">
        <f t="shared" si="7"/>
        <v>470</v>
      </c>
      <c r="K422" s="1"/>
      <c r="N422" s="82"/>
    </row>
    <row r="423" spans="1:14" ht="15" customHeight="1">
      <c r="A423" s="60"/>
      <c r="B423" s="33" t="s">
        <v>20</v>
      </c>
      <c r="C423" s="112" t="s">
        <v>87</v>
      </c>
      <c r="D423" s="112"/>
      <c r="E423" s="4" t="s">
        <v>79</v>
      </c>
      <c r="F423" s="4">
        <v>400</v>
      </c>
      <c r="G423" s="103">
        <v>0.31</v>
      </c>
      <c r="H423" s="83">
        <f t="shared" si="7"/>
        <v>124</v>
      </c>
      <c r="K423" s="1"/>
      <c r="N423" s="82"/>
    </row>
    <row r="424" spans="1:14" ht="45" customHeight="1">
      <c r="A424" s="60"/>
      <c r="B424" s="33" t="s">
        <v>21</v>
      </c>
      <c r="C424" s="112" t="s">
        <v>88</v>
      </c>
      <c r="D424" s="112"/>
      <c r="E424" s="4" t="s">
        <v>17</v>
      </c>
      <c r="F424" s="4">
        <v>19</v>
      </c>
      <c r="G424" s="103">
        <v>76.7</v>
      </c>
      <c r="H424" s="83">
        <f t="shared" si="7"/>
        <v>1457.3</v>
      </c>
      <c r="K424" s="1"/>
      <c r="N424" s="82"/>
    </row>
    <row r="425" spans="1:14" ht="45" customHeight="1">
      <c r="A425" s="60"/>
      <c r="B425" s="33" t="s">
        <v>22</v>
      </c>
      <c r="C425" s="112" t="s">
        <v>745</v>
      </c>
      <c r="D425" s="112"/>
      <c r="E425" s="4" t="s">
        <v>17</v>
      </c>
      <c r="F425" s="79">
        <v>19</v>
      </c>
      <c r="G425" s="103">
        <v>470.4</v>
      </c>
      <c r="H425" s="83">
        <f t="shared" si="7"/>
        <v>8937.6</v>
      </c>
      <c r="K425" s="1"/>
      <c r="N425" s="82"/>
    </row>
    <row r="426" spans="1:14" ht="45" customHeight="1">
      <c r="A426" s="60"/>
      <c r="B426" s="33" t="s">
        <v>23</v>
      </c>
      <c r="C426" s="112" t="s">
        <v>89</v>
      </c>
      <c r="D426" s="112"/>
      <c r="E426" s="4" t="s">
        <v>17</v>
      </c>
      <c r="F426" s="4">
        <v>19</v>
      </c>
      <c r="G426" s="103">
        <v>51.13</v>
      </c>
      <c r="H426" s="83">
        <f t="shared" si="7"/>
        <v>971.47</v>
      </c>
      <c r="K426" s="1"/>
      <c r="N426" s="82"/>
    </row>
    <row r="427" spans="1:14">
      <c r="A427" s="60"/>
      <c r="B427" s="33" t="s">
        <v>24</v>
      </c>
      <c r="C427" s="112" t="s">
        <v>90</v>
      </c>
      <c r="D427" s="112"/>
      <c r="E427" s="4" t="s">
        <v>79</v>
      </c>
      <c r="F427" s="4">
        <v>100</v>
      </c>
      <c r="G427" s="103">
        <v>2.66</v>
      </c>
      <c r="H427" s="83">
        <f t="shared" si="7"/>
        <v>266</v>
      </c>
      <c r="K427" s="1"/>
      <c r="N427" s="82"/>
    </row>
    <row r="428" spans="1:14" ht="15" customHeight="1">
      <c r="A428" s="60"/>
      <c r="B428" s="33" t="s">
        <v>25</v>
      </c>
      <c r="C428" s="112" t="s">
        <v>91</v>
      </c>
      <c r="D428" s="112"/>
      <c r="E428" s="4" t="s">
        <v>79</v>
      </c>
      <c r="F428" s="4">
        <v>350</v>
      </c>
      <c r="G428" s="103">
        <v>3.98</v>
      </c>
      <c r="H428" s="83">
        <f t="shared" si="7"/>
        <v>1393</v>
      </c>
      <c r="K428" s="1"/>
      <c r="N428" s="82"/>
    </row>
    <row r="429" spans="1:14" ht="30" customHeight="1">
      <c r="A429" s="60"/>
      <c r="B429" s="33" t="s">
        <v>26</v>
      </c>
      <c r="C429" s="112" t="s">
        <v>92</v>
      </c>
      <c r="D429" s="112"/>
      <c r="E429" s="4" t="s">
        <v>17</v>
      </c>
      <c r="F429" s="4">
        <v>1</v>
      </c>
      <c r="G429" s="103">
        <v>2100</v>
      </c>
      <c r="H429" s="83">
        <f t="shared" si="7"/>
        <v>2100</v>
      </c>
      <c r="K429" s="1"/>
      <c r="N429" s="82"/>
    </row>
    <row r="430" spans="1:14" ht="30" customHeight="1">
      <c r="A430" s="60"/>
      <c r="B430" s="33" t="s">
        <v>37</v>
      </c>
      <c r="C430" s="112" t="s">
        <v>93</v>
      </c>
      <c r="D430" s="112"/>
      <c r="E430" s="4" t="s">
        <v>17</v>
      </c>
      <c r="F430" s="4">
        <v>1</v>
      </c>
      <c r="G430" s="103">
        <v>1750</v>
      </c>
      <c r="H430" s="83">
        <f t="shared" si="7"/>
        <v>1750</v>
      </c>
      <c r="K430" s="1"/>
      <c r="N430" s="82"/>
    </row>
    <row r="431" spans="1:14" ht="15" customHeight="1">
      <c r="A431" s="60"/>
      <c r="B431" s="33" t="s">
        <v>100</v>
      </c>
      <c r="C431" s="112" t="s">
        <v>94</v>
      </c>
      <c r="D431" s="112"/>
      <c r="E431" s="4" t="s">
        <v>79</v>
      </c>
      <c r="F431" s="4">
        <v>40</v>
      </c>
      <c r="G431" s="103">
        <v>14.39</v>
      </c>
      <c r="H431" s="83">
        <f t="shared" si="7"/>
        <v>575.6</v>
      </c>
      <c r="K431" s="1"/>
      <c r="N431" s="82"/>
    </row>
    <row r="432" spans="1:14" ht="45" customHeight="1">
      <c r="A432" s="60"/>
      <c r="B432" s="33" t="s">
        <v>101</v>
      </c>
      <c r="C432" s="112" t="s">
        <v>95</v>
      </c>
      <c r="D432" s="112"/>
      <c r="E432" s="4" t="s">
        <v>17</v>
      </c>
      <c r="F432" s="4">
        <v>15</v>
      </c>
      <c r="G432" s="103">
        <v>127.82</v>
      </c>
      <c r="H432" s="83">
        <f t="shared" si="7"/>
        <v>1917.3</v>
      </c>
      <c r="K432" s="1"/>
      <c r="N432" s="82"/>
    </row>
    <row r="433" spans="1:68" ht="30" customHeight="1">
      <c r="A433" s="60"/>
      <c r="B433" s="33" t="s">
        <v>102</v>
      </c>
      <c r="C433" s="112" t="s">
        <v>96</v>
      </c>
      <c r="D433" s="112"/>
      <c r="E433" s="4" t="s">
        <v>17</v>
      </c>
      <c r="F433" s="4">
        <v>12</v>
      </c>
      <c r="G433" s="103">
        <v>11.25</v>
      </c>
      <c r="H433" s="83">
        <f t="shared" si="7"/>
        <v>135</v>
      </c>
      <c r="K433" s="1"/>
      <c r="N433" s="82"/>
    </row>
    <row r="434" spans="1:68" ht="30" customHeight="1">
      <c r="A434" s="60"/>
      <c r="B434" s="33" t="s">
        <v>103</v>
      </c>
      <c r="C434" s="112" t="s">
        <v>97</v>
      </c>
      <c r="D434" s="112"/>
      <c r="E434" s="4" t="s">
        <v>17</v>
      </c>
      <c r="F434" s="4">
        <v>3</v>
      </c>
      <c r="G434" s="103">
        <v>10.23</v>
      </c>
      <c r="H434" s="83">
        <f t="shared" si="7"/>
        <v>30.69</v>
      </c>
      <c r="K434" s="1"/>
      <c r="N434" s="82"/>
    </row>
    <row r="435" spans="1:68" ht="45" customHeight="1">
      <c r="A435" s="60"/>
      <c r="B435" s="33" t="s">
        <v>104</v>
      </c>
      <c r="C435" s="112" t="s">
        <v>98</v>
      </c>
      <c r="D435" s="112"/>
      <c r="E435" s="4" t="s">
        <v>17</v>
      </c>
      <c r="F435" s="4">
        <v>12</v>
      </c>
      <c r="G435" s="103">
        <v>25.56</v>
      </c>
      <c r="H435" s="83">
        <f t="shared" si="7"/>
        <v>306.72000000000003</v>
      </c>
      <c r="K435" s="1"/>
      <c r="N435" s="82"/>
    </row>
    <row r="436" spans="1:68" ht="45" customHeight="1">
      <c r="A436" s="60"/>
      <c r="B436" s="33" t="s">
        <v>105</v>
      </c>
      <c r="C436" s="112" t="s">
        <v>99</v>
      </c>
      <c r="D436" s="112"/>
      <c r="E436" s="4" t="s">
        <v>129</v>
      </c>
      <c r="F436" s="4">
        <v>1</v>
      </c>
      <c r="G436" s="103">
        <v>510</v>
      </c>
      <c r="H436" s="83">
        <f t="shared" si="7"/>
        <v>510</v>
      </c>
      <c r="K436" s="1"/>
      <c r="N436" s="82"/>
    </row>
    <row r="437" spans="1:68">
      <c r="A437" s="60"/>
      <c r="B437" s="24" t="s">
        <v>42</v>
      </c>
      <c r="C437" s="113" t="s">
        <v>81</v>
      </c>
      <c r="D437" s="113"/>
      <c r="E437" s="45"/>
      <c r="F437" s="45"/>
      <c r="G437" s="102"/>
      <c r="H437" s="88"/>
      <c r="K437" s="1"/>
      <c r="N437" s="82"/>
    </row>
    <row r="438" spans="1:68">
      <c r="A438" s="60"/>
      <c r="B438" s="33" t="s">
        <v>44</v>
      </c>
      <c r="C438" s="114" t="s">
        <v>106</v>
      </c>
      <c r="D438" s="114"/>
      <c r="E438" s="3" t="s">
        <v>17</v>
      </c>
      <c r="F438" s="4">
        <v>7</v>
      </c>
      <c r="G438" s="101">
        <v>412.56</v>
      </c>
      <c r="H438" s="83">
        <f t="shared" si="7"/>
        <v>2887.92</v>
      </c>
      <c r="K438" s="1"/>
      <c r="N438" s="82"/>
    </row>
    <row r="439" spans="1:68">
      <c r="A439" s="60"/>
      <c r="B439" s="33" t="s">
        <v>45</v>
      </c>
      <c r="C439" s="114" t="s">
        <v>107</v>
      </c>
      <c r="D439" s="114"/>
      <c r="E439" s="3" t="s">
        <v>17</v>
      </c>
      <c r="F439" s="4">
        <v>1</v>
      </c>
      <c r="G439" s="101">
        <v>1478</v>
      </c>
      <c r="H439" s="83">
        <f t="shared" si="7"/>
        <v>1478</v>
      </c>
      <c r="K439" s="1"/>
      <c r="N439" s="82"/>
    </row>
    <row r="440" spans="1:68" ht="15" customHeight="1">
      <c r="A440" s="60"/>
      <c r="B440" s="33" t="s">
        <v>46</v>
      </c>
      <c r="C440" s="112" t="s">
        <v>108</v>
      </c>
      <c r="D440" s="112"/>
      <c r="E440" s="11" t="s">
        <v>17</v>
      </c>
      <c r="F440" s="4">
        <v>1</v>
      </c>
      <c r="G440" s="101">
        <v>175.12</v>
      </c>
      <c r="H440" s="83">
        <f t="shared" si="7"/>
        <v>175.12</v>
      </c>
      <c r="K440" s="1"/>
      <c r="N440" s="82"/>
    </row>
    <row r="441" spans="1:68" ht="45" customHeight="1">
      <c r="A441" s="60"/>
      <c r="B441" s="33" t="s">
        <v>118</v>
      </c>
      <c r="C441" s="112" t="s">
        <v>109</v>
      </c>
      <c r="D441" s="112"/>
      <c r="E441" s="11" t="s">
        <v>17</v>
      </c>
      <c r="F441" s="4">
        <v>1</v>
      </c>
      <c r="G441" s="101">
        <v>102.26</v>
      </c>
      <c r="H441" s="83">
        <f t="shared" si="7"/>
        <v>102.26</v>
      </c>
      <c r="K441" s="1"/>
      <c r="N441" s="82"/>
    </row>
    <row r="442" spans="1:68" ht="192" customHeight="1">
      <c r="A442" s="60"/>
      <c r="B442" s="33" t="s">
        <v>119</v>
      </c>
      <c r="C442" s="112" t="s">
        <v>110</v>
      </c>
      <c r="D442" s="112"/>
      <c r="E442" s="11" t="s">
        <v>17</v>
      </c>
      <c r="F442" s="4">
        <v>1</v>
      </c>
      <c r="G442" s="101">
        <v>434.6</v>
      </c>
      <c r="H442" s="83">
        <f t="shared" si="7"/>
        <v>434.6</v>
      </c>
      <c r="K442" s="1"/>
      <c r="N442" s="82"/>
    </row>
    <row r="443" spans="1:68" s="80" customFormat="1">
      <c r="A443" s="60"/>
      <c r="B443" s="33" t="s">
        <v>120</v>
      </c>
      <c r="C443" s="112" t="s">
        <v>827</v>
      </c>
      <c r="D443" s="112"/>
      <c r="E443" s="11" t="s">
        <v>17</v>
      </c>
      <c r="F443" s="4">
        <v>1</v>
      </c>
      <c r="G443" s="101">
        <v>800</v>
      </c>
      <c r="H443" s="83">
        <f t="shared" si="7"/>
        <v>800</v>
      </c>
      <c r="I443" s="14"/>
      <c r="J443" s="14"/>
      <c r="K443" s="1"/>
      <c r="L443" s="14"/>
      <c r="M443" s="14"/>
      <c r="N443" s="82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</row>
    <row r="444" spans="1:68" ht="15" customHeight="1">
      <c r="A444" s="60"/>
      <c r="B444" s="33" t="s">
        <v>121</v>
      </c>
      <c r="C444" s="112" t="s">
        <v>111</v>
      </c>
      <c r="D444" s="112"/>
      <c r="E444" s="11" t="s">
        <v>17</v>
      </c>
      <c r="F444" s="4">
        <v>1</v>
      </c>
      <c r="G444" s="101">
        <v>357.91</v>
      </c>
      <c r="H444" s="83">
        <f t="shared" si="7"/>
        <v>357.91</v>
      </c>
      <c r="K444" s="1"/>
      <c r="N444" s="82"/>
    </row>
    <row r="445" spans="1:68" ht="15" customHeight="1">
      <c r="A445" s="60"/>
      <c r="B445" s="33" t="s">
        <v>122</v>
      </c>
      <c r="C445" s="112" t="s">
        <v>112</v>
      </c>
      <c r="D445" s="112"/>
      <c r="E445" s="4" t="s">
        <v>79</v>
      </c>
      <c r="F445" s="4">
        <v>640</v>
      </c>
      <c r="G445" s="101">
        <v>2.34</v>
      </c>
      <c r="H445" s="83">
        <f t="shared" si="7"/>
        <v>1497.6</v>
      </c>
      <c r="K445" s="1"/>
      <c r="N445" s="82"/>
    </row>
    <row r="446" spans="1:68" ht="30.75" customHeight="1">
      <c r="A446" s="60"/>
      <c r="B446" s="33" t="s">
        <v>123</v>
      </c>
      <c r="C446" s="112" t="s">
        <v>828</v>
      </c>
      <c r="D446" s="112"/>
      <c r="E446" s="4" t="s">
        <v>79</v>
      </c>
      <c r="F446" s="4">
        <v>40</v>
      </c>
      <c r="G446" s="101">
        <v>2.0699999999999998</v>
      </c>
      <c r="H446" s="83">
        <f t="shared" si="7"/>
        <v>82.8</v>
      </c>
      <c r="K446" s="1"/>
      <c r="N446" s="82"/>
    </row>
    <row r="447" spans="1:68" ht="15" customHeight="1">
      <c r="A447" s="60"/>
      <c r="B447" s="33" t="s">
        <v>124</v>
      </c>
      <c r="C447" s="112" t="s">
        <v>113</v>
      </c>
      <c r="D447" s="112"/>
      <c r="E447" s="4" t="s">
        <v>79</v>
      </c>
      <c r="F447" s="4">
        <v>40</v>
      </c>
      <c r="G447" s="101">
        <v>1.78</v>
      </c>
      <c r="H447" s="83">
        <f t="shared" si="7"/>
        <v>71.2</v>
      </c>
      <c r="K447" s="1"/>
      <c r="N447" s="82"/>
    </row>
    <row r="448" spans="1:68" ht="30" customHeight="1">
      <c r="A448" s="60"/>
      <c r="B448" s="33" t="s">
        <v>125</v>
      </c>
      <c r="C448" s="112" t="s">
        <v>114</v>
      </c>
      <c r="D448" s="112"/>
      <c r="E448" s="11" t="s">
        <v>17</v>
      </c>
      <c r="F448" s="4">
        <v>7</v>
      </c>
      <c r="G448" s="101">
        <v>15.34</v>
      </c>
      <c r="H448" s="83">
        <f t="shared" si="7"/>
        <v>107.38</v>
      </c>
      <c r="K448" s="1"/>
      <c r="N448" s="82"/>
    </row>
    <row r="449" spans="1:14" ht="50.1" customHeight="1">
      <c r="A449" s="60"/>
      <c r="B449" s="33" t="s">
        <v>126</v>
      </c>
      <c r="C449" s="112" t="s">
        <v>115</v>
      </c>
      <c r="D449" s="112"/>
      <c r="E449" s="11" t="s">
        <v>17</v>
      </c>
      <c r="F449" s="4">
        <v>1</v>
      </c>
      <c r="G449" s="101">
        <v>1278.25</v>
      </c>
      <c r="H449" s="83">
        <f t="shared" si="7"/>
        <v>1278.25</v>
      </c>
      <c r="K449" s="1"/>
      <c r="N449" s="82"/>
    </row>
    <row r="450" spans="1:14" ht="15" customHeight="1">
      <c r="A450" s="60"/>
      <c r="B450" s="33" t="s">
        <v>127</v>
      </c>
      <c r="C450" s="112" t="s">
        <v>116</v>
      </c>
      <c r="D450" s="112"/>
      <c r="E450" s="11" t="s">
        <v>17</v>
      </c>
      <c r="F450" s="4">
        <v>1</v>
      </c>
      <c r="G450" s="101">
        <v>1278.25</v>
      </c>
      <c r="H450" s="83">
        <f t="shared" si="7"/>
        <v>1278.25</v>
      </c>
      <c r="K450" s="1"/>
      <c r="N450" s="82"/>
    </row>
    <row r="451" spans="1:14" ht="15" customHeight="1">
      <c r="A451" s="60"/>
      <c r="B451" s="33" t="s">
        <v>128</v>
      </c>
      <c r="C451" s="112" t="s">
        <v>117</v>
      </c>
      <c r="D451" s="112"/>
      <c r="E451" s="11" t="s">
        <v>17</v>
      </c>
      <c r="F451" s="4">
        <v>1</v>
      </c>
      <c r="G451" s="101">
        <v>255.65</v>
      </c>
      <c r="H451" s="83">
        <f t="shared" si="7"/>
        <v>255.65</v>
      </c>
      <c r="K451" s="1"/>
      <c r="N451" s="82"/>
    </row>
    <row r="452" spans="1:14" ht="15" customHeight="1">
      <c r="A452" s="60"/>
      <c r="B452" s="24" t="s">
        <v>47</v>
      </c>
      <c r="C452" s="113" t="s">
        <v>80</v>
      </c>
      <c r="D452" s="113"/>
      <c r="E452" s="45"/>
      <c r="F452" s="45"/>
      <c r="G452" s="102"/>
      <c r="H452" s="83">
        <f t="shared" si="7"/>
        <v>0</v>
      </c>
      <c r="K452" s="1"/>
      <c r="N452" s="82"/>
    </row>
    <row r="453" spans="1:14" ht="30" customHeight="1">
      <c r="A453" s="60"/>
      <c r="B453" s="33" t="s">
        <v>48</v>
      </c>
      <c r="C453" s="112" t="s">
        <v>130</v>
      </c>
      <c r="D453" s="112"/>
      <c r="E453" s="4" t="s">
        <v>17</v>
      </c>
      <c r="F453" s="4">
        <v>24</v>
      </c>
      <c r="G453" s="101">
        <v>83.55</v>
      </c>
      <c r="H453" s="83">
        <f t="shared" si="7"/>
        <v>2005.2</v>
      </c>
      <c r="K453" s="1"/>
      <c r="N453" s="82"/>
    </row>
    <row r="454" spans="1:14" ht="15" customHeight="1">
      <c r="A454" s="60"/>
      <c r="B454" s="33" t="s">
        <v>49</v>
      </c>
      <c r="C454" s="112" t="s">
        <v>131</v>
      </c>
      <c r="D454" s="112"/>
      <c r="E454" s="4" t="s">
        <v>17</v>
      </c>
      <c r="F454" s="4">
        <v>1</v>
      </c>
      <c r="G454" s="101">
        <v>3480</v>
      </c>
      <c r="H454" s="83">
        <f t="shared" si="7"/>
        <v>3480</v>
      </c>
      <c r="K454" s="1"/>
      <c r="N454" s="82"/>
    </row>
    <row r="455" spans="1:14" ht="30" customHeight="1">
      <c r="A455" s="60"/>
      <c r="B455" s="33" t="s">
        <v>50</v>
      </c>
      <c r="C455" s="112" t="s">
        <v>132</v>
      </c>
      <c r="D455" s="112"/>
      <c r="E455" s="4" t="s">
        <v>79</v>
      </c>
      <c r="F455" s="4">
        <v>250</v>
      </c>
      <c r="G455" s="101">
        <v>3.26</v>
      </c>
      <c r="H455" s="83">
        <f t="shared" si="7"/>
        <v>815</v>
      </c>
      <c r="K455" s="1"/>
      <c r="N455" s="82"/>
    </row>
    <row r="456" spans="1:14" ht="30" customHeight="1">
      <c r="A456" s="60"/>
      <c r="B456" s="33" t="s">
        <v>146</v>
      </c>
      <c r="C456" s="112" t="s">
        <v>133</v>
      </c>
      <c r="D456" s="112"/>
      <c r="E456" s="4" t="s">
        <v>129</v>
      </c>
      <c r="F456" s="4">
        <v>2</v>
      </c>
      <c r="G456" s="101">
        <v>15</v>
      </c>
      <c r="H456" s="83">
        <f t="shared" si="7"/>
        <v>30</v>
      </c>
      <c r="K456" s="1"/>
      <c r="N456" s="82"/>
    </row>
    <row r="457" spans="1:14" ht="30" customHeight="1">
      <c r="A457" s="60"/>
      <c r="B457" s="33" t="s">
        <v>147</v>
      </c>
      <c r="C457" s="112" t="s">
        <v>134</v>
      </c>
      <c r="D457" s="112"/>
      <c r="E457" s="4" t="s">
        <v>79</v>
      </c>
      <c r="F457" s="4">
        <v>100</v>
      </c>
      <c r="G457" s="101">
        <v>3.2</v>
      </c>
      <c r="H457" s="83">
        <f t="shared" si="7"/>
        <v>320</v>
      </c>
      <c r="K457" s="1"/>
      <c r="N457" s="82"/>
    </row>
    <row r="458" spans="1:14" ht="30" customHeight="1">
      <c r="A458" s="60"/>
      <c r="B458" s="33" t="s">
        <v>148</v>
      </c>
      <c r="C458" s="112" t="s">
        <v>135</v>
      </c>
      <c r="D458" s="112"/>
      <c r="E458" s="4" t="s">
        <v>79</v>
      </c>
      <c r="F458" s="4">
        <v>1</v>
      </c>
      <c r="G458" s="101">
        <v>10.39</v>
      </c>
      <c r="H458" s="83">
        <f t="shared" ref="H458:H464" si="8">ROUND(F458*G458,2)</f>
        <v>10.39</v>
      </c>
      <c r="K458" s="1"/>
      <c r="N458" s="82"/>
    </row>
    <row r="459" spans="1:14" ht="15" customHeight="1">
      <c r="A459" s="60"/>
      <c r="B459" s="33" t="s">
        <v>149</v>
      </c>
      <c r="C459" s="112" t="s">
        <v>136</v>
      </c>
      <c r="D459" s="112"/>
      <c r="E459" s="4" t="s">
        <v>17</v>
      </c>
      <c r="F459" s="4">
        <v>1</v>
      </c>
      <c r="G459" s="101">
        <v>1200</v>
      </c>
      <c r="H459" s="83">
        <f t="shared" si="8"/>
        <v>1200</v>
      </c>
      <c r="K459" s="1"/>
      <c r="N459" s="82"/>
    </row>
    <row r="460" spans="1:14" ht="30" customHeight="1">
      <c r="A460" s="60"/>
      <c r="B460" s="33" t="s">
        <v>150</v>
      </c>
      <c r="C460" s="112" t="s">
        <v>137</v>
      </c>
      <c r="D460" s="112"/>
      <c r="E460" s="4" t="s">
        <v>79</v>
      </c>
      <c r="F460" s="4">
        <v>20</v>
      </c>
      <c r="G460" s="101">
        <v>4.54</v>
      </c>
      <c r="H460" s="83">
        <f t="shared" si="8"/>
        <v>90.8</v>
      </c>
      <c r="K460" s="1"/>
      <c r="N460" s="82"/>
    </row>
    <row r="461" spans="1:14" ht="30" customHeight="1">
      <c r="A461" s="60"/>
      <c r="B461" s="33" t="s">
        <v>151</v>
      </c>
      <c r="C461" s="112" t="s">
        <v>138</v>
      </c>
      <c r="D461" s="112"/>
      <c r="E461" s="4" t="s">
        <v>17</v>
      </c>
      <c r="F461" s="4">
        <v>2</v>
      </c>
      <c r="G461" s="101">
        <v>56</v>
      </c>
      <c r="H461" s="83">
        <f t="shared" si="8"/>
        <v>112</v>
      </c>
      <c r="K461" s="1"/>
      <c r="N461" s="82"/>
    </row>
    <row r="462" spans="1:14" ht="45" customHeight="1">
      <c r="A462" s="60"/>
      <c r="B462" s="33" t="s">
        <v>152</v>
      </c>
      <c r="C462" s="112" t="s">
        <v>139</v>
      </c>
      <c r="D462" s="112"/>
      <c r="E462" s="4" t="s">
        <v>17</v>
      </c>
      <c r="F462" s="4">
        <v>10</v>
      </c>
      <c r="G462" s="101">
        <v>6.65</v>
      </c>
      <c r="H462" s="83">
        <f>ROUND(F462*G462,2)</f>
        <v>66.5</v>
      </c>
      <c r="K462" s="1"/>
      <c r="N462" s="82"/>
    </row>
    <row r="463" spans="1:14" ht="30" customHeight="1">
      <c r="A463" s="60"/>
      <c r="B463" s="33" t="s">
        <v>153</v>
      </c>
      <c r="C463" s="112" t="s">
        <v>140</v>
      </c>
      <c r="D463" s="112"/>
      <c r="E463" s="4" t="s">
        <v>17</v>
      </c>
      <c r="F463" s="4">
        <v>10</v>
      </c>
      <c r="G463" s="101">
        <v>5.65</v>
      </c>
      <c r="H463" s="83">
        <f t="shared" si="8"/>
        <v>56.5</v>
      </c>
      <c r="K463" s="1"/>
      <c r="N463" s="82"/>
    </row>
    <row r="464" spans="1:14" ht="15" customHeight="1">
      <c r="A464" s="60"/>
      <c r="B464" s="33" t="s">
        <v>154</v>
      </c>
      <c r="C464" s="112" t="s">
        <v>141</v>
      </c>
      <c r="D464" s="112"/>
      <c r="E464" s="4" t="s">
        <v>79</v>
      </c>
      <c r="F464" s="4">
        <v>50</v>
      </c>
      <c r="G464" s="101">
        <v>4.2300000000000004</v>
      </c>
      <c r="H464" s="83">
        <f t="shared" si="8"/>
        <v>211.5</v>
      </c>
      <c r="K464" s="1"/>
      <c r="N464" s="82"/>
    </row>
    <row r="465" spans="1:8" ht="15" customHeight="1">
      <c r="A465" s="60"/>
      <c r="B465" s="81"/>
      <c r="C465" s="81"/>
      <c r="D465" s="81"/>
      <c r="E465" s="9"/>
      <c r="F465" s="109" t="s">
        <v>835</v>
      </c>
      <c r="G465" s="109"/>
      <c r="H465" s="91">
        <f>SUM(H9:H464)</f>
        <v>639303.69999999984</v>
      </c>
    </row>
    <row r="466" spans="1:8" ht="15" customHeight="1">
      <c r="A466" s="60"/>
      <c r="B466" s="81"/>
      <c r="C466" s="81"/>
      <c r="D466" s="81"/>
      <c r="E466" s="9"/>
      <c r="F466" s="110" t="s">
        <v>34</v>
      </c>
      <c r="G466" s="110"/>
      <c r="H466" s="92">
        <f>H465*20%</f>
        <v>127860.73999999998</v>
      </c>
    </row>
    <row r="467" spans="1:8" ht="15" customHeight="1">
      <c r="A467" s="60"/>
      <c r="B467" s="81"/>
      <c r="C467" s="81"/>
      <c r="D467" s="81"/>
      <c r="E467" s="9"/>
      <c r="F467" s="111" t="s">
        <v>836</v>
      </c>
      <c r="G467" s="111"/>
      <c r="H467" s="93">
        <f>H465+H466</f>
        <v>767164.43999999983</v>
      </c>
    </row>
  </sheetData>
  <mergeCells count="317">
    <mergeCell ref="C120:D120"/>
    <mergeCell ref="C121:D121"/>
    <mergeCell ref="C122:D122"/>
    <mergeCell ref="C123:D123"/>
    <mergeCell ref="C124:D124"/>
    <mergeCell ref="C125:D125"/>
    <mergeCell ref="C126:D126"/>
    <mergeCell ref="A6:A119"/>
    <mergeCell ref="C7:D7"/>
    <mergeCell ref="C34:D34"/>
    <mergeCell ref="C43:D43"/>
    <mergeCell ref="C50:D50"/>
    <mergeCell ref="C104:D104"/>
    <mergeCell ref="C105:D105"/>
    <mergeCell ref="C106:D106"/>
    <mergeCell ref="C107:D107"/>
    <mergeCell ref="B1:H1"/>
    <mergeCell ref="B2:H2"/>
    <mergeCell ref="B5:H5"/>
    <mergeCell ref="C114:D114"/>
    <mergeCell ref="C115:D115"/>
    <mergeCell ref="C116:D116"/>
    <mergeCell ref="C117:D117"/>
    <mergeCell ref="C118:D118"/>
    <mergeCell ref="C119:D119"/>
    <mergeCell ref="C108:D108"/>
    <mergeCell ref="C109:D109"/>
    <mergeCell ref="C110:D110"/>
    <mergeCell ref="C111:D111"/>
    <mergeCell ref="C112:D112"/>
    <mergeCell ref="C113:D113"/>
    <mergeCell ref="C127:D127"/>
    <mergeCell ref="C128:D128"/>
    <mergeCell ref="C141:D141"/>
    <mergeCell ref="C142:D142"/>
    <mergeCell ref="C143:D143"/>
    <mergeCell ref="C144:D144"/>
    <mergeCell ref="C145:D145"/>
    <mergeCell ref="C146:D146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C153:D153"/>
    <mergeCell ref="C154:D154"/>
    <mergeCell ref="C155:D155"/>
    <mergeCell ref="C156:D156"/>
    <mergeCell ref="C157:D157"/>
    <mergeCell ref="C158:D158"/>
    <mergeCell ref="C147:D147"/>
    <mergeCell ref="C148:D148"/>
    <mergeCell ref="C149:D149"/>
    <mergeCell ref="C150:D150"/>
    <mergeCell ref="C151:D151"/>
    <mergeCell ref="C152:D152"/>
    <mergeCell ref="C165:D165"/>
    <mergeCell ref="C166:D166"/>
    <mergeCell ref="C167:D167"/>
    <mergeCell ref="C168:D168"/>
    <mergeCell ref="C169:D169"/>
    <mergeCell ref="C170:D170"/>
    <mergeCell ref="C159:D159"/>
    <mergeCell ref="C160:D160"/>
    <mergeCell ref="C161:D161"/>
    <mergeCell ref="C162:D162"/>
    <mergeCell ref="C163:D163"/>
    <mergeCell ref="C164:D164"/>
    <mergeCell ref="C177:D177"/>
    <mergeCell ref="C178:D178"/>
    <mergeCell ref="C179:D179"/>
    <mergeCell ref="C180:D180"/>
    <mergeCell ref="C181:D181"/>
    <mergeCell ref="C182:D182"/>
    <mergeCell ref="C171:D171"/>
    <mergeCell ref="C172:D172"/>
    <mergeCell ref="C173:D173"/>
    <mergeCell ref="C174:D174"/>
    <mergeCell ref="C175:D175"/>
    <mergeCell ref="C176:D176"/>
    <mergeCell ref="C187:D187"/>
    <mergeCell ref="C188:D188"/>
    <mergeCell ref="C189:D189"/>
    <mergeCell ref="C190:D190"/>
    <mergeCell ref="C191:D191"/>
    <mergeCell ref="C192:D192"/>
    <mergeCell ref="C183:D183"/>
    <mergeCell ref="C184:D184"/>
    <mergeCell ref="C185:D185"/>
    <mergeCell ref="C186:D186"/>
    <mergeCell ref="C199:D199"/>
    <mergeCell ref="C200:D200"/>
    <mergeCell ref="C201:D201"/>
    <mergeCell ref="C202:D202"/>
    <mergeCell ref="C203:D203"/>
    <mergeCell ref="C204:D204"/>
    <mergeCell ref="C193:D193"/>
    <mergeCell ref="C194:D194"/>
    <mergeCell ref="C195:D195"/>
    <mergeCell ref="C196:D196"/>
    <mergeCell ref="C197:D197"/>
    <mergeCell ref="C198:D198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34:D234"/>
    <mergeCell ref="C235:D235"/>
    <mergeCell ref="C236:D236"/>
    <mergeCell ref="C237:D237"/>
    <mergeCell ref="C238:D238"/>
    <mergeCell ref="C239:D239"/>
    <mergeCell ref="C229:D229"/>
    <mergeCell ref="C230:D230"/>
    <mergeCell ref="C231:D231"/>
    <mergeCell ref="C232:D232"/>
    <mergeCell ref="C233:D233"/>
    <mergeCell ref="C246:D246"/>
    <mergeCell ref="C247:D247"/>
    <mergeCell ref="C248:D248"/>
    <mergeCell ref="C249:D249"/>
    <mergeCell ref="C250:D250"/>
    <mergeCell ref="C251:D251"/>
    <mergeCell ref="C240:D240"/>
    <mergeCell ref="C241:D241"/>
    <mergeCell ref="C242:D242"/>
    <mergeCell ref="C243:D243"/>
    <mergeCell ref="C244:D244"/>
    <mergeCell ref="C245:D245"/>
    <mergeCell ref="C258:D258"/>
    <mergeCell ref="C259:D259"/>
    <mergeCell ref="C260:D260"/>
    <mergeCell ref="C261:D261"/>
    <mergeCell ref="C262:D262"/>
    <mergeCell ref="C263:D263"/>
    <mergeCell ref="C252:D252"/>
    <mergeCell ref="C253:D253"/>
    <mergeCell ref="C254:D254"/>
    <mergeCell ref="C255:D255"/>
    <mergeCell ref="C256:D256"/>
    <mergeCell ref="C257:D257"/>
    <mergeCell ref="C270:D270"/>
    <mergeCell ref="C271:D271"/>
    <mergeCell ref="C272:D272"/>
    <mergeCell ref="C273:D273"/>
    <mergeCell ref="C274:D274"/>
    <mergeCell ref="C275:D275"/>
    <mergeCell ref="C264:D264"/>
    <mergeCell ref="C265:D265"/>
    <mergeCell ref="C266:D266"/>
    <mergeCell ref="C267:D267"/>
    <mergeCell ref="C268:D268"/>
    <mergeCell ref="C269:D269"/>
    <mergeCell ref="C282:D282"/>
    <mergeCell ref="C283:D283"/>
    <mergeCell ref="C284:D284"/>
    <mergeCell ref="C285:D285"/>
    <mergeCell ref="C286:D286"/>
    <mergeCell ref="C287:D287"/>
    <mergeCell ref="C276:D276"/>
    <mergeCell ref="C277:D277"/>
    <mergeCell ref="C278:D278"/>
    <mergeCell ref="C279:D279"/>
    <mergeCell ref="C280:D280"/>
    <mergeCell ref="C281:D281"/>
    <mergeCell ref="C294:D294"/>
    <mergeCell ref="C295:D295"/>
    <mergeCell ref="C296:D296"/>
    <mergeCell ref="C297:D297"/>
    <mergeCell ref="C298:D298"/>
    <mergeCell ref="C299:D299"/>
    <mergeCell ref="C288:D288"/>
    <mergeCell ref="C289:D289"/>
    <mergeCell ref="C290:D290"/>
    <mergeCell ref="C291:D291"/>
    <mergeCell ref="C292:D292"/>
    <mergeCell ref="C293:D293"/>
    <mergeCell ref="C311:D311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305:D305"/>
    <mergeCell ref="C376:D376"/>
    <mergeCell ref="C377:D377"/>
    <mergeCell ref="C378:D378"/>
    <mergeCell ref="C352:D352"/>
    <mergeCell ref="C356:D356"/>
    <mergeCell ref="C361:D361"/>
    <mergeCell ref="C366:D366"/>
    <mergeCell ref="C370:D370"/>
    <mergeCell ref="C326:D326"/>
    <mergeCell ref="C328:D328"/>
    <mergeCell ref="C334:D334"/>
    <mergeCell ref="C338:D338"/>
    <mergeCell ref="C344:D344"/>
    <mergeCell ref="C348:D348"/>
    <mergeCell ref="C385:D385"/>
    <mergeCell ref="C386:D386"/>
    <mergeCell ref="C387:D387"/>
    <mergeCell ref="C388:D388"/>
    <mergeCell ref="C389:D389"/>
    <mergeCell ref="C390:D390"/>
    <mergeCell ref="C379:D379"/>
    <mergeCell ref="C380:D380"/>
    <mergeCell ref="C381:D381"/>
    <mergeCell ref="C382:D382"/>
    <mergeCell ref="C383:D383"/>
    <mergeCell ref="C384:D384"/>
    <mergeCell ref="C397:D397"/>
    <mergeCell ref="C398:D398"/>
    <mergeCell ref="C399:D399"/>
    <mergeCell ref="C400:D400"/>
    <mergeCell ref="C401:D401"/>
    <mergeCell ref="C402:D402"/>
    <mergeCell ref="C391:D391"/>
    <mergeCell ref="C392:D392"/>
    <mergeCell ref="C393:D393"/>
    <mergeCell ref="C394:D394"/>
    <mergeCell ref="C395:D395"/>
    <mergeCell ref="C396:D396"/>
    <mergeCell ref="C408:D408"/>
    <mergeCell ref="C409:D409"/>
    <mergeCell ref="C410:D410"/>
    <mergeCell ref="C411:D411"/>
    <mergeCell ref="C412:D412"/>
    <mergeCell ref="C403:D403"/>
    <mergeCell ref="C404:D404"/>
    <mergeCell ref="C405:D405"/>
    <mergeCell ref="C406:D406"/>
    <mergeCell ref="C407:D407"/>
    <mergeCell ref="C417:D417"/>
    <mergeCell ref="C418:D418"/>
    <mergeCell ref="C419:D419"/>
    <mergeCell ref="C420:D420"/>
    <mergeCell ref="C421:D421"/>
    <mergeCell ref="C422:D422"/>
    <mergeCell ref="C413:D413"/>
    <mergeCell ref="C414:D414"/>
    <mergeCell ref="C415:D415"/>
    <mergeCell ref="C429:D429"/>
    <mergeCell ref="C430:D430"/>
    <mergeCell ref="C431:D431"/>
    <mergeCell ref="C432:D432"/>
    <mergeCell ref="C433:D433"/>
    <mergeCell ref="C434:D434"/>
    <mergeCell ref="C423:D423"/>
    <mergeCell ref="C424:D424"/>
    <mergeCell ref="C425:D425"/>
    <mergeCell ref="C426:D426"/>
    <mergeCell ref="C427:D427"/>
    <mergeCell ref="C428:D428"/>
    <mergeCell ref="C441:D441"/>
    <mergeCell ref="C442:D442"/>
    <mergeCell ref="C443:D443"/>
    <mergeCell ref="C444:D444"/>
    <mergeCell ref="C445:D445"/>
    <mergeCell ref="C446:D446"/>
    <mergeCell ref="C435:D435"/>
    <mergeCell ref="C436:D436"/>
    <mergeCell ref="C437:D437"/>
    <mergeCell ref="C438:D438"/>
    <mergeCell ref="C439:D439"/>
    <mergeCell ref="C440:D440"/>
    <mergeCell ref="C453:D453"/>
    <mergeCell ref="C454:D454"/>
    <mergeCell ref="C455:D455"/>
    <mergeCell ref="C456:D456"/>
    <mergeCell ref="C457:D457"/>
    <mergeCell ref="C458:D458"/>
    <mergeCell ref="C447:D447"/>
    <mergeCell ref="C448:D448"/>
    <mergeCell ref="C449:D449"/>
    <mergeCell ref="C450:D450"/>
    <mergeCell ref="C451:D451"/>
    <mergeCell ref="C452:D452"/>
    <mergeCell ref="F465:G465"/>
    <mergeCell ref="F466:G466"/>
    <mergeCell ref="F467:G467"/>
    <mergeCell ref="C459:D459"/>
    <mergeCell ref="C460:D460"/>
    <mergeCell ref="C461:D461"/>
    <mergeCell ref="C462:D462"/>
    <mergeCell ref="C463:D463"/>
    <mergeCell ref="C464:D464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83BD09951CF204BA1C799E3B5F8A840" ma:contentTypeVersion="12" ma:contentTypeDescription="Създаване на нов документ" ma:contentTypeScope="" ma:versionID="051df34e11d58c39cce210f64a888bca">
  <xsd:schema xmlns:xsd="http://www.w3.org/2001/XMLSchema" xmlns:xs="http://www.w3.org/2001/XMLSchema" xmlns:p="http://schemas.microsoft.com/office/2006/metadata/properties" xmlns:ns3="ac2c0107-2cb6-4a7c-be67-95dabb47b09f" targetNamespace="http://schemas.microsoft.com/office/2006/metadata/properties" ma:root="true" ma:fieldsID="685bb819aa6068d48b386c37f19daafe" ns3:_="">
    <xsd:import namespace="ac2c0107-2cb6-4a7c-be67-95dabb47b0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c0107-2cb6-4a7c-be67-95dabb47b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2c0107-2cb6-4a7c-be67-95dabb47b0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FFF476-3ECD-4F8C-80A4-ECD131BE9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2c0107-2cb6-4a7c-be67-95dabb47b0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66784-2491-4CC3-B70E-ACA51BE8D907}">
  <ds:schemaRefs>
    <ds:schemaRef ds:uri="http://www.w3.org/XML/1998/namespace"/>
    <ds:schemaRef ds:uri="ac2c0107-2cb6-4a7c-be67-95dabb47b09f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51603AC-924E-4B80-8ABC-A2EC7749B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КСС</vt:lpstr>
      <vt:lpstr>КСС!Print_Titles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Мирела</dc:creator>
  <cp:lastModifiedBy>Pc Obs</cp:lastModifiedBy>
  <cp:lastPrinted>2023-04-20T14:38:44Z</cp:lastPrinted>
  <dcterms:created xsi:type="dcterms:W3CDTF">2021-02-25T10:10:45Z</dcterms:created>
  <dcterms:modified xsi:type="dcterms:W3CDTF">2026-03-23T21:08:22Z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0x010100F83BD09951CF204BA1C799E3B5F8A840</vt:lpwstr>
  </property>
</Properties>
</file>