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КСС" sheetId="1" state="visible" r:id="rId1"/>
  </sheets>
  <definedNames>
    <definedName name="_xlnm.Print_Titles" localSheetId="0">'КСС'!$4:$4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\ &quot;лв.&quot;"/>
    <numFmt numFmtId="166" formatCode="_-* #,##0.00\ _л_в_-;\-* #,##0.00\ _л_в_-;_-* &quot;-&quot;??\ _л_в_-;_-@_-"/>
  </numFmts>
  <fonts count="15">
    <font>
      <name val="Calibri"/>
      <charset val="204"/>
      <family val="2"/>
      <color theme="1"/>
      <sz val="11"/>
      <scheme val="minor"/>
    </font>
    <font>
      <name val="Arial"/>
      <family val="2"/>
      <sz val="10"/>
    </font>
    <font>
      <name val="Arial"/>
      <charset val="204"/>
      <family val="2"/>
      <sz val="10"/>
    </font>
    <font>
      <name val="Calibri"/>
      <charset val="204"/>
      <family val="2"/>
      <color theme="1"/>
      <sz val="11"/>
      <scheme val="minor"/>
    </font>
    <font>
      <name val="Timok"/>
      <sz val="10"/>
    </font>
    <font>
      <name val="MS Sans Serif"/>
      <charset val="204"/>
      <family val="2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color rgb="FF222222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color theme="1"/>
      <sz val="12"/>
      <vertAlign val="superscript"/>
    </font>
  </fonts>
  <fills count="9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3" fillId="0" borderId="0"/>
    <xf numFmtId="0" fontId="1" fillId="0" borderId="0"/>
    <xf numFmtId="0" fontId="2" fillId="0" borderId="0"/>
    <xf numFmtId="166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49" fontId="4" fillId="0" borderId="0"/>
    <xf numFmtId="0" fontId="3" fillId="0" borderId="0"/>
  </cellStyleXfs>
  <cellXfs count="11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2" fontId="9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49" fontId="8" fillId="2" borderId="1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 wrapText="1"/>
    </xf>
    <xf numFmtId="0" fontId="8" fillId="2" borderId="4" applyAlignment="1" pivotButton="0" quotePrefix="0" xfId="0">
      <alignment vertical="center" wrapText="1"/>
    </xf>
    <xf numFmtId="0" fontId="8" fillId="2" borderId="7" applyAlignment="1" pivotButton="0" quotePrefix="0" xfId="0">
      <alignment vertical="center"/>
    </xf>
    <xf numFmtId="49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wrapText="1"/>
    </xf>
    <xf numFmtId="0" fontId="10" fillId="7" borderId="1" applyAlignment="1" pivotButton="0" quotePrefix="0" xfId="0">
      <alignment vertical="center" wrapText="1"/>
    </xf>
    <xf numFmtId="49" fontId="8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left" vertical="center" wrapText="1"/>
    </xf>
    <xf numFmtId="49" fontId="9" fillId="7" borderId="1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left" vertical="center" wrapText="1"/>
    </xf>
    <xf numFmtId="49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3" fontId="9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7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49" fontId="9" fillId="0" borderId="1" applyAlignment="1" pivotButton="0" quotePrefix="0" xfId="0">
      <alignment horizontal="left"/>
    </xf>
    <xf numFmtId="0" fontId="7" fillId="7" borderId="5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/>
    </xf>
    <xf numFmtId="164" fontId="8" fillId="4" borderId="1" applyAlignment="1" pivotButton="0" quotePrefix="0" xfId="0">
      <alignment horizontal="left" vertical="center"/>
    </xf>
    <xf numFmtId="165" fontId="7" fillId="0" borderId="0" pivotButton="0" quotePrefix="0" xfId="0"/>
    <xf numFmtId="49" fontId="9" fillId="0" borderId="1" applyAlignment="1" pivotButton="0" quotePrefix="0" xfId="0">
      <alignment horizontal="center"/>
    </xf>
    <xf numFmtId="0" fontId="12" fillId="7" borderId="4" applyAlignment="1" pivotButton="0" quotePrefix="0" xfId="0">
      <alignment vertical="center" wrapText="1"/>
    </xf>
    <xf numFmtId="0" fontId="7" fillId="7" borderId="5" applyAlignment="1" pivotButton="0" quotePrefix="0" xfId="0">
      <alignment horizontal="left" vertical="center"/>
    </xf>
    <xf numFmtId="164" fontId="7" fillId="0" borderId="5" applyAlignment="1" pivotButton="0" quotePrefix="0" xfId="0">
      <alignment vertical="center"/>
    </xf>
    <xf numFmtId="164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2" borderId="7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0" borderId="1" applyAlignment="1" pivotButton="0" quotePrefix="0" xfId="0">
      <alignment vertical="center" wrapText="1"/>
    </xf>
    <xf numFmtId="165" fontId="7" fillId="0" borderId="0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8" fillId="4" borderId="4" applyAlignment="1" pivotButton="0" quotePrefix="0" xfId="0">
      <alignment horizontal="left" vertical="center"/>
    </xf>
    <xf numFmtId="49" fontId="8" fillId="4" borderId="6" applyAlignment="1" pivotButton="0" quotePrefix="0" xfId="0">
      <alignment horizontal="left" vertical="center"/>
    </xf>
    <xf numFmtId="49" fontId="9" fillId="0" borderId="1" applyAlignment="1" pivotButton="0" quotePrefix="0" xfId="0">
      <alignment vertical="center" wrapText="1"/>
    </xf>
    <xf numFmtId="49" fontId="7" fillId="7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" fontId="9" fillId="0" borderId="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165" fontId="7" fillId="0" borderId="0" applyAlignment="1" pivotButton="0" quotePrefix="0" xfId="0">
      <alignment vertical="center"/>
    </xf>
    <xf numFmtId="164" fontId="9" fillId="0" borderId="1" applyAlignment="1" pivotButton="0" quotePrefix="0" xfId="0">
      <alignment horizontal="center"/>
    </xf>
    <xf numFmtId="164" fontId="8" fillId="4" borderId="1" applyAlignment="1" pivotButton="0" quotePrefix="0" xfId="0">
      <alignment horizontal="left" vertical="center"/>
    </xf>
    <xf numFmtId="165" fontId="7" fillId="0" borderId="0" pivotButton="0" quotePrefix="0" xfId="0"/>
    <xf numFmtId="164" fontId="7" fillId="0" borderId="5" applyAlignment="1" pivotButton="0" quotePrefix="0" xfId="0">
      <alignment vertical="center"/>
    </xf>
    <xf numFmtId="164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 wrapText="1"/>
    </xf>
  </cellXfs>
  <cellStyles count="13">
    <cellStyle name="Normal" xfId="0" builtinId="0"/>
    <cellStyle name="Normal 2" xfId="1"/>
    <cellStyle name="Нормален 2" xfId="2"/>
    <cellStyle name="Comma 2" xfId="3"/>
    <cellStyle name="Normal 2 5" xfId="4"/>
    <cellStyle name="Normal 2 2" xfId="5"/>
    <cellStyle name="Normal 2 2 2" xfId="6"/>
    <cellStyle name="Normal 2 2 2 2" xfId="7"/>
    <cellStyle name="Normal 2 2 3" xfId="8"/>
    <cellStyle name="Normal 2 3" xfId="9"/>
    <cellStyle name="Normal 2 4" xfId="10"/>
    <cellStyle name="Normal 3" xfId="11"/>
    <cellStyle name="Normal 3 2" xfId="1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67"/>
  <sheetViews>
    <sheetView tabSelected="1" workbookViewId="0">
      <pane ySplit="4" topLeftCell="A5" activePane="bottomLeft" state="frozen"/>
      <selection pane="bottomLeft" activeCell="G3" sqref="G1:G1048576"/>
    </sheetView>
  </sheetViews>
  <sheetFormatPr baseColWidth="8" defaultColWidth="9.1015625" defaultRowHeight="15.3"/>
  <cols>
    <col width="3.89453125" customWidth="1" style="14" min="1" max="1"/>
    <col width="6.1015625" customWidth="1" style="15" min="2" max="2"/>
    <col width="27.1015625" customWidth="1" style="16" min="3" max="3"/>
    <col width="19.89453125" customWidth="1" style="14" min="4" max="4"/>
    <col width="5.7890625" customWidth="1" style="83" min="5" max="5"/>
    <col width="7" customWidth="1" style="83" min="6" max="6"/>
    <col width="10.41796875" customWidth="1" style="14" min="7" max="7"/>
    <col width="17.7890625" customWidth="1" style="14" min="8" max="8"/>
    <col width="9.1015625" customWidth="1" style="14" min="9" max="11"/>
    <col width="13.89453125" customWidth="1" style="14" min="12" max="12"/>
    <col width="9.1015625" customWidth="1" style="14" min="13" max="16384"/>
  </cols>
  <sheetData>
    <row r="1" ht="30" customHeight="1">
      <c r="A1" s="12" t="n"/>
      <c r="B1" s="88" t="inlineStr">
        <is>
          <t>Обект: Градска градина "Слънце", находяща се в ПИ 56126.600.205, гр. Петрич</t>
        </is>
      </c>
    </row>
    <row r="2" ht="30" customHeight="1">
      <c r="A2" s="12" t="n"/>
      <c r="B2" s="88" t="inlineStr">
        <is>
          <t>ОБЩА КОЛИЧЕСТВЕНО-СТОЙНОСТНА СМЕТКА</t>
        </is>
      </c>
    </row>
    <row r="3" ht="15" customHeight="1" thickBot="1"/>
    <row r="4" ht="30" customFormat="1" customHeight="1" s="1" thickBot="1">
      <c r="A4" s="17" t="n"/>
      <c r="B4" s="18" t="inlineStr">
        <is>
          <t>№ подч.</t>
        </is>
      </c>
      <c r="C4" s="19" t="inlineStr">
        <is>
          <t>Наименование</t>
        </is>
      </c>
      <c r="D4" s="19" t="inlineStr">
        <is>
          <t>Характеристика</t>
        </is>
      </c>
      <c r="E4" s="19" t="inlineStr">
        <is>
          <t>Ед. мярка</t>
        </is>
      </c>
      <c r="F4" s="19" t="inlineStr">
        <is>
          <t>К-во</t>
        </is>
      </c>
    </row>
    <row r="5" ht="15" customFormat="1" customHeight="1" s="1">
      <c r="B5" s="89" t="n"/>
      <c r="C5" s="100" t="n"/>
      <c r="D5" s="100" t="n"/>
      <c r="E5" s="100" t="n"/>
      <c r="F5" s="101" t="n"/>
    </row>
    <row r="6" ht="15" customFormat="1" customHeight="1" s="1">
      <c r="A6" s="83" t="inlineStr">
        <is>
          <t>I</t>
        </is>
      </c>
      <c r="B6" s="13" t="inlineStr">
        <is>
          <t>I</t>
        </is>
      </c>
      <c r="C6" s="20" t="inlineStr">
        <is>
          <t>Част „Паркоустройство и Благоустройство“</t>
        </is>
      </c>
      <c r="D6" s="21" t="n"/>
      <c r="E6" s="21" t="n"/>
      <c r="F6" s="21" t="n"/>
    </row>
    <row r="7" ht="15" customFormat="1" customHeight="1" s="1">
      <c r="B7" s="85" t="inlineStr">
        <is>
          <t>1.</t>
        </is>
      </c>
      <c r="C7" s="84" t="inlineStr">
        <is>
          <t>Настилки</t>
        </is>
      </c>
      <c r="D7" s="102" t="n"/>
      <c r="E7" s="23" t="n"/>
      <c r="F7" s="23" t="n"/>
    </row>
    <row r="8" ht="15" customFormat="1" customHeight="1" s="1">
      <c r="B8" s="24" t="inlineStr">
        <is>
          <t>1.1</t>
        </is>
      </c>
      <c r="C8" s="91" t="inlineStr">
        <is>
          <t>Алеи</t>
        </is>
      </c>
      <c r="D8" s="26" t="n"/>
      <c r="E8" s="27" t="inlineStr">
        <is>
          <t>m²</t>
        </is>
      </c>
      <c r="F8" s="10" t="n">
        <v>1210.8</v>
      </c>
    </row>
    <row r="9" ht="47.25" customFormat="1" customHeight="1" s="1">
      <c r="B9" s="29" t="inlineStr">
        <is>
          <t>1.1.1</t>
        </is>
      </c>
      <c r="C9" s="30" t="inlineStr">
        <is>
          <t xml:space="preserve">Механизиран изкоп на хумусен пласт за направа на настилки     </t>
        </is>
      </c>
      <c r="D9" s="31" t="inlineStr">
        <is>
          <t>Н = 20-25 см</t>
        </is>
      </c>
      <c r="E9" s="11" t="inlineStr">
        <is>
          <t>m³</t>
        </is>
      </c>
      <c r="F9" s="9" t="n">
        <v>302.7</v>
      </c>
      <c r="G9" t="n">
        <v>6.94</v>
      </c>
      <c r="H9" t="n">
        <v>2100.74</v>
      </c>
      <c r="L9" s="103" t="n"/>
    </row>
    <row r="10" ht="33.75" customFormat="1" customHeight="1" s="1">
      <c r="B10" s="29" t="inlineStr">
        <is>
          <t>1.1.2</t>
        </is>
      </c>
      <c r="C10" s="30" t="inlineStr">
        <is>
          <t>Валиране на земна основа за настилки</t>
        </is>
      </c>
      <c r="D10" s="31" t="n"/>
      <c r="E10" s="11" t="inlineStr">
        <is>
          <t>m²</t>
        </is>
      </c>
      <c r="F10" s="9" t="n">
        <v>1210.8</v>
      </c>
      <c r="G10" t="n">
        <v>2</v>
      </c>
      <c r="H10" t="n">
        <v>2421.6</v>
      </c>
      <c r="L10" s="103" t="n"/>
    </row>
    <row r="11" ht="60" customFormat="1" customHeight="1" s="1">
      <c r="B11" s="29" t="inlineStr">
        <is>
          <t>1.1.3</t>
        </is>
      </c>
      <c r="C11" s="30" t="inlineStr">
        <is>
          <t>Доставка и полагане на основа от трошен камък с дебелина 20 см</t>
        </is>
      </c>
      <c r="D11" s="31" t="inlineStr">
        <is>
          <t>Фракция 0-63мм</t>
        </is>
      </c>
      <c r="E11" s="11" t="inlineStr">
        <is>
          <t>m³</t>
        </is>
      </c>
      <c r="F11" s="9" t="n">
        <v>243</v>
      </c>
      <c r="G11" t="n">
        <v>39.57</v>
      </c>
      <c r="H11" t="n">
        <v>9615.51</v>
      </c>
      <c r="L11" s="103" t="n"/>
    </row>
    <row r="12" ht="60" customFormat="1" customHeight="1" s="1">
      <c r="B12" s="29" t="inlineStr">
        <is>
          <t>1.1.4</t>
        </is>
      </c>
      <c r="C12" s="30" t="inlineStr">
        <is>
          <t>Доставка и полагане на основа от трошен камък с дебелина 10 см</t>
        </is>
      </c>
      <c r="D12" s="31" t="inlineStr">
        <is>
          <t>Фракция 0-18мм</t>
        </is>
      </c>
      <c r="E12" s="11" t="inlineStr">
        <is>
          <t>m³</t>
        </is>
      </c>
      <c r="F12" s="9" t="n">
        <v>121</v>
      </c>
      <c r="G12" t="n">
        <v>40.07</v>
      </c>
      <c r="H12" t="n">
        <v>4848.47</v>
      </c>
      <c r="L12" s="103" t="n"/>
    </row>
    <row r="13" ht="61.5" customFormat="1" customHeight="1" s="1">
      <c r="B13" s="29" t="inlineStr">
        <is>
          <t>1.1.5</t>
        </is>
      </c>
      <c r="C13" s="30" t="inlineStr">
        <is>
          <t>Доставка и полагане на изравнителен слой сипица, ситна фракция с дебелина       5 см</t>
        </is>
      </c>
      <c r="D13" s="30" t="inlineStr">
        <is>
          <t>Фракция 2/5 или 4/7 mm</t>
        </is>
      </c>
      <c r="E13" s="11" t="inlineStr">
        <is>
          <t>m³</t>
        </is>
      </c>
      <c r="F13" s="9" t="n">
        <v>73</v>
      </c>
      <c r="G13" t="n">
        <v>34.65</v>
      </c>
      <c r="H13" t="n">
        <v>2529.45</v>
      </c>
      <c r="L13" s="103" t="n"/>
    </row>
    <row r="14" ht="149.25" customFormat="1" customHeight="1" s="1">
      <c r="B14" s="29" t="inlineStr">
        <is>
          <t>1.1.6</t>
        </is>
      </c>
      <c r="C14" s="30" t="inlineStr">
        <is>
          <t>Доставка и полагане на клинове за бордюри (ограничаващ и фиксиращ PVC профил) чрез полагане 1бр./25сm</t>
        </is>
      </c>
      <c r="D14" s="32" t="inlineStr">
        <is>
          <t>25x25х50 mm          Широката страна с размер 25 mm се монтира под тревата или чакъла.
Високата разделяща линия с размер 25 mm отделя настилката от тревата/ чакъла</t>
        </is>
      </c>
      <c r="E14" s="9" t="inlineStr">
        <is>
          <t>m</t>
        </is>
      </c>
      <c r="F14" s="9" t="n">
        <v>605.6</v>
      </c>
      <c r="G14" t="n">
        <v>2.5</v>
      </c>
      <c r="H14" t="n">
        <v>1514</v>
      </c>
      <c r="L14" s="103" t="n"/>
    </row>
    <row r="15" ht="285" customFormat="1" customHeight="1" s="1">
      <c r="B15" s="29" t="inlineStr">
        <is>
          <t>1.1.7</t>
        </is>
      </c>
      <c r="C15" s="30" t="inlineStr">
        <is>
          <t>Доставка и полагане на бетонови павета - тъмно сиви</t>
        </is>
      </c>
      <c r="D15" s="33" t="inlineStr">
        <is>
          <t xml:space="preserve">Вибропресовани бетонови блокчета с трапецовидна форма в комбинация от 5 размера, настилка с мит покривен слой върху лицевата повърхнина Натуро с дебелина 6см. и размери 10,4х8,5х9,4; 9,4х8,5х8,4; 8,4х8,5х7,4; 7,4х8,5х6,4; 6,4х8,5х5,4см; цвят антрацит. Изделията са с вълнообразни кантове без фаска. </t>
        </is>
      </c>
      <c r="E15" s="11" t="inlineStr">
        <is>
          <t>m²</t>
        </is>
      </c>
      <c r="F15" s="9" t="n">
        <v>552</v>
      </c>
      <c r="G15" t="n">
        <v>25</v>
      </c>
      <c r="H15" t="n">
        <v>13800</v>
      </c>
      <c r="L15" s="103" t="n"/>
    </row>
    <row r="16" ht="195" customFormat="1" customHeight="1" s="1">
      <c r="B16" s="29" t="inlineStr">
        <is>
          <t>1.1.8</t>
        </is>
      </c>
      <c r="C16" s="30" t="inlineStr">
        <is>
          <t>Доставка и полагане на бетонови павета - светло сиви</t>
        </is>
      </c>
      <c r="D16" s="33" t="inlineStr">
        <is>
          <t xml:space="preserve">Вибропресовани бетонови блокчета с правоъгълна форма, настилка с мит покривен слой върху лицевата повърхнина Натуро с дебелина 6см. и размери 10х20; светло сив цвят. Изделията са с вълнообразни кантове без фаска. </t>
        </is>
      </c>
      <c r="E16" s="11" t="inlineStr">
        <is>
          <t>m²</t>
        </is>
      </c>
      <c r="F16" s="9" t="n">
        <v>563</v>
      </c>
      <c r="G16" t="n">
        <v>24</v>
      </c>
      <c r="H16" t="n">
        <v>13512</v>
      </c>
      <c r="L16" s="103" t="n"/>
    </row>
    <row r="17" ht="105" customFormat="1" customHeight="1" s="1">
      <c r="B17" s="29" t="inlineStr">
        <is>
          <t>1.1.9</t>
        </is>
      </c>
      <c r="C17" s="30" t="inlineStr">
        <is>
          <t>Доставка и полагане на настилка за сух фонтан - бетонни  плочи</t>
        </is>
      </c>
      <c r="D17" s="33" t="inlineStr">
        <is>
          <t>Вибропресовани бетонови плочи с мита повърхност, растерни размери (ДхШхВ) 50 x 50 x 6 cm                           Цвят - светло сив</t>
        </is>
      </c>
      <c r="E17" s="11" t="inlineStr">
        <is>
          <t>m²</t>
        </is>
      </c>
      <c r="F17" s="9" t="n">
        <v>58</v>
      </c>
      <c r="G17" t="n">
        <v>25</v>
      </c>
      <c r="H17" t="n">
        <v>1450</v>
      </c>
      <c r="L17" s="103" t="n"/>
    </row>
    <row r="18" ht="107.1" customFormat="1" customHeight="1" s="1">
      <c r="B18" s="29" t="inlineStr">
        <is>
          <t>1.1.10</t>
        </is>
      </c>
      <c r="C18" s="30" t="inlineStr">
        <is>
          <t>Доставка и монтаж на бетонови плочи (плочопътеки)</t>
        </is>
      </c>
      <c r="D18" s="33" t="inlineStr">
        <is>
          <t>Вибропресовани бетонови плочи с мита повърхност, растерни размери (ДхШхВ) 90 x 30 x 6 cm                           Цвят - светло сив</t>
        </is>
      </c>
      <c r="E18" s="9" t="inlineStr">
        <is>
          <t>бр.</t>
        </is>
      </c>
      <c r="F18" s="9" t="n">
        <v>154</v>
      </c>
      <c r="G18" t="n">
        <v>8</v>
      </c>
      <c r="H18" t="n">
        <v>1232</v>
      </c>
      <c r="L18" s="103" t="n"/>
    </row>
    <row r="19" customFormat="1" s="1">
      <c r="B19" s="24" t="inlineStr">
        <is>
          <t>1.2</t>
        </is>
      </c>
      <c r="C19" s="91" t="inlineStr">
        <is>
          <t>Стълбищни групи</t>
        </is>
      </c>
      <c r="D19" s="26" t="n"/>
      <c r="E19" s="27" t="inlineStr">
        <is>
          <t>m²</t>
        </is>
      </c>
      <c r="F19" s="10" t="n">
        <v>13.5</v>
      </c>
      <c r="G19" t="n">
        <v>50</v>
      </c>
      <c r="H19" t="n">
        <v>675</v>
      </c>
      <c r="L19" s="103" t="n"/>
    </row>
    <row r="20" ht="91.8" customFormat="1" customHeight="1" s="1">
      <c r="B20" s="29" t="inlineStr">
        <is>
          <t>1.2.1</t>
        </is>
      </c>
      <c r="C20" s="30" t="inlineStr">
        <is>
          <t>Доставка и полагане на бетонови плочи</t>
        </is>
      </c>
      <c r="D20" s="33" t="inlineStr">
        <is>
          <t>Вибропресовани бетонови плочи с мита повърхност, растерни размери (ДхШхВ) 90 x 30 x 5 cm. Цвят - антрацит</t>
        </is>
      </c>
      <c r="E20" s="11" t="inlineStr">
        <is>
          <t>m²</t>
        </is>
      </c>
      <c r="F20" s="9" t="n">
        <v>18</v>
      </c>
      <c r="G20" t="n">
        <v>26</v>
      </c>
      <c r="H20" t="n">
        <v>468</v>
      </c>
      <c r="L20" s="103" t="n"/>
    </row>
    <row r="21" ht="91.8" customFormat="1" customHeight="1" s="1">
      <c r="B21" s="29" t="inlineStr">
        <is>
          <t>1.2.2</t>
        </is>
      </c>
      <c r="C21" s="30" t="inlineStr">
        <is>
          <t>Доставка и полагане на бетонови плочи</t>
        </is>
      </c>
      <c r="D21" s="33" t="inlineStr">
        <is>
          <t>Вибропресовани бетонови плочи с мита повърхност, растерни размери (ДхШхВ) 90 x 30 x 5 cm. Цвят - светло сив</t>
        </is>
      </c>
      <c r="E21" s="11" t="inlineStr">
        <is>
          <t>m²</t>
        </is>
      </c>
      <c r="F21" s="9" t="n">
        <v>15</v>
      </c>
      <c r="G21" t="n">
        <v>26</v>
      </c>
      <c r="H21" t="n">
        <v>390</v>
      </c>
      <c r="L21" s="103" t="n"/>
    </row>
    <row r="22" customFormat="1" s="1">
      <c r="B22" s="34" t="inlineStr">
        <is>
          <t>1.3</t>
        </is>
      </c>
      <c r="C22" s="35" t="inlineStr">
        <is>
          <t>Перголи</t>
        </is>
      </c>
      <c r="D22" s="36" t="n"/>
      <c r="E22" s="37" t="n"/>
      <c r="F22" s="37" t="n"/>
      <c r="L22" s="103" t="n"/>
    </row>
    <row r="23" ht="60" customFormat="1" customHeight="1" s="1">
      <c r="B23" s="29" t="inlineStr">
        <is>
          <t>1.3.1</t>
        </is>
      </c>
      <c r="C23" s="30" t="inlineStr">
        <is>
          <t>Дъсчена обшивка</t>
        </is>
      </c>
      <c r="D23" s="38" t="inlineStr">
        <is>
          <t>Импрегнирани и лакирани дървени дъски 17 х 2 cm, дължина 5 m</t>
        </is>
      </c>
      <c r="E23" s="11" t="inlineStr">
        <is>
          <t>m³</t>
        </is>
      </c>
      <c r="F23" s="9" t="n">
        <v>15</v>
      </c>
      <c r="G23" t="n">
        <v>80</v>
      </c>
      <c r="H23" t="n">
        <v>1200</v>
      </c>
      <c r="L23" s="103" t="n"/>
    </row>
    <row r="24" ht="30.6" customFormat="1" customHeight="1" s="1">
      <c r="B24" s="29" t="inlineStr">
        <is>
          <t>1.3.2</t>
        </is>
      </c>
      <c r="C24" s="30" t="inlineStr">
        <is>
          <t>Метални струни с PVC покритие и държачи</t>
        </is>
      </c>
      <c r="D24" s="39" t="n"/>
      <c r="E24" s="9" t="inlineStr">
        <is>
          <t>m</t>
        </is>
      </c>
      <c r="F24" s="9" t="n">
        <v>192</v>
      </c>
      <c r="G24" t="n">
        <v>10</v>
      </c>
      <c r="H24" t="n">
        <v>1920</v>
      </c>
      <c r="L24" s="103" t="n"/>
    </row>
    <row r="25" ht="45.9" customFormat="1" customHeight="1" s="1">
      <c r="B25" s="29" t="inlineStr">
        <is>
          <t>1.3.3</t>
        </is>
      </c>
      <c r="C25" s="30" t="inlineStr">
        <is>
          <t>Прахово боядисване на металните профили с антикорозионна боя</t>
        </is>
      </c>
      <c r="D25" s="39" t="inlineStr">
        <is>
          <t>Цвят - сив, RAL 7024</t>
        </is>
      </c>
      <c r="E25" s="11" t="inlineStr">
        <is>
          <t>m²</t>
        </is>
      </c>
      <c r="F25" s="9" t="n">
        <v>640</v>
      </c>
      <c r="G25" t="n">
        <v>5</v>
      </c>
      <c r="H25" t="n">
        <v>3200</v>
      </c>
      <c r="L25" s="103" t="n"/>
    </row>
    <row r="26" customFormat="1" s="1">
      <c r="B26" s="24" t="inlineStr">
        <is>
          <t>1.4</t>
        </is>
      </c>
      <c r="C26" s="91" t="inlineStr">
        <is>
          <t xml:space="preserve">Декинг </t>
        </is>
      </c>
      <c r="D26" s="26" t="n"/>
      <c r="E26" s="27" t="inlineStr">
        <is>
          <t>m²</t>
        </is>
      </c>
      <c r="F26" s="10" t="n">
        <v>106.5</v>
      </c>
      <c r="L26" s="103" t="n"/>
    </row>
    <row r="27" ht="56.25" customFormat="1" customHeight="1" s="1">
      <c r="B27" s="29" t="inlineStr">
        <is>
          <t>1.4.1</t>
        </is>
      </c>
      <c r="C27" s="30" t="inlineStr">
        <is>
          <t xml:space="preserve">Доставка и монтаж на кух метален профил </t>
        </is>
      </c>
      <c r="D27" s="31" t="inlineStr">
        <is>
          <t>100х40х80 мм</t>
        </is>
      </c>
      <c r="E27" s="9" t="inlineStr">
        <is>
          <t>m</t>
        </is>
      </c>
      <c r="F27" s="9" t="n">
        <v>40</v>
      </c>
      <c r="G27" t="n">
        <v>8</v>
      </c>
      <c r="H27" t="n">
        <v>320</v>
      </c>
      <c r="L27" s="103" t="n"/>
    </row>
    <row r="28" ht="30.6" customFormat="1" customHeight="1" s="1">
      <c r="B28" s="29" t="inlineStr">
        <is>
          <t>1.4.2</t>
        </is>
      </c>
      <c r="C28" s="30" t="inlineStr">
        <is>
          <t xml:space="preserve">Доставка и монтаж на дъсчена обшивка </t>
        </is>
      </c>
      <c r="D28" s="30" t="inlineStr">
        <is>
          <t>Дебелина/Ширина 2х10 см</t>
        </is>
      </c>
      <c r="E28" s="11" t="inlineStr">
        <is>
          <t>m²</t>
        </is>
      </c>
      <c r="F28" s="9" t="n">
        <v>106.5</v>
      </c>
      <c r="G28" t="n">
        <v>22</v>
      </c>
      <c r="H28" t="n">
        <v>2343</v>
      </c>
      <c r="L28" s="103" t="n"/>
    </row>
    <row r="29" ht="30" customFormat="1" customHeight="1" s="1">
      <c r="B29" s="24" t="inlineStr">
        <is>
          <t>1.5</t>
        </is>
      </c>
      <c r="C29" s="91" t="inlineStr">
        <is>
          <t>Ударопоглъщаща настилка</t>
        </is>
      </c>
      <c r="D29" s="26" t="n"/>
      <c r="E29" s="27" t="inlineStr">
        <is>
          <t>m²</t>
        </is>
      </c>
      <c r="F29" s="10" t="n">
        <v>130</v>
      </c>
      <c r="G29" t="n">
        <v>56</v>
      </c>
      <c r="H29" t="n">
        <v>7280</v>
      </c>
      <c r="L29" s="103" t="n"/>
    </row>
    <row r="30" ht="30.6" customFormat="1" customHeight="1" s="1">
      <c r="B30" s="29" t="inlineStr">
        <is>
          <t>2.1</t>
        </is>
      </c>
      <c r="C30" s="30" t="inlineStr">
        <is>
          <t xml:space="preserve">Доставка и полагане на долен слой от каучук </t>
        </is>
      </c>
      <c r="D30" s="40" t="inlineStr">
        <is>
          <t>Дебелина -  2,5см</t>
        </is>
      </c>
      <c r="E30" s="11" t="inlineStr">
        <is>
          <t>m²</t>
        </is>
      </c>
      <c r="F30" s="9" t="n">
        <v>130</v>
      </c>
      <c r="G30" t="n">
        <v>25</v>
      </c>
      <c r="H30" t="n">
        <v>3250</v>
      </c>
      <c r="L30" s="103" t="n"/>
    </row>
    <row r="31" ht="45.9" customFormat="1" customHeight="1" s="1">
      <c r="B31" s="29" t="inlineStr">
        <is>
          <t>2.1.1</t>
        </is>
      </c>
      <c r="C31" s="30" t="inlineStr">
        <is>
          <t xml:space="preserve">Доставка и полагане на горен слой EPDM гранулирана фракция </t>
        </is>
      </c>
      <c r="D31" s="30" t="inlineStr">
        <is>
          <t>Дебелина - 0,5 см Цвят - светло син, RAL 5012</t>
        </is>
      </c>
      <c r="E31" s="11" t="inlineStr">
        <is>
          <t>m²</t>
        </is>
      </c>
      <c r="F31" s="9" t="n">
        <v>56.7</v>
      </c>
      <c r="G31" t="n">
        <v>45</v>
      </c>
      <c r="H31" t="n">
        <v>2551.5</v>
      </c>
      <c r="L31" s="103" t="n"/>
    </row>
    <row r="32" ht="45.9" customFormat="1" customHeight="1" s="1">
      <c r="B32" s="29" t="inlineStr">
        <is>
          <t>2.1.2</t>
        </is>
      </c>
      <c r="C32" s="30" t="inlineStr">
        <is>
          <t xml:space="preserve">Доставка и полагане на горен слой EPDM гранулирана фракция </t>
        </is>
      </c>
      <c r="D32" s="30" t="inlineStr">
        <is>
          <t>Дебелина -  0,5 см Цвят - тъмно син, RAL 5002</t>
        </is>
      </c>
      <c r="E32" s="11" t="inlineStr">
        <is>
          <t>m²</t>
        </is>
      </c>
      <c r="F32" s="9" t="n">
        <v>37.2</v>
      </c>
      <c r="G32" t="n">
        <v>45</v>
      </c>
      <c r="H32" t="n">
        <v>1674</v>
      </c>
      <c r="L32" s="103" t="n"/>
    </row>
    <row r="33" ht="45.9" customFormat="1" customHeight="1" s="1">
      <c r="B33" s="29" t="inlineStr">
        <is>
          <t>2.1.3</t>
        </is>
      </c>
      <c r="C33" s="30" t="inlineStr">
        <is>
          <t>Доставка и полагане на горен слой EPDM гранулирана фракция</t>
        </is>
      </c>
      <c r="D33" s="30" t="inlineStr">
        <is>
          <t>Дебелина - 0,5 см Цвят - оранжев, RAL 2008</t>
        </is>
      </c>
      <c r="E33" s="11" t="inlineStr">
        <is>
          <t>m²</t>
        </is>
      </c>
      <c r="F33" s="9" t="n">
        <v>36</v>
      </c>
      <c r="G33" t="n">
        <v>45</v>
      </c>
      <c r="H33" t="n">
        <v>1620</v>
      </c>
      <c r="L33" s="103" t="n"/>
    </row>
    <row r="34" customFormat="1" s="1">
      <c r="B34" s="85" t="inlineStr">
        <is>
          <t>2.</t>
        </is>
      </c>
      <c r="C34" s="85" t="inlineStr">
        <is>
          <t>Рехабилитационна площадка</t>
        </is>
      </c>
      <c r="D34" s="102" t="n"/>
      <c r="E34" s="41" t="inlineStr">
        <is>
          <t>m²</t>
        </is>
      </c>
      <c r="F34" s="42" t="n">
        <v>130</v>
      </c>
      <c r="L34" s="103" t="n"/>
    </row>
    <row r="35" ht="76.5" customFormat="1" customHeight="1" s="1">
      <c r="B35" s="29" t="inlineStr">
        <is>
          <t>2.1.4</t>
        </is>
      </c>
      <c r="C35" s="30" t="inlineStr">
        <is>
          <t xml:space="preserve">Доставка и монтаж на врати - летящи за рехабилитационна и фитнес площадка </t>
        </is>
      </c>
      <c r="D35" s="38" t="inlineStr">
        <is>
          <t>Врати от импрегнирана дървесина, Височина/Ширина 90х100 cm</t>
        </is>
      </c>
      <c r="E35" s="9" t="inlineStr">
        <is>
          <t>бр.</t>
        </is>
      </c>
      <c r="F35" s="9" t="n">
        <v>4</v>
      </c>
      <c r="G35" t="n">
        <v>250</v>
      </c>
      <c r="H35" t="n">
        <v>1000</v>
      </c>
      <c r="L35" s="103" t="n"/>
    </row>
    <row r="36" ht="75" customFormat="1" customHeight="1" s="1">
      <c r="B36" s="29" t="inlineStr">
        <is>
          <t>2.1.5</t>
        </is>
      </c>
      <c r="C36" s="30" t="inlineStr">
        <is>
          <t xml:space="preserve">Доставка и монтаж на ограден стълб </t>
        </is>
      </c>
      <c r="D36" s="38" t="inlineStr">
        <is>
          <t>Метален ограден стълб от импрегнирано дърво, Н = 100 см, Цвят - сив, RAL 7024</t>
        </is>
      </c>
      <c r="E36" s="9" t="inlineStr">
        <is>
          <t>бр.</t>
        </is>
      </c>
      <c r="F36" s="9" t="n">
        <v>46</v>
      </c>
      <c r="G36" t="n">
        <v>50</v>
      </c>
      <c r="H36" t="n">
        <v>2300</v>
      </c>
      <c r="L36" s="103" t="n"/>
    </row>
    <row r="37" ht="44.25" customFormat="1" customHeight="1" s="1">
      <c r="B37" s="29" t="inlineStr">
        <is>
          <t>2.1.6</t>
        </is>
      </c>
      <c r="C37" s="30" t="inlineStr">
        <is>
          <t xml:space="preserve">Доставка и монтаж на оградно пано </t>
        </is>
      </c>
      <c r="D37" s="38" t="inlineStr">
        <is>
          <t>Ограни пана от импрегнирана дървесина, Н = 100 см</t>
        </is>
      </c>
      <c r="E37" s="9" t="inlineStr">
        <is>
          <t>бр.</t>
        </is>
      </c>
      <c r="F37" s="9" t="n">
        <v>44</v>
      </c>
      <c r="G37" t="n">
        <v>50</v>
      </c>
      <c r="H37" t="n">
        <v>2200</v>
      </c>
      <c r="L37" s="103" t="n"/>
    </row>
    <row r="38" ht="45.9" customFormat="1" customHeight="1" s="1">
      <c r="B38" s="29" t="inlineStr">
        <is>
          <t>2.1.7</t>
        </is>
      </c>
      <c r="C38" s="30" t="inlineStr">
        <is>
          <t>Доставка и монтаж на мултифункционална пейка за трениране</t>
        </is>
      </c>
      <c r="D38" s="30" t="inlineStr">
        <is>
          <t>Размер: Ш/Д/В - 2000/400/600</t>
        </is>
      </c>
      <c r="E38" s="9" t="inlineStr">
        <is>
          <t>бр.</t>
        </is>
      </c>
      <c r="F38" s="9" t="n">
        <v>1</v>
      </c>
      <c r="G38" t="n">
        <v>800</v>
      </c>
      <c r="H38" t="n">
        <v>800</v>
      </c>
      <c r="L38" s="103" t="n"/>
    </row>
    <row r="39" ht="107.1" customFormat="1" customHeight="1" s="1">
      <c r="B39" s="29" t="inlineStr">
        <is>
          <t>2.1.8</t>
        </is>
      </c>
      <c r="C39" s="30" t="inlineStr">
        <is>
          <t>Доставка и монтаж на комбинирано съоръжение за стрийт фитнес</t>
        </is>
      </c>
      <c r="D39" s="30" t="inlineStr">
        <is>
          <t>Комбинирано съоръжение състоящо се от: 2 бр. лостове на различна височина, 2-на успоредка, шведска стена</t>
        </is>
      </c>
      <c r="E39" s="9" t="inlineStr">
        <is>
          <t>бр.</t>
        </is>
      </c>
      <c r="F39" s="9" t="n">
        <v>1</v>
      </c>
      <c r="G39" t="n">
        <v>4000</v>
      </c>
      <c r="H39" t="n">
        <v>4000</v>
      </c>
      <c r="L39" s="103" t="n"/>
    </row>
    <row r="40" ht="122.4" customFormat="1" customHeight="1" s="1">
      <c r="B40" s="29" t="inlineStr">
        <is>
          <t>2.1.9</t>
        </is>
      </c>
      <c r="C40" s="30" t="inlineStr">
        <is>
          <t>Доставка и монтаж на кростренажор за фитнес на открито</t>
        </is>
      </c>
      <c r="D40" s="30" t="inlineStr">
        <is>
          <t xml:space="preserve">Кростренажор – външен фитнес уред – подпомага дейността на сърцето и тренира комплексно мускулатурата на цялото тяло. </t>
        </is>
      </c>
      <c r="E40" s="9" t="inlineStr">
        <is>
          <t>бр.</t>
        </is>
      </c>
      <c r="F40" s="9" t="n">
        <v>1</v>
      </c>
      <c r="G40" t="n">
        <v>800</v>
      </c>
      <c r="H40" t="n">
        <v>800</v>
      </c>
      <c r="L40" s="103" t="n"/>
    </row>
    <row r="41" ht="45.9" customFormat="1" customHeight="1" s="1">
      <c r="B41" s="29" t="inlineStr">
        <is>
          <t>2.1.10</t>
        </is>
      </c>
      <c r="C41" s="30" t="inlineStr">
        <is>
          <t>Доставка и монтаж тренажор за раздвижване на хора с увреждания</t>
        </is>
      </c>
      <c r="D41" s="30" t="inlineStr">
        <is>
          <t>Размер: 1,37х0,95х1,032м</t>
        </is>
      </c>
      <c r="E41" s="9" t="inlineStr">
        <is>
          <t>бр.</t>
        </is>
      </c>
      <c r="F41" s="9" t="n">
        <v>1</v>
      </c>
      <c r="G41" t="n">
        <v>500</v>
      </c>
      <c r="H41" t="n">
        <v>500</v>
      </c>
      <c r="L41" s="103" t="n"/>
    </row>
    <row r="42" ht="30.6" customFormat="1" customHeight="1" s="1">
      <c r="B42" s="29" t="inlineStr">
        <is>
          <t>2.1.11</t>
        </is>
      </c>
      <c r="C42" s="30" t="inlineStr">
        <is>
          <t xml:space="preserve">Доставка и монтаж на велоергометър </t>
        </is>
      </c>
      <c r="D42" s="30" t="inlineStr">
        <is>
          <t>Размер: 0,90х0,68м</t>
        </is>
      </c>
      <c r="E42" s="9" t="inlineStr">
        <is>
          <t>бр.</t>
        </is>
      </c>
      <c r="F42" s="9" t="n">
        <v>1</v>
      </c>
      <c r="G42" t="n">
        <v>300</v>
      </c>
      <c r="H42" t="n">
        <v>300</v>
      </c>
      <c r="L42" s="103" t="n"/>
    </row>
    <row r="43" ht="15" customFormat="1" customHeight="1" s="1">
      <c r="B43" s="85" t="inlineStr">
        <is>
          <t>3.</t>
        </is>
      </c>
      <c r="C43" s="85" t="inlineStr">
        <is>
          <t>Почвоподготовка</t>
        </is>
      </c>
      <c r="D43" s="102" t="n"/>
      <c r="E43" s="43" t="n"/>
      <c r="F43" s="43" t="n"/>
      <c r="L43" s="103" t="n"/>
    </row>
    <row r="44" ht="66.75" customFormat="1" customHeight="1" s="1">
      <c r="B44" s="29" t="inlineStr">
        <is>
          <t>3.1</t>
        </is>
      </c>
      <c r="C44" s="30" t="inlineStr">
        <is>
          <t>Премахване/отсичане на дървета в лошо състояние с изваждане на пънове и извозване</t>
        </is>
      </c>
      <c r="D44" s="9" t="n"/>
      <c r="E44" s="9" t="inlineStr">
        <is>
          <t>бр.</t>
        </is>
      </c>
      <c r="F44" s="9" t="n">
        <v>1</v>
      </c>
      <c r="G44" t="n">
        <v>200</v>
      </c>
      <c r="H44" t="n">
        <v>200</v>
      </c>
      <c r="L44" s="103" t="n"/>
    </row>
    <row r="45" ht="104.25" customFormat="1" customHeight="1" s="1">
      <c r="B45" s="29" t="inlineStr">
        <is>
          <t>3.2</t>
        </is>
      </c>
      <c r="C45" s="30" t="inlineStr">
        <is>
          <t>Кастрене на счупени, повредени или заболели клони на съществуващи дървета; обработване на отрези, хралупи и повреди по кората и запечатването им.</t>
        </is>
      </c>
      <c r="D45" s="9" t="n"/>
      <c r="E45" s="9" t="inlineStr">
        <is>
          <t>бр.</t>
        </is>
      </c>
      <c r="F45" s="9" t="n">
        <v>15</v>
      </c>
      <c r="G45" t="n">
        <v>100</v>
      </c>
      <c r="H45" t="n">
        <v>1500</v>
      </c>
      <c r="L45" s="103" t="n"/>
    </row>
    <row r="46" ht="82.5" customFormat="1" customHeight="1" s="1">
      <c r="B46" s="29" t="inlineStr">
        <is>
          <t>3.3</t>
        </is>
      </c>
      <c r="C46" s="30" t="inlineStr">
        <is>
          <t>Укрепване на стръмни откоси посредством биоразградими, армирани био рогозки от кокосови влакна.</t>
        </is>
      </c>
      <c r="D46" s="9" t="n"/>
      <c r="E46" s="11" t="inlineStr">
        <is>
          <t>m²</t>
        </is>
      </c>
      <c r="F46" s="9" t="n">
        <v>201</v>
      </c>
      <c r="G46" t="n">
        <v>30</v>
      </c>
      <c r="H46" t="n">
        <v>6030</v>
      </c>
      <c r="L46" s="103" t="n"/>
    </row>
    <row r="47" ht="76.5" customFormat="1" customHeight="1" s="1">
      <c r="B47" s="29" t="inlineStr">
        <is>
          <t>3.4</t>
        </is>
      </c>
      <c r="C47" s="30" t="inlineStr">
        <is>
          <t>Почистване на терени за затревяване; премахване на храсталачна растителност; заравняване на терена и почвоподготовка.</t>
        </is>
      </c>
      <c r="D47" s="30" t="n"/>
      <c r="E47" s="11" t="inlineStr">
        <is>
          <t>m²</t>
        </is>
      </c>
      <c r="F47" s="44" t="n">
        <v>3792.1</v>
      </c>
      <c r="G47" t="n">
        <v>10</v>
      </c>
      <c r="H47" t="n">
        <v>37921</v>
      </c>
      <c r="L47" s="103" t="n"/>
    </row>
    <row r="48" ht="30.6" customFormat="1" customHeight="1" s="1">
      <c r="B48" s="29" t="inlineStr">
        <is>
          <t>3.5</t>
        </is>
      </c>
      <c r="C48" s="30" t="inlineStr">
        <is>
          <t>Насип от хумусен слой               ~ 3792.1 м2</t>
        </is>
      </c>
      <c r="D48" s="30" t="inlineStr">
        <is>
          <t>H=10см</t>
        </is>
      </c>
      <c r="E48" s="11" t="inlineStr">
        <is>
          <t>m³</t>
        </is>
      </c>
      <c r="F48" s="45" t="inlineStr">
        <is>
          <t>380</t>
        </is>
      </c>
      <c r="G48" t="n">
        <v>35</v>
      </c>
      <c r="L48" s="103" t="n"/>
    </row>
    <row r="49" ht="94.5" customFormat="1" customHeight="1" s="1">
      <c r="B49" s="29" t="inlineStr">
        <is>
          <t>3.6</t>
        </is>
      </c>
      <c r="C49" s="30" t="inlineStr">
        <is>
          <t>Минерални торове - комбиниран NPK ~ 2644.8 м2</t>
        </is>
      </c>
      <c r="D49" s="30" t="inlineStr">
        <is>
          <t>Норма 2,5кг/100м2</t>
        </is>
      </c>
      <c r="E49" s="9" t="inlineStr">
        <is>
          <t>kg</t>
        </is>
      </c>
      <c r="F49" s="44" t="n">
        <v>66.5</v>
      </c>
      <c r="G49" t="n">
        <v>80</v>
      </c>
      <c r="H49" t="n">
        <v>5320</v>
      </c>
      <c r="L49" s="103" t="n"/>
    </row>
    <row r="50" ht="15" customFormat="1" customHeight="1" s="1">
      <c r="B50" s="85" t="inlineStr">
        <is>
          <t>4.</t>
        </is>
      </c>
      <c r="C50" s="85" t="inlineStr">
        <is>
          <t>Труд и засаждане на растителен материал</t>
        </is>
      </c>
      <c r="D50" s="102" t="n"/>
      <c r="E50" s="43" t="n"/>
      <c r="F50" s="43" t="n"/>
      <c r="L50" s="103" t="n"/>
    </row>
    <row r="51" ht="15" customFormat="1" customHeight="1" s="1">
      <c r="B51" s="29" t="inlineStr">
        <is>
          <t>4.1</t>
        </is>
      </c>
      <c r="C51" s="46" t="inlineStr">
        <is>
          <t>Затревяване</t>
        </is>
      </c>
      <c r="D51" s="47" t="n"/>
      <c r="E51" s="11" t="inlineStr">
        <is>
          <t>m²</t>
        </is>
      </c>
      <c r="F51" s="48" t="inlineStr">
        <is>
          <t>2644,8</t>
        </is>
      </c>
      <c r="G51" t="n">
        <v>7</v>
      </c>
      <c r="L51" s="103" t="n"/>
    </row>
    <row r="52" ht="76.5" customFormat="1" customHeight="1" s="1">
      <c r="B52" s="29" t="inlineStr">
        <is>
          <t>4.1.1</t>
        </is>
      </c>
      <c r="C52" s="46" t="inlineStr">
        <is>
          <t>Засаждане и укрепване на едроразмерна иглолистна растителност</t>
        </is>
      </c>
      <c r="D52" s="30" t="inlineStr">
        <is>
          <t>Укрепване с 3бр. обелени кола, 3 летви-разпънки и колани за привързване</t>
        </is>
      </c>
      <c r="E52" s="9" t="inlineStr">
        <is>
          <t>бр.</t>
        </is>
      </c>
      <c r="F52" s="9" t="n">
        <v>22</v>
      </c>
      <c r="G52" t="n">
        <v>25</v>
      </c>
      <c r="H52" t="n">
        <v>550</v>
      </c>
      <c r="L52" s="103" t="n"/>
    </row>
    <row r="53" ht="45.9" customFormat="1" customHeight="1" s="1">
      <c r="B53" s="29" t="inlineStr">
        <is>
          <t>4.1.2</t>
        </is>
      </c>
      <c r="C53" s="30" t="inlineStr">
        <is>
          <t>Засаждане на средноразмерна иглолистна растителност</t>
        </is>
      </c>
      <c r="D53" s="29" t="n"/>
      <c r="E53" s="9" t="inlineStr">
        <is>
          <t>бр.</t>
        </is>
      </c>
      <c r="F53" s="9" t="n">
        <v>25</v>
      </c>
      <c r="G53" t="n">
        <v>10</v>
      </c>
      <c r="H53" t="n">
        <v>250</v>
      </c>
      <c r="L53" s="103" t="n"/>
    </row>
    <row r="54" ht="76.5" customFormat="1" customHeight="1" s="1">
      <c r="B54" s="29" t="inlineStr">
        <is>
          <t>4.1.3</t>
        </is>
      </c>
      <c r="C54" s="46" t="inlineStr">
        <is>
          <t>Засаждане и укрепване на едроразмерна широколистна растителност</t>
        </is>
      </c>
      <c r="D54" s="46" t="inlineStr">
        <is>
          <t>Укрепване с 3бр. обелени кола, 3 летви-разпънки и колани за привързване</t>
        </is>
      </c>
      <c r="E54" s="9" t="inlineStr">
        <is>
          <t>бр.</t>
        </is>
      </c>
      <c r="F54" s="9" t="n">
        <v>23</v>
      </c>
      <c r="G54" t="n">
        <v>25</v>
      </c>
      <c r="H54" t="n">
        <v>575</v>
      </c>
      <c r="L54" s="103" t="n"/>
    </row>
    <row r="55" ht="45" customFormat="1" customHeight="1" s="1">
      <c r="B55" s="29" t="inlineStr">
        <is>
          <t>4.1.4</t>
        </is>
      </c>
      <c r="C55" s="46" t="inlineStr">
        <is>
          <t>Засаждане на средноразмерна широколистна растителност</t>
        </is>
      </c>
      <c r="D55" s="29" t="n"/>
      <c r="E55" s="9" t="inlineStr">
        <is>
          <t>бр.</t>
        </is>
      </c>
      <c r="F55" s="9" t="n">
        <v>102</v>
      </c>
      <c r="G55" t="n">
        <v>10</v>
      </c>
      <c r="H55" t="n">
        <v>1020</v>
      </c>
      <c r="L55" s="103" t="n"/>
    </row>
    <row r="56" ht="45.9" customFormat="1" customHeight="1" s="1">
      <c r="B56" s="29" t="inlineStr">
        <is>
          <t>4.1.5</t>
        </is>
      </c>
      <c r="C56" s="46" t="inlineStr">
        <is>
          <t>Засаждане на храсти, декоративни треви и увивна растителност</t>
        </is>
      </c>
      <c r="D56" s="29" t="n"/>
      <c r="E56" s="9" t="inlineStr">
        <is>
          <t>бр.</t>
        </is>
      </c>
      <c r="F56" s="9" t="n">
        <v>4996</v>
      </c>
      <c r="G56" t="n">
        <v>5</v>
      </c>
      <c r="H56" t="n">
        <v>24980</v>
      </c>
      <c r="L56" s="103" t="n"/>
    </row>
    <row r="57" ht="30.6" customFormat="1" customHeight="1" s="1">
      <c r="B57" s="29" t="inlineStr">
        <is>
          <t>4.1.6</t>
        </is>
      </c>
      <c r="C57" s="30" t="inlineStr">
        <is>
          <t>Мулч от борова кора                   ~ 1147.3 м2</t>
        </is>
      </c>
      <c r="D57" s="31" t="inlineStr">
        <is>
          <t>H = 6 см</t>
        </is>
      </c>
      <c r="E57" s="11" t="inlineStr">
        <is>
          <t>m³</t>
        </is>
      </c>
      <c r="F57" s="9" t="n">
        <v>69</v>
      </c>
      <c r="G57" t="n">
        <v>220</v>
      </c>
      <c r="H57" t="n">
        <v>15180</v>
      </c>
      <c r="L57" s="103" t="n"/>
    </row>
    <row r="58" customFormat="1" s="1">
      <c r="B58" s="24" t="inlineStr">
        <is>
          <t>4.2</t>
        </is>
      </c>
      <c r="C58" s="49" t="inlineStr">
        <is>
          <t>Растителен материал</t>
        </is>
      </c>
      <c r="D58" s="24" t="n"/>
      <c r="E58" s="50" t="inlineStr">
        <is>
          <t>бр.</t>
        </is>
      </c>
      <c r="F58" s="10">
        <f>SUM(F59+F66+F78)</f>
        <v/>
      </c>
      <c r="G58" t="n">
        <v>10</v>
      </c>
      <c r="L58" s="103" t="n"/>
    </row>
    <row r="59" customFormat="1" s="1">
      <c r="B59" s="24" t="inlineStr">
        <is>
          <t>4.2.1</t>
        </is>
      </c>
      <c r="C59" s="49" t="inlineStr">
        <is>
          <t>Иглолистни дървета</t>
        </is>
      </c>
      <c r="D59" s="24" t="n"/>
      <c r="E59" s="50" t="inlineStr">
        <is>
          <t>бр.</t>
        </is>
      </c>
      <c r="F59" s="10">
        <f>SUM(F60:F65)</f>
        <v/>
      </c>
      <c r="L59" s="103" t="n"/>
    </row>
    <row r="60" ht="45.9" customFormat="1" customHeight="1" s="1">
      <c r="B60" s="29" t="inlineStr">
        <is>
          <t>1</t>
        </is>
      </c>
      <c r="C60" s="51" t="inlineStr">
        <is>
          <t>Abies pinsapo</t>
        </is>
      </c>
      <c r="D60" s="30" t="inlineStr">
        <is>
          <t>Испанска ела               H=220-250     единично/ групи</t>
        </is>
      </c>
      <c r="E60" s="48" t="inlineStr">
        <is>
          <t>бр.</t>
        </is>
      </c>
      <c r="F60" s="9" t="n">
        <v>12</v>
      </c>
      <c r="G60" t="n">
        <v>60</v>
      </c>
      <c r="H60" t="n">
        <v>720</v>
      </c>
      <c r="L60" s="103" t="n"/>
    </row>
    <row r="61" ht="45.9" customFormat="1" customHeight="1" s="1">
      <c r="B61" s="29" t="inlineStr">
        <is>
          <t>2</t>
        </is>
      </c>
      <c r="C61" s="51" t="inlineStr">
        <is>
          <t>Cupressus arizonica</t>
        </is>
      </c>
      <c r="D61" s="30" t="inlineStr">
        <is>
          <t>Aризонски кипарис H=100-125          единично/ групи</t>
        </is>
      </c>
      <c r="E61" s="48" t="inlineStr">
        <is>
          <t>бр.</t>
        </is>
      </c>
      <c r="F61" s="9" t="n">
        <v>9</v>
      </c>
      <c r="G61" t="n">
        <v>20</v>
      </c>
      <c r="H61" t="n">
        <v>180</v>
      </c>
      <c r="L61" s="103" t="n"/>
    </row>
    <row r="62" ht="45.9" customFormat="1" customHeight="1" s="1">
      <c r="B62" s="29" t="inlineStr">
        <is>
          <t>3</t>
        </is>
      </c>
      <c r="C62" s="51" t="inlineStr">
        <is>
          <t>Cupressus sempervirens</t>
        </is>
      </c>
      <c r="D62" s="30" t="inlineStr">
        <is>
          <t>Oбикновен кипарис H=200-250     единично/ групи</t>
        </is>
      </c>
      <c r="E62" s="48" t="inlineStr">
        <is>
          <t>бр.</t>
        </is>
      </c>
      <c r="F62" s="9" t="n">
        <v>15</v>
      </c>
      <c r="G62" t="n">
        <v>10</v>
      </c>
      <c r="H62" t="n">
        <v>150</v>
      </c>
      <c r="L62" s="103" t="n"/>
    </row>
    <row r="63" ht="45.9" customFormat="1" customHeight="1" s="1">
      <c r="B63" s="29" t="inlineStr">
        <is>
          <t>4</t>
        </is>
      </c>
      <c r="C63" s="51" t="inlineStr">
        <is>
          <t>Pinus maritima / Pinus pinea</t>
        </is>
      </c>
      <c r="D63" s="30" t="inlineStr">
        <is>
          <t>Морски бор / Пиния H=200-250     единично/ групи</t>
        </is>
      </c>
      <c r="E63" s="48" t="inlineStr">
        <is>
          <t>бр.</t>
        </is>
      </c>
      <c r="F63" s="9" t="n">
        <v>9</v>
      </c>
      <c r="G63" t="n">
        <v>60</v>
      </c>
      <c r="H63" t="n">
        <v>540</v>
      </c>
      <c r="L63" s="103" t="n"/>
    </row>
    <row r="64" ht="45.9" customFormat="1" customHeight="1" s="1">
      <c r="B64" s="40" t="inlineStr">
        <is>
          <t>4'</t>
        </is>
      </c>
      <c r="C64" s="52" t="inlineStr">
        <is>
          <t>Pinus mugo pumilio</t>
        </is>
      </c>
      <c r="D64" s="90" t="inlineStr">
        <is>
          <t>Планински бор джудже H=50-100 единично/ акцент</t>
        </is>
      </c>
      <c r="E64" s="48" t="inlineStr">
        <is>
          <t>бр.</t>
        </is>
      </c>
      <c r="F64" s="9" t="n">
        <v>27</v>
      </c>
      <c r="G64" t="n">
        <v>10</v>
      </c>
      <c r="H64" t="n">
        <v>270</v>
      </c>
      <c r="L64" s="103" t="n"/>
    </row>
    <row r="65" ht="45.9" customFormat="1" customHeight="1" s="1">
      <c r="B65" s="29" t="inlineStr">
        <is>
          <t>5</t>
        </is>
      </c>
      <c r="C65" s="51" t="inlineStr">
        <is>
          <t>Thuja occidentalis 'Danica'</t>
        </is>
      </c>
      <c r="D65" s="30" t="inlineStr">
        <is>
          <t>Кълбовидна западна туя H=50-60  единично/ групи</t>
        </is>
      </c>
      <c r="E65" s="48" t="inlineStr">
        <is>
          <t>бр.</t>
        </is>
      </c>
      <c r="F65" s="44" t="n">
        <v>41</v>
      </c>
      <c r="G65" t="n">
        <v>15</v>
      </c>
      <c r="H65" t="n">
        <v>615</v>
      </c>
      <c r="L65" s="103" t="n"/>
    </row>
    <row r="66" customFormat="1" s="1">
      <c r="B66" s="24" t="inlineStr">
        <is>
          <t>4.2.2</t>
        </is>
      </c>
      <c r="C66" s="49" t="inlineStr">
        <is>
          <t>Широколистни дървета</t>
        </is>
      </c>
      <c r="D66" s="24" t="n"/>
      <c r="E66" s="50" t="inlineStr">
        <is>
          <t>бр.</t>
        </is>
      </c>
      <c r="F66" s="10">
        <f>SUM(F67:F77)</f>
        <v/>
      </c>
      <c r="G66" t="n">
        <v>10</v>
      </c>
      <c r="L66" s="103" t="n"/>
    </row>
    <row r="67" ht="45.9" customFormat="1" customHeight="1" s="1">
      <c r="B67" s="29" t="inlineStr">
        <is>
          <t>6</t>
        </is>
      </c>
      <c r="C67" s="51" t="inlineStr">
        <is>
          <t>Aesculus carnea</t>
        </is>
      </c>
      <c r="D67" s="30" t="inlineStr">
        <is>
          <t>Червен конски кестен H=250-300     единично/ групи</t>
        </is>
      </c>
      <c r="E67" s="48" t="inlineStr">
        <is>
          <t>бр.</t>
        </is>
      </c>
      <c r="F67" s="44" t="n">
        <v>15</v>
      </c>
      <c r="G67" t="n">
        <v>120</v>
      </c>
      <c r="H67" t="n">
        <v>1800</v>
      </c>
      <c r="L67" s="103" t="n"/>
    </row>
    <row r="68" ht="61.2" customFormat="1" customHeight="1" s="1">
      <c r="B68" s="29" t="inlineStr">
        <is>
          <t>7</t>
        </is>
      </c>
      <c r="C68" s="51" t="inlineStr">
        <is>
          <t>Albizia julibrissin</t>
        </is>
      </c>
      <c r="D68" s="30" t="inlineStr">
        <is>
          <t>Юлибрисинова албиция                          H=250-300     единично/ акцент</t>
        </is>
      </c>
      <c r="E68" s="48" t="inlineStr">
        <is>
          <t>бр.</t>
        </is>
      </c>
      <c r="F68" s="9" t="n">
        <v>3</v>
      </c>
      <c r="G68" t="n">
        <v>50</v>
      </c>
      <c r="H68" t="n">
        <v>150</v>
      </c>
      <c r="L68" s="103" t="n"/>
    </row>
    <row r="69" ht="45.9" customFormat="1" customHeight="1" s="1">
      <c r="B69" s="29" t="inlineStr">
        <is>
          <t>8</t>
        </is>
      </c>
      <c r="C69" s="51" t="inlineStr">
        <is>
          <t>Callistemon laevis</t>
        </is>
      </c>
      <c r="D69" s="30" t="inlineStr">
        <is>
          <t>Калистемон                  H=125-150     единично/ анцент</t>
        </is>
      </c>
      <c r="E69" s="48" t="inlineStr">
        <is>
          <t>бр.</t>
        </is>
      </c>
      <c r="F69" s="44" t="n">
        <v>2</v>
      </c>
      <c r="G69" t="n">
        <v>30</v>
      </c>
      <c r="H69" t="n">
        <v>60</v>
      </c>
      <c r="L69" s="103" t="n"/>
    </row>
    <row r="70" ht="45.9" customFormat="1" customHeight="1" s="1">
      <c r="B70" s="29" t="inlineStr">
        <is>
          <t>9</t>
        </is>
      </c>
      <c r="C70" s="51" t="inlineStr">
        <is>
          <t>Celtis australis</t>
        </is>
      </c>
      <c r="D70" s="30" t="inlineStr">
        <is>
          <t>Южна копривка          H=250-300     единично/ групи</t>
        </is>
      </c>
      <c r="E70" s="48" t="inlineStr">
        <is>
          <t>бр.</t>
        </is>
      </c>
      <c r="F70" s="44" t="n">
        <v>54</v>
      </c>
      <c r="G70" t="n">
        <v>65</v>
      </c>
      <c r="H70" t="n">
        <v>3510</v>
      </c>
      <c r="L70" s="103" t="n"/>
    </row>
    <row r="71" ht="45.9" customFormat="1" customHeight="1" s="1">
      <c r="B71" s="29" t="inlineStr">
        <is>
          <t>10</t>
        </is>
      </c>
      <c r="C71" s="51" t="inlineStr">
        <is>
          <t>Diospyros kaki</t>
        </is>
      </c>
      <c r="D71" s="30" t="inlineStr">
        <is>
          <t>Райска ябълка              H=150-180     единично/ акцент</t>
        </is>
      </c>
      <c r="E71" s="48" t="inlineStr">
        <is>
          <t>бр.</t>
        </is>
      </c>
      <c r="F71" s="9" t="n">
        <v>7</v>
      </c>
      <c r="G71" t="n">
        <v>30</v>
      </c>
      <c r="H71" t="n">
        <v>210</v>
      </c>
      <c r="L71" s="103" t="n"/>
    </row>
    <row r="72" ht="45.9" customFormat="1" customHeight="1" s="1">
      <c r="B72" s="29" t="inlineStr">
        <is>
          <t>11</t>
        </is>
      </c>
      <c r="C72" s="51" t="inlineStr">
        <is>
          <t xml:space="preserve">Fraxinus ornus </t>
        </is>
      </c>
      <c r="D72" s="30" t="inlineStr">
        <is>
          <t>Мъждрян                       H=250-300     единично/ групи</t>
        </is>
      </c>
      <c r="E72" s="48" t="inlineStr">
        <is>
          <t>бр.</t>
        </is>
      </c>
      <c r="F72" s="44" t="n">
        <v>20</v>
      </c>
      <c r="G72" t="n">
        <v>60</v>
      </c>
      <c r="H72" t="n">
        <v>1200</v>
      </c>
      <c r="L72" s="103" t="n"/>
    </row>
    <row r="73" ht="45.9" customFormat="1" customHeight="1" s="1">
      <c r="B73" s="29" t="inlineStr">
        <is>
          <t>12</t>
        </is>
      </c>
      <c r="C73" s="51" t="inlineStr">
        <is>
          <t>Lagerstroemia indica</t>
        </is>
      </c>
      <c r="D73" s="30" t="inlineStr">
        <is>
          <t>Индийски люляк         H=120-150     единично/ акцент</t>
        </is>
      </c>
      <c r="E73" s="48" t="inlineStr">
        <is>
          <t>бр.</t>
        </is>
      </c>
      <c r="F73" s="9" t="n">
        <v>4</v>
      </c>
      <c r="G73" t="n">
        <v>15</v>
      </c>
      <c r="H73" t="n">
        <v>60</v>
      </c>
      <c r="L73" s="103" t="n"/>
    </row>
    <row r="74" ht="61.2" customFormat="1" customHeight="1" s="1">
      <c r="B74" s="29" t="inlineStr">
        <is>
          <t>13</t>
        </is>
      </c>
      <c r="C74" s="51" t="inlineStr">
        <is>
          <t>Magnolia grandiflora</t>
        </is>
      </c>
      <c r="D74" s="30" t="inlineStr">
        <is>
          <t>Вечнозелена магнолия                       H=150-175        единично/ акцент</t>
        </is>
      </c>
      <c r="E74" s="48" t="inlineStr">
        <is>
          <t>бр.</t>
        </is>
      </c>
      <c r="F74" s="9" t="n">
        <v>5</v>
      </c>
      <c r="G74" t="n">
        <v>80</v>
      </c>
      <c r="H74" t="n">
        <v>400</v>
      </c>
      <c r="L74" s="103" t="n"/>
    </row>
    <row r="75" ht="45.9" customFormat="1" customHeight="1" s="1">
      <c r="B75" s="29" t="inlineStr">
        <is>
          <t>14</t>
        </is>
      </c>
      <c r="C75" s="51" t="inlineStr">
        <is>
          <t>Platanus orientalis</t>
        </is>
      </c>
      <c r="D75" s="30" t="inlineStr">
        <is>
          <t>Източен платан          H=220-250     единично/ групи</t>
        </is>
      </c>
      <c r="E75" s="48" t="inlineStr">
        <is>
          <t>бр.</t>
        </is>
      </c>
      <c r="F75" s="9" t="n">
        <v>15</v>
      </c>
      <c r="G75" t="n">
        <v>80</v>
      </c>
      <c r="H75" t="n">
        <v>1200</v>
      </c>
      <c r="L75" s="103" t="n"/>
    </row>
    <row r="76" ht="45.9" customFormat="1" customHeight="1" s="1">
      <c r="B76" s="29" t="inlineStr">
        <is>
          <t>15</t>
        </is>
      </c>
      <c r="C76" s="51" t="inlineStr">
        <is>
          <t>Punica granatum</t>
        </is>
      </c>
      <c r="D76" s="30" t="inlineStr">
        <is>
          <t>Нар                                    H=125-150 единично/ групи</t>
        </is>
      </c>
      <c r="E76" s="48" t="inlineStr">
        <is>
          <t>бр.</t>
        </is>
      </c>
      <c r="F76" s="44" t="n">
        <v>3</v>
      </c>
      <c r="G76" t="n">
        <v>30</v>
      </c>
      <c r="H76" t="n">
        <v>90</v>
      </c>
      <c r="L76" s="103" t="n"/>
    </row>
    <row r="77" ht="45.9" customFormat="1" customHeight="1" s="1">
      <c r="B77" s="29" t="inlineStr">
        <is>
          <t>16</t>
        </is>
      </c>
      <c r="C77" s="51" t="inlineStr">
        <is>
          <t xml:space="preserve">Quercus ilex </t>
        </is>
      </c>
      <c r="D77" s="30" t="inlineStr">
        <is>
          <t>Каменен дъб                H=150-180     единично/ групи</t>
        </is>
      </c>
      <c r="E77" s="48" t="inlineStr">
        <is>
          <t>бр.</t>
        </is>
      </c>
      <c r="F77" s="44" t="n">
        <v>8</v>
      </c>
      <c r="G77" t="n">
        <v>60</v>
      </c>
      <c r="H77" t="n">
        <v>480</v>
      </c>
      <c r="L77" s="103" t="n"/>
    </row>
    <row r="78" ht="45" customFormat="1" customHeight="1" s="1">
      <c r="B78" s="24" t="inlineStr">
        <is>
          <t>4.2.3</t>
        </is>
      </c>
      <c r="C78" s="49" t="inlineStr">
        <is>
          <t>Храсти, декоративни треви и увивна растителност</t>
        </is>
      </c>
      <c r="D78" s="24" t="n"/>
      <c r="E78" s="50" t="inlineStr">
        <is>
          <t>бр.</t>
        </is>
      </c>
      <c r="F78" s="10">
        <f>SUM(F79:F102)</f>
        <v/>
      </c>
      <c r="G78" t="n">
        <v>5</v>
      </c>
      <c r="L78" s="103" t="n"/>
    </row>
    <row r="79" ht="30.6" customFormat="1" customHeight="1" s="1">
      <c r="B79" s="29" t="inlineStr">
        <is>
          <t>17</t>
        </is>
      </c>
      <c r="C79" s="51" t="inlineStr">
        <is>
          <t>Berberis thunbergii 'Atropurpurea Nana'</t>
        </is>
      </c>
      <c r="D79" s="30" t="inlineStr">
        <is>
          <t>Кисел трън H=20-30      5 бр./m2</t>
        </is>
      </c>
      <c r="E79" s="48" t="inlineStr">
        <is>
          <t>бр.</t>
        </is>
      </c>
      <c r="F79" s="9" t="n">
        <v>68</v>
      </c>
      <c r="G79" t="n">
        <v>20</v>
      </c>
      <c r="H79" t="n">
        <v>1360</v>
      </c>
      <c r="L79" s="103" t="n"/>
    </row>
    <row r="80" ht="45.9" customFormat="1" customHeight="1" s="1">
      <c r="B80" s="29" t="inlineStr">
        <is>
          <t>18</t>
        </is>
      </c>
      <c r="C80" s="51" t="inlineStr">
        <is>
          <t>Cotoneaster dammeri</t>
        </is>
      </c>
      <c r="D80" s="5" t="inlineStr">
        <is>
          <t>Дамеров котонеастър H=20-30                                 5 бр./m2</t>
        </is>
      </c>
      <c r="E80" s="48" t="inlineStr">
        <is>
          <t>бр.</t>
        </is>
      </c>
      <c r="F80" s="44" t="n">
        <v>1327</v>
      </c>
      <c r="G80" t="n">
        <v>10</v>
      </c>
      <c r="H80" t="n">
        <v>13270</v>
      </c>
      <c r="L80" s="103" t="n"/>
    </row>
    <row r="81" ht="45.9" customFormat="1" customHeight="1" s="1">
      <c r="B81" s="29" t="inlineStr">
        <is>
          <t>19</t>
        </is>
      </c>
      <c r="C81" s="51" t="inlineStr">
        <is>
          <t>Deutzia crenata 'Nikko'</t>
        </is>
      </c>
      <c r="D81" s="5" t="inlineStr">
        <is>
          <t>Грапава дойция           H=20-30                              5 бр./m2</t>
        </is>
      </c>
      <c r="E81" s="48" t="inlineStr">
        <is>
          <t>бр.</t>
        </is>
      </c>
      <c r="F81" s="44" t="n">
        <v>132</v>
      </c>
      <c r="G81" t="n">
        <v>10</v>
      </c>
      <c r="H81" t="n">
        <v>1320</v>
      </c>
      <c r="L81" s="103" t="n"/>
    </row>
    <row r="82" ht="45" customFormat="1" customHeight="1" s="1">
      <c r="B82" s="29" t="inlineStr">
        <is>
          <t>20</t>
        </is>
      </c>
      <c r="C82" s="51" t="inlineStr">
        <is>
          <t>Erica carnea</t>
        </is>
      </c>
      <c r="D82" s="30" t="inlineStr">
        <is>
          <t>Пирен, Червена ерика H=15-30                            9 бр./m2</t>
        </is>
      </c>
      <c r="E82" s="48" t="inlineStr">
        <is>
          <t>бр.</t>
        </is>
      </c>
      <c r="F82" s="9" t="n">
        <v>90</v>
      </c>
      <c r="G82" t="n">
        <v>8</v>
      </c>
      <c r="H82" t="n">
        <v>720</v>
      </c>
      <c r="L82" s="103" t="n"/>
    </row>
    <row r="83" ht="45.9" customFormat="1" customHeight="1" s="1">
      <c r="B83" s="29" t="inlineStr">
        <is>
          <t>21</t>
        </is>
      </c>
      <c r="C83" s="51" t="inlineStr">
        <is>
          <t>Euonymus fortunei 'Emerald &amp; Gold'</t>
        </is>
      </c>
      <c r="D83" s="5" t="inlineStr">
        <is>
          <t>Фортунов чашкодрян H=15-20                              5 бр./m2</t>
        </is>
      </c>
      <c r="E83" s="48" t="inlineStr">
        <is>
          <t>бр.</t>
        </is>
      </c>
      <c r="F83" s="44" t="n">
        <v>35</v>
      </c>
      <c r="G83" t="n">
        <v>8</v>
      </c>
      <c r="H83" t="n">
        <v>280</v>
      </c>
      <c r="L83" s="103" t="n"/>
    </row>
    <row r="84" ht="45.9" customFormat="1" customHeight="1" s="1">
      <c r="B84" s="29" t="inlineStr">
        <is>
          <t>22</t>
        </is>
      </c>
      <c r="C84" s="51" t="inlineStr">
        <is>
          <t>Euonymus fortunei 'Emerald Gaiety'</t>
        </is>
      </c>
      <c r="D84" s="5" t="inlineStr">
        <is>
          <t>Фортунов чашкодрян H=15-20                              5 бр./m2</t>
        </is>
      </c>
      <c r="E84" s="48" t="inlineStr">
        <is>
          <t>бр.</t>
        </is>
      </c>
      <c r="F84" s="44" t="n">
        <v>34</v>
      </c>
      <c r="G84" t="n">
        <v>8</v>
      </c>
      <c r="H84" t="n">
        <v>272</v>
      </c>
      <c r="L84" s="103" t="n"/>
    </row>
    <row r="85" ht="45.9" customFormat="1" customHeight="1" s="1">
      <c r="B85" s="29" t="inlineStr">
        <is>
          <t>23</t>
        </is>
      </c>
      <c r="C85" s="32" t="inlineStr">
        <is>
          <t>Euonymus japonicus 'Microphyllus'</t>
        </is>
      </c>
      <c r="D85" s="5" t="inlineStr">
        <is>
          <t>Японски чашкодрян H=15-20                              7 бр./m2</t>
        </is>
      </c>
      <c r="E85" s="48" t="inlineStr">
        <is>
          <t>бр.</t>
        </is>
      </c>
      <c r="F85" s="44" t="n">
        <v>70</v>
      </c>
      <c r="G85" t="n">
        <v>50</v>
      </c>
      <c r="H85" t="n">
        <v>3500</v>
      </c>
      <c r="L85" s="103" t="n"/>
    </row>
    <row r="86" ht="45.9" customFormat="1" customHeight="1" s="1">
      <c r="B86" s="29" t="inlineStr">
        <is>
          <t>24</t>
        </is>
      </c>
      <c r="C86" s="51" t="inlineStr">
        <is>
          <t>Lavandula angustifolia</t>
        </is>
      </c>
      <c r="D86" s="30" t="inlineStr">
        <is>
          <t>Лавандула                     H=10-20                            9 бр./m2</t>
        </is>
      </c>
      <c r="E86" s="48" t="inlineStr">
        <is>
          <t>бр.</t>
        </is>
      </c>
      <c r="F86" s="9" t="n">
        <v>53</v>
      </c>
      <c r="G86" t="n">
        <v>8</v>
      </c>
      <c r="H86" t="n">
        <v>424</v>
      </c>
      <c r="L86" s="103" t="n"/>
    </row>
    <row r="87" ht="45.9" customFormat="1" customHeight="1" s="1">
      <c r="B87" s="29" t="inlineStr">
        <is>
          <t>25</t>
        </is>
      </c>
      <c r="C87" s="51" t="inlineStr">
        <is>
          <t>Lonicera nitida</t>
        </is>
      </c>
      <c r="D87" s="5" t="inlineStr">
        <is>
          <t xml:space="preserve">Лъскав нокът                H=20-30                              5 бр./m' ; 9 бр./m2 </t>
        </is>
      </c>
      <c r="E87" s="48" t="inlineStr">
        <is>
          <t>бр.</t>
        </is>
      </c>
      <c r="F87" s="44" t="n">
        <v>8</v>
      </c>
      <c r="G87" t="n">
        <v>8</v>
      </c>
      <c r="H87" t="n">
        <v>64</v>
      </c>
      <c r="L87" s="103" t="n"/>
    </row>
    <row r="88" ht="45.9" customFormat="1" customHeight="1" s="1">
      <c r="B88" s="29" t="inlineStr">
        <is>
          <t>26</t>
        </is>
      </c>
      <c r="C88" s="51" t="inlineStr">
        <is>
          <t>Physocarpus opulifolius 'D’Arts Gold'</t>
        </is>
      </c>
      <c r="D88" s="30" t="inlineStr">
        <is>
          <t>Златист физокарпус H=30-40                                    3 бр./m2</t>
        </is>
      </c>
      <c r="E88" s="48" t="inlineStr">
        <is>
          <t>бр.</t>
        </is>
      </c>
      <c r="F88" s="9" t="n">
        <v>28</v>
      </c>
      <c r="G88" t="n">
        <v>10</v>
      </c>
      <c r="H88" t="n">
        <v>280</v>
      </c>
      <c r="L88" s="103" t="n"/>
    </row>
    <row r="89" ht="61.2" customFormat="1" customHeight="1" s="1">
      <c r="B89" s="29" t="inlineStr">
        <is>
          <t>27</t>
        </is>
      </c>
      <c r="C89" s="51" t="inlineStr">
        <is>
          <t>Potentilla fruticosa</t>
        </is>
      </c>
      <c r="D89" s="30" t="inlineStr">
        <is>
          <t>Храстовиден очиболец                         H=20-30                              5 бр./m2</t>
        </is>
      </c>
      <c r="E89" s="48" t="inlineStr">
        <is>
          <t>бр.</t>
        </is>
      </c>
      <c r="F89" s="9" t="n">
        <v>57</v>
      </c>
      <c r="G89" t="n">
        <v>10</v>
      </c>
      <c r="H89" t="n">
        <v>570</v>
      </c>
      <c r="L89" s="103" t="n"/>
    </row>
    <row r="90" ht="45.9" customFormat="1" customHeight="1" s="1">
      <c r="B90" s="29" t="inlineStr">
        <is>
          <t>28</t>
        </is>
      </c>
      <c r="C90" s="53" t="inlineStr">
        <is>
          <t xml:space="preserve">Prunus laurocerasus </t>
        </is>
      </c>
      <c r="D90" s="5" t="inlineStr">
        <is>
          <t xml:space="preserve">Лавровишна                 H=40-50                              3 бр./m' </t>
        </is>
      </c>
      <c r="E90" s="48" t="inlineStr">
        <is>
          <t>бр.</t>
        </is>
      </c>
      <c r="F90" s="11" t="n">
        <v>682</v>
      </c>
      <c r="G90" t="n">
        <v>9</v>
      </c>
      <c r="H90" t="n">
        <v>6138</v>
      </c>
      <c r="L90" s="103" t="n"/>
    </row>
    <row r="91" ht="45.9" customFormat="1" customHeight="1" s="1">
      <c r="B91" s="29" t="inlineStr">
        <is>
          <t>29</t>
        </is>
      </c>
      <c r="C91" s="51" t="inlineStr">
        <is>
          <t>Rhododendron ponticum</t>
        </is>
      </c>
      <c r="D91" s="30" t="inlineStr">
        <is>
          <t>Рододендрон             H=60-80                                    3 бр./m2</t>
        </is>
      </c>
      <c r="E91" s="48" t="inlineStr">
        <is>
          <t>бр.</t>
        </is>
      </c>
      <c r="F91" s="9" t="n">
        <v>74</v>
      </c>
      <c r="G91" t="n">
        <v>20</v>
      </c>
      <c r="H91" t="n">
        <v>1480</v>
      </c>
      <c r="L91" s="103" t="n"/>
    </row>
    <row r="92" ht="45.9" customFormat="1" customHeight="1" s="1">
      <c r="B92" s="29" t="inlineStr">
        <is>
          <t>30</t>
        </is>
      </c>
      <c r="C92" s="51" t="inlineStr">
        <is>
          <t>Rosmarinus officinalis</t>
        </is>
      </c>
      <c r="D92" s="30" t="inlineStr">
        <is>
          <t>Розмарин                        H=15-25                             9 бр./m2</t>
        </is>
      </c>
      <c r="E92" s="48" t="inlineStr">
        <is>
          <t>бр.</t>
        </is>
      </c>
      <c r="F92" s="9" t="n">
        <v>23</v>
      </c>
      <c r="G92" t="n">
        <v>5</v>
      </c>
      <c r="H92" t="n">
        <v>115</v>
      </c>
      <c r="L92" s="103" t="n"/>
    </row>
    <row r="93" ht="45.9" customFormat="1" customHeight="1" s="1">
      <c r="B93" s="29" t="inlineStr">
        <is>
          <t>31</t>
        </is>
      </c>
      <c r="C93" s="51" t="inlineStr">
        <is>
          <t>Santolina chamaecyparissus</t>
        </is>
      </c>
      <c r="D93" s="30" t="inlineStr">
        <is>
          <t>Сантолина                       H=15-25                            9 бр./m2</t>
        </is>
      </c>
      <c r="E93" s="48" t="inlineStr">
        <is>
          <t>бр.</t>
        </is>
      </c>
      <c r="F93" s="9" t="n">
        <v>55</v>
      </c>
      <c r="G93" t="n">
        <v>8</v>
      </c>
      <c r="H93" t="n">
        <v>440</v>
      </c>
      <c r="L93" s="103" t="n"/>
    </row>
    <row r="94" ht="45.9" customFormat="1" customHeight="1" s="1">
      <c r="B94" s="29" t="inlineStr">
        <is>
          <t>32</t>
        </is>
      </c>
      <c r="C94" s="51" t="inlineStr">
        <is>
          <t>Santolina viridis</t>
        </is>
      </c>
      <c r="D94" s="30" t="inlineStr">
        <is>
          <t>Сантолина                     H=15-25                            9 бр./m2</t>
        </is>
      </c>
      <c r="E94" s="48" t="inlineStr">
        <is>
          <t>бр.</t>
        </is>
      </c>
      <c r="F94" s="9" t="n">
        <v>39</v>
      </c>
      <c r="G94" t="n">
        <v>8</v>
      </c>
      <c r="H94" t="n">
        <v>312</v>
      </c>
      <c r="L94" s="103" t="n"/>
    </row>
    <row r="95" ht="61.2" customFormat="1" customHeight="1" s="1">
      <c r="B95" s="29" t="inlineStr">
        <is>
          <t>33</t>
        </is>
      </c>
      <c r="C95" s="51" t="inlineStr">
        <is>
          <t>Spiraea japonica 'Golden Princess'</t>
        </is>
      </c>
      <c r="D95" s="5" t="inlineStr">
        <is>
          <t>Японска спирея, златиста форма           H=30-40                              5 бр./m2</t>
        </is>
      </c>
      <c r="E95" s="48" t="inlineStr">
        <is>
          <t>бр.</t>
        </is>
      </c>
      <c r="F95" s="44" t="n">
        <v>184</v>
      </c>
      <c r="G95" t="n">
        <v>8</v>
      </c>
      <c r="H95" t="n">
        <v>1472</v>
      </c>
      <c r="L95" s="103" t="n"/>
    </row>
    <row r="96" ht="45.9" customFormat="1" customHeight="1" s="1">
      <c r="B96" s="29" t="inlineStr">
        <is>
          <t>34</t>
        </is>
      </c>
      <c r="C96" s="51" t="inlineStr">
        <is>
          <t>Spiraea japonica 'Little Princess'</t>
        </is>
      </c>
      <c r="D96" s="5" t="inlineStr">
        <is>
          <t>Японска спирея          H=30-40                              5 бр./m2</t>
        </is>
      </c>
      <c r="E96" s="48" t="inlineStr">
        <is>
          <t>бр.</t>
        </is>
      </c>
      <c r="F96" s="44" t="n">
        <v>212</v>
      </c>
      <c r="G96" t="n">
        <v>8</v>
      </c>
      <c r="H96" t="n">
        <v>1696</v>
      </c>
      <c r="L96" s="103" t="n"/>
    </row>
    <row r="97" ht="45.9" customFormat="1" customHeight="1" s="1">
      <c r="B97" s="29" t="inlineStr">
        <is>
          <t>35</t>
        </is>
      </c>
      <c r="C97" s="51" t="inlineStr">
        <is>
          <t>Thymus officinalis</t>
        </is>
      </c>
      <c r="D97" s="30" t="inlineStr">
        <is>
          <t>Мащерка                        H=15-25                            9 бр./m2</t>
        </is>
      </c>
      <c r="E97" s="48" t="inlineStr">
        <is>
          <t>бр.</t>
        </is>
      </c>
      <c r="F97" s="9" t="n">
        <v>54</v>
      </c>
      <c r="G97" t="n">
        <v>8</v>
      </c>
      <c r="H97" t="n">
        <v>432</v>
      </c>
      <c r="L97" s="103" t="n"/>
    </row>
    <row r="98" ht="45.9" customFormat="1" customHeight="1" s="1">
      <c r="B98" s="29" t="inlineStr">
        <is>
          <t>36</t>
        </is>
      </c>
      <c r="C98" s="51" t="inlineStr">
        <is>
          <t>Weigela florida 'Red Prince'</t>
        </is>
      </c>
      <c r="D98" s="5" t="inlineStr">
        <is>
          <t>Цветуща вайгела       H=50-60                              3 бр./m2</t>
        </is>
      </c>
      <c r="E98" s="48" t="inlineStr">
        <is>
          <t>бр.</t>
        </is>
      </c>
      <c r="F98" s="44" t="n">
        <v>168</v>
      </c>
      <c r="G98" t="n">
        <v>9</v>
      </c>
      <c r="H98" t="n">
        <v>1512</v>
      </c>
      <c r="L98" s="103" t="n"/>
    </row>
    <row r="99" ht="45.9" customFormat="1" customHeight="1" s="1">
      <c r="B99" s="29" t="inlineStr">
        <is>
          <t>37</t>
        </is>
      </c>
      <c r="C99" s="51" t="inlineStr">
        <is>
          <t>Weigela florida 'Alexandra'</t>
        </is>
      </c>
      <c r="D99" s="5" t="inlineStr">
        <is>
          <t>Цветуща вайгела       H=50-60                               5 бр./m2</t>
        </is>
      </c>
      <c r="E99" s="48" t="inlineStr">
        <is>
          <t>бр.</t>
        </is>
      </c>
      <c r="F99" s="44" t="n">
        <v>495</v>
      </c>
      <c r="G99" t="n">
        <v>10</v>
      </c>
      <c r="H99" t="n">
        <v>4950</v>
      </c>
      <c r="L99" s="103" t="n"/>
    </row>
    <row r="100" ht="45.9" customFormat="1" customHeight="1" s="1">
      <c r="B100" s="29" t="inlineStr">
        <is>
          <t>38</t>
        </is>
      </c>
      <c r="C100" s="51" t="inlineStr">
        <is>
          <t>Carex morrowii 'Ice Dance'</t>
        </is>
      </c>
      <c r="D100" s="30" t="inlineStr">
        <is>
          <t>Японска тръстика       H=30-40                              5 бр./m2</t>
        </is>
      </c>
      <c r="E100" s="48" t="inlineStr">
        <is>
          <t>бр.</t>
        </is>
      </c>
      <c r="F100" s="9" t="n">
        <v>1055</v>
      </c>
      <c r="G100" t="n">
        <v>8</v>
      </c>
      <c r="H100" t="n">
        <v>8440</v>
      </c>
      <c r="L100" s="103" t="n"/>
    </row>
    <row r="101" ht="61.2" customFormat="1" customHeight="1" s="1">
      <c r="B101" s="29" t="inlineStr">
        <is>
          <t>39</t>
        </is>
      </c>
      <c r="C101" s="52" t="inlineStr">
        <is>
          <t>Muhlenbergia capillaris</t>
        </is>
      </c>
      <c r="D101" s="98" t="inlineStr">
        <is>
          <t>Мюленбергия капиларис                     H=30-40                              5 бр./m2</t>
        </is>
      </c>
      <c r="E101" s="48" t="inlineStr">
        <is>
          <t>бр.</t>
        </is>
      </c>
      <c r="F101" s="9" t="n">
        <v>25</v>
      </c>
      <c r="G101" t="n">
        <v>10</v>
      </c>
      <c r="H101" t="n">
        <v>250</v>
      </c>
      <c r="L101" s="103" t="n"/>
    </row>
    <row r="102" ht="45.9" customFormat="1" customHeight="1" s="1">
      <c r="B102" s="29" t="inlineStr">
        <is>
          <t>40</t>
        </is>
      </c>
      <c r="C102" s="52" t="inlineStr">
        <is>
          <t>Hedera helix</t>
        </is>
      </c>
      <c r="D102" s="90" t="inlineStr">
        <is>
          <t>Бръшлян                        H=20-30                              1 бр./m', 1 бр./m2</t>
        </is>
      </c>
      <c r="E102" s="48" t="inlineStr">
        <is>
          <t>бр.</t>
        </is>
      </c>
      <c r="F102" s="9" t="n">
        <v>28</v>
      </c>
      <c r="G102" t="n">
        <v>7</v>
      </c>
      <c r="H102" t="n">
        <v>196</v>
      </c>
      <c r="L102" s="103" t="n"/>
    </row>
    <row r="103" ht="45" customFormat="1" customHeight="1" s="1">
      <c r="B103" s="13" t="inlineStr">
        <is>
          <t>II</t>
        </is>
      </c>
      <c r="C103" s="20" t="inlineStr">
        <is>
          <t>Част „Автоматизирана поливна система“ и Технология - Фонтан</t>
        </is>
      </c>
      <c r="D103" s="21" t="n"/>
      <c r="E103" s="21" t="n"/>
      <c r="F103" s="21" t="n"/>
      <c r="L103" s="103" t="n"/>
    </row>
    <row r="104" customFormat="1" s="1">
      <c r="B104" s="85" t="inlineStr">
        <is>
          <t>1.</t>
        </is>
      </c>
      <c r="C104" s="86" t="inlineStr">
        <is>
          <t>Автоматизирана поливна система</t>
        </is>
      </c>
      <c r="D104" s="102" t="n"/>
      <c r="E104" s="41" t="n"/>
      <c r="F104" s="41" t="n"/>
      <c r="L104" s="103" t="n"/>
    </row>
    <row r="105" customFormat="1" s="1">
      <c r="B105" s="24" t="inlineStr">
        <is>
          <t>1.1</t>
        </is>
      </c>
      <c r="C105" s="87" t="inlineStr">
        <is>
          <t>Специализиран продукт</t>
        </is>
      </c>
      <c r="D105" s="102" t="n"/>
      <c r="E105" s="11" t="n"/>
      <c r="F105" s="11" t="n"/>
      <c r="L105" s="103" t="n"/>
    </row>
    <row r="106" ht="30" customFormat="1" customHeight="1" s="1">
      <c r="B106" s="29" t="inlineStr">
        <is>
          <t>1.1.1</t>
        </is>
      </c>
      <c r="C106" s="82" t="inlineStr">
        <is>
          <t>Разпръсквач, височина на изкачане 10см, обща височина 15.5см, размер на входната резба 1/2"</t>
        </is>
      </c>
      <c r="D106" s="102" t="n"/>
      <c r="E106" s="4" t="inlineStr">
        <is>
          <t>бр.</t>
        </is>
      </c>
      <c r="F106" s="55" t="n">
        <v>280</v>
      </c>
      <c r="G106" t="n">
        <v>35</v>
      </c>
      <c r="H106" t="n">
        <v>9800</v>
      </c>
      <c r="L106" s="103" t="n"/>
    </row>
    <row r="107" ht="30" customFormat="1" customHeight="1" s="1">
      <c r="B107" s="29" t="inlineStr">
        <is>
          <t>1.1.2</t>
        </is>
      </c>
      <c r="C107" s="82" t="inlineStr">
        <is>
          <t>Дюза за разпръсквач, дефлекторна, регулируема 0-360° - R= 1.2 m</t>
        </is>
      </c>
      <c r="D107" s="102" t="n"/>
      <c r="E107" s="4" t="inlineStr">
        <is>
          <t>бр.</t>
        </is>
      </c>
      <c r="F107" s="55" t="n">
        <v>7</v>
      </c>
      <c r="G107" t="n">
        <v>8</v>
      </c>
      <c r="H107" t="n">
        <v>56</v>
      </c>
      <c r="L107" s="103" t="n"/>
    </row>
    <row r="108" ht="30" customFormat="1" customHeight="1" s="1">
      <c r="B108" s="29" t="inlineStr">
        <is>
          <t>1.1.3</t>
        </is>
      </c>
      <c r="C108" s="82" t="inlineStr">
        <is>
          <t>Дюза за разпръсквач, дефлекторна, регулируема 0-360° - R= 1.8 m</t>
        </is>
      </c>
      <c r="D108" s="102" t="n"/>
      <c r="E108" s="4" t="inlineStr">
        <is>
          <t>бр.</t>
        </is>
      </c>
      <c r="F108" s="55" t="n">
        <v>28</v>
      </c>
      <c r="G108" t="n">
        <v>10</v>
      </c>
      <c r="H108" t="n">
        <v>280</v>
      </c>
      <c r="L108" s="103" t="n"/>
    </row>
    <row r="109" ht="30" customFormat="1" customHeight="1" s="1">
      <c r="B109" s="29" t="inlineStr">
        <is>
          <t>1.1.4</t>
        </is>
      </c>
      <c r="C109" s="82" t="inlineStr">
        <is>
          <t>Дюза за разпръсквач, дефлекторна, регулируема 0-360° - R= 2.4 m</t>
        </is>
      </c>
      <c r="D109" s="102" t="n"/>
      <c r="E109" s="4" t="inlineStr">
        <is>
          <t>бр.</t>
        </is>
      </c>
      <c r="F109" s="55" t="n">
        <v>17</v>
      </c>
      <c r="G109" t="n">
        <v>10</v>
      </c>
      <c r="H109" t="n">
        <v>170</v>
      </c>
      <c r="L109" s="103" t="n"/>
    </row>
    <row r="110" ht="30" customFormat="1" customHeight="1" s="1">
      <c r="B110" s="29" t="inlineStr">
        <is>
          <t>1.1.5</t>
        </is>
      </c>
      <c r="C110" s="82" t="inlineStr">
        <is>
          <t>Дюза за разпръсквач, дефлекторна, регулируема 0-360° - R= 3.0 m</t>
        </is>
      </c>
      <c r="D110" s="102" t="n"/>
      <c r="E110" s="4" t="inlineStr">
        <is>
          <t>бр.</t>
        </is>
      </c>
      <c r="F110" s="55" t="n">
        <v>11</v>
      </c>
      <c r="G110" t="n">
        <v>12</v>
      </c>
      <c r="H110" t="n">
        <v>132</v>
      </c>
      <c r="L110" s="103" t="n"/>
    </row>
    <row r="111" ht="30" customFormat="1" customHeight="1" s="1">
      <c r="B111" s="29" t="inlineStr">
        <is>
          <t>1.1.6</t>
        </is>
      </c>
      <c r="C111" s="82" t="inlineStr">
        <is>
          <t>Дюза за разпръсквач, дефлекторна, регулируема 0-360° - R= 3.7 m</t>
        </is>
      </c>
      <c r="D111" s="102" t="n"/>
      <c r="E111" s="4" t="inlineStr">
        <is>
          <t>бр.</t>
        </is>
      </c>
      <c r="F111" s="55" t="n">
        <v>12</v>
      </c>
      <c r="G111" t="n">
        <v>15</v>
      </c>
      <c r="H111" t="n">
        <v>180</v>
      </c>
      <c r="L111" s="103" t="n"/>
    </row>
    <row r="112" ht="30" customFormat="1" customHeight="1" s="1">
      <c r="B112" s="29" t="inlineStr">
        <is>
          <t>1.1.7</t>
        </is>
      </c>
      <c r="C112" s="82" t="inlineStr">
        <is>
          <t>Дюза за разпръсквач, дефлекторна, регулируема 0-360° - R= 4.6 m</t>
        </is>
      </c>
      <c r="D112" s="102" t="n"/>
      <c r="E112" s="4" t="inlineStr">
        <is>
          <t>бр.</t>
        </is>
      </c>
      <c r="F112" s="55" t="n">
        <v>2</v>
      </c>
      <c r="G112" t="n">
        <v>15</v>
      </c>
      <c r="H112" t="n">
        <v>30</v>
      </c>
      <c r="L112" s="103" t="n"/>
    </row>
    <row r="113" ht="30" customFormat="1" customHeight="1" s="1">
      <c r="B113" s="29" t="inlineStr">
        <is>
          <t>1.1.8</t>
        </is>
      </c>
      <c r="C113" s="82" t="inlineStr">
        <is>
          <t>Дюза "МР 800", радиус 1.5 - 3.7 м., рег. сектор (90~210 º), оранжева</t>
        </is>
      </c>
      <c r="D113" s="102" t="n"/>
      <c r="E113" s="4" t="inlineStr">
        <is>
          <t>бр.</t>
        </is>
      </c>
      <c r="F113" s="55" t="n">
        <v>22</v>
      </c>
      <c r="G113" t="n">
        <v>10</v>
      </c>
      <c r="H113" t="n">
        <v>220</v>
      </c>
      <c r="L113" s="103" t="n"/>
    </row>
    <row r="114" ht="30" customFormat="1" customHeight="1" s="1">
      <c r="B114" s="29" t="inlineStr">
        <is>
          <t>1.1.9</t>
        </is>
      </c>
      <c r="C114" s="82" t="inlineStr">
        <is>
          <t>Дюза "МР 800", радиус 1.5 - 3.7 м., фикс. сектор 360 º, лайм зеленa</t>
        </is>
      </c>
      <c r="D114" s="102" t="n"/>
      <c r="E114" s="4" t="inlineStr">
        <is>
          <t>бр.</t>
        </is>
      </c>
      <c r="F114" s="55" t="n">
        <v>1</v>
      </c>
      <c r="G114" t="n">
        <v>10</v>
      </c>
      <c r="H114" t="n">
        <v>10</v>
      </c>
      <c r="L114" s="103" t="n"/>
    </row>
    <row r="115" ht="30" customFormat="1" customHeight="1" s="1">
      <c r="B115" s="29" t="inlineStr">
        <is>
          <t>1.1.10</t>
        </is>
      </c>
      <c r="C115" s="82" t="inlineStr">
        <is>
          <t>Дюза, ротаторна, радиус 2.5 - 4.9 м., рег. сектор (90~210 º), тъмночервена</t>
        </is>
      </c>
      <c r="D115" s="102" t="n"/>
      <c r="E115" s="4" t="inlineStr">
        <is>
          <t>бр.</t>
        </is>
      </c>
      <c r="F115" s="55" t="n">
        <v>20</v>
      </c>
      <c r="G115" t="n">
        <v>12</v>
      </c>
      <c r="H115" t="n">
        <v>240</v>
      </c>
      <c r="L115" s="103" t="n"/>
    </row>
    <row r="116" ht="30" customFormat="1" customHeight="1" s="1">
      <c r="B116" s="29" t="inlineStr">
        <is>
          <t>1.1.11</t>
        </is>
      </c>
      <c r="C116" s="82" t="inlineStr">
        <is>
          <t>Дюза, ротаторна, радиус 2.5 - 4.6 м., рег. сектор (90~210 º), тъмночервена</t>
        </is>
      </c>
      <c r="D116" s="102" t="n"/>
      <c r="E116" s="4" t="inlineStr">
        <is>
          <t>бр.</t>
        </is>
      </c>
      <c r="F116" s="55" t="n">
        <v>46</v>
      </c>
      <c r="G116" t="n">
        <v>12</v>
      </c>
      <c r="H116" t="n">
        <v>552</v>
      </c>
      <c r="L116" s="103" t="n"/>
    </row>
    <row r="117" ht="30" customHeight="1">
      <c r="B117" s="29" t="inlineStr">
        <is>
          <t>1.1.12</t>
        </is>
      </c>
      <c r="C117" s="82" t="inlineStr">
        <is>
          <t>Дюза, ротаторна, радиус 2.5 - 4.6 м., рег. сектор (210~270 º), светлосиня</t>
        </is>
      </c>
      <c r="D117" s="102" t="n"/>
      <c r="E117" s="4" t="inlineStr">
        <is>
          <t>бр.</t>
        </is>
      </c>
      <c r="F117" s="55" t="n">
        <v>22</v>
      </c>
      <c r="G117" t="n">
        <v>12</v>
      </c>
      <c r="H117" t="n">
        <v>264</v>
      </c>
      <c r="I117" s="1" t="n"/>
      <c r="L117" s="103" t="n"/>
    </row>
    <row r="118" ht="30" customHeight="1">
      <c r="B118" s="29" t="inlineStr">
        <is>
          <t>1.1.13</t>
        </is>
      </c>
      <c r="C118" s="82" t="inlineStr">
        <is>
          <t>Дюза, ротаторна, радиус 2.5 - 4.6 м., фикс. сектор 360 º, маслинено зелена</t>
        </is>
      </c>
      <c r="D118" s="102" t="n"/>
      <c r="E118" s="4" t="inlineStr">
        <is>
          <t>бр.</t>
        </is>
      </c>
      <c r="F118" s="55" t="n">
        <v>6</v>
      </c>
      <c r="G118" t="n">
        <v>12</v>
      </c>
      <c r="H118" t="n">
        <v>72</v>
      </c>
      <c r="I118" s="1" t="n"/>
      <c r="L118" s="103" t="n"/>
    </row>
    <row r="119" ht="30" customHeight="1">
      <c r="B119" s="29" t="inlineStr">
        <is>
          <t>1.1.14</t>
        </is>
      </c>
      <c r="C119" s="82" t="inlineStr">
        <is>
          <t>Дюза, ротаторна, радиус 4 - 6.4 м., рег. сектор (90~210 º), черна</t>
        </is>
      </c>
      <c r="D119" s="102" t="n"/>
      <c r="E119" s="4" t="inlineStr">
        <is>
          <t>бр.</t>
        </is>
      </c>
      <c r="F119" s="55" t="n">
        <v>53</v>
      </c>
      <c r="G119" t="n">
        <v>20</v>
      </c>
      <c r="H119" t="n">
        <v>1060</v>
      </c>
      <c r="I119" s="1" t="n"/>
      <c r="L119" s="103" t="n"/>
    </row>
    <row r="120" ht="30" customHeight="1">
      <c r="A120" s="56" t="n"/>
      <c r="B120" s="29" t="inlineStr">
        <is>
          <t>1.1.15</t>
        </is>
      </c>
      <c r="C120" s="82" t="inlineStr">
        <is>
          <t>Дюза, ротаторна, радиус 4 - 6.4 м., рег. сектор (210~270 º), зелена</t>
        </is>
      </c>
      <c r="D120" s="102" t="n"/>
      <c r="E120" s="4" t="inlineStr">
        <is>
          <t>бр.</t>
        </is>
      </c>
      <c r="F120" s="55" t="n">
        <v>6</v>
      </c>
      <c r="G120" t="n">
        <v>13</v>
      </c>
      <c r="H120" t="n">
        <v>78</v>
      </c>
      <c r="I120" s="1" t="n"/>
      <c r="L120" s="103" t="n"/>
    </row>
    <row r="121" ht="30" customHeight="1">
      <c r="A121" s="56" t="n"/>
      <c r="B121" s="29" t="inlineStr">
        <is>
          <t>1.1.16</t>
        </is>
      </c>
      <c r="C121" s="82" t="inlineStr">
        <is>
          <t>Дюза, ротаторна, радиус 4 - 6.4 м., фикс. сектор 360 º, червена</t>
        </is>
      </c>
      <c r="D121" s="102" t="n"/>
      <c r="E121" s="4" t="inlineStr">
        <is>
          <t>бр.</t>
        </is>
      </c>
      <c r="F121" s="55" t="n">
        <v>3</v>
      </c>
      <c r="G121" t="n">
        <v>15</v>
      </c>
      <c r="H121" t="n">
        <v>45</v>
      </c>
      <c r="I121" s="1" t="n"/>
      <c r="L121" s="103" t="n"/>
    </row>
    <row r="122" ht="30" customHeight="1">
      <c r="A122" s="56" t="n"/>
      <c r="B122" s="29" t="inlineStr">
        <is>
          <t>1.1.17</t>
        </is>
      </c>
      <c r="C122" s="82" t="inlineStr">
        <is>
          <t>Дюза, ротаторна, радиус 6.7 - 9.1 м., рег. сектор (90~210 º), синя</t>
        </is>
      </c>
      <c r="D122" s="102" t="n"/>
      <c r="E122" s="4" t="inlineStr">
        <is>
          <t>бр.</t>
        </is>
      </c>
      <c r="F122" s="55" t="n">
        <v>12</v>
      </c>
      <c r="G122" t="n">
        <v>15</v>
      </c>
      <c r="H122" t="n">
        <v>180</v>
      </c>
      <c r="I122" s="1" t="n"/>
      <c r="L122" s="103" t="n"/>
    </row>
    <row r="123" ht="30" customHeight="1">
      <c r="A123" s="56" t="n"/>
      <c r="B123" s="29" t="inlineStr">
        <is>
          <t>1.1.18</t>
        </is>
      </c>
      <c r="C123" s="82" t="inlineStr">
        <is>
          <t>Дюза, ротаторна, радиус 3.6 - 4.5 м., рег. сектор (45~105 º), светлосиня</t>
        </is>
      </c>
      <c r="D123" s="102" t="n"/>
      <c r="E123" s="4" t="inlineStr">
        <is>
          <t>бр.</t>
        </is>
      </c>
      <c r="F123" s="55" t="n">
        <v>6</v>
      </c>
      <c r="G123" t="n">
        <v>13</v>
      </c>
      <c r="H123" t="n">
        <v>78</v>
      </c>
      <c r="I123" s="1" t="n"/>
      <c r="L123" s="103" t="n"/>
    </row>
    <row r="124" ht="15" customHeight="1">
      <c r="A124" s="56" t="n"/>
      <c r="B124" s="29" t="inlineStr">
        <is>
          <t>1.1.19</t>
        </is>
      </c>
      <c r="C124" s="82" t="inlineStr">
        <is>
          <t>Дюза, ротаторна, 1.5 - 4.5 м., слонова кост</t>
        </is>
      </c>
      <c r="D124" s="102" t="n"/>
      <c r="E124" s="4" t="inlineStr">
        <is>
          <t>бр.</t>
        </is>
      </c>
      <c r="F124" s="55" t="n">
        <v>3</v>
      </c>
      <c r="G124" t="n">
        <v>10</v>
      </c>
      <c r="H124" t="n">
        <v>30</v>
      </c>
      <c r="I124" s="1" t="n"/>
      <c r="L124" s="103" t="n"/>
    </row>
    <row r="125" ht="15" customHeight="1">
      <c r="A125" s="56" t="n"/>
      <c r="B125" s="29" t="inlineStr">
        <is>
          <t>1.1.20</t>
        </is>
      </c>
      <c r="C125" s="82" t="inlineStr">
        <is>
          <t>Дюза, ротаторна, 1.5 - 4.5 м., мед</t>
        </is>
      </c>
      <c r="D125" s="102" t="n"/>
      <c r="E125" s="4" t="inlineStr">
        <is>
          <t>бр.</t>
        </is>
      </c>
      <c r="F125" s="55" t="n">
        <v>3</v>
      </c>
      <c r="G125" t="n">
        <v>10</v>
      </c>
      <c r="H125" t="n">
        <v>30</v>
      </c>
      <c r="I125" s="1" t="n"/>
      <c r="L125" s="103" t="n"/>
    </row>
    <row r="126" ht="15" customHeight="1">
      <c r="A126" s="56" t="n"/>
      <c r="B126" s="29" t="inlineStr">
        <is>
          <t>1.1.21</t>
        </is>
      </c>
      <c r="C126" s="82" t="inlineStr">
        <is>
          <t>Антидренажен клапан за разпръсвач</t>
        </is>
      </c>
      <c r="D126" s="102" t="n"/>
      <c r="E126" s="4" t="inlineStr">
        <is>
          <t>бр.</t>
        </is>
      </c>
      <c r="F126" s="55" t="n">
        <v>200</v>
      </c>
      <c r="G126" t="n">
        <v>5</v>
      </c>
      <c r="H126" t="n">
        <v>1000</v>
      </c>
      <c r="I126" s="1" t="n"/>
      <c r="L126" s="103" t="n"/>
    </row>
    <row r="127" ht="31.5" customHeight="1">
      <c r="A127" s="56" t="n"/>
      <c r="B127" s="29" t="inlineStr">
        <is>
          <t>1.1.22</t>
        </is>
      </c>
      <c r="C127" s="82" t="inlineStr">
        <is>
          <t>Инструмент за настройка, радиус/сектор за ротаторни дюзи</t>
        </is>
      </c>
      <c r="D127" s="102" t="n"/>
      <c r="E127" s="4" t="inlineStr">
        <is>
          <t>бр.</t>
        </is>
      </c>
      <c r="F127" s="55" t="n">
        <v>1</v>
      </c>
      <c r="G127" t="n">
        <v>60</v>
      </c>
      <c r="H127" t="n">
        <v>60</v>
      </c>
      <c r="I127" s="1" t="n"/>
      <c r="L127" s="103" t="n"/>
    </row>
    <row r="128" ht="45" customHeight="1">
      <c r="A128" s="56" t="n"/>
      <c r="B128" s="29" t="inlineStr">
        <is>
          <t>1.1.23</t>
        </is>
      </c>
      <c r="C128" s="82" t="inlineStr">
        <is>
          <t>Професионална тръба Ф16 мм. - 30 метра ролка, вътрешен диаметър 12мм, работно налягане 5.5бар.</t>
        </is>
      </c>
      <c r="D128" s="102" t="n"/>
      <c r="E128" s="4" t="inlineStr">
        <is>
          <t>m</t>
        </is>
      </c>
      <c r="F128" s="55" t="n">
        <v>180</v>
      </c>
      <c r="G128" t="n">
        <v>95</v>
      </c>
      <c r="H128" t="n">
        <v>17100</v>
      </c>
      <c r="I128" s="1" t="n"/>
      <c r="L128" s="103" t="n"/>
    </row>
    <row r="129" ht="45" customHeight="1">
      <c r="A129" s="56" t="n"/>
      <c r="B129" s="29" t="inlineStr">
        <is>
          <t>1.1.24</t>
        </is>
      </c>
      <c r="C129" s="82" t="inlineStr">
        <is>
          <t>Коляно 1/2"-коничен накрайник, спираловина резба, работно налягане до 5.5 бар.</t>
        </is>
      </c>
      <c r="D129" s="102" t="n"/>
      <c r="E129" s="4" t="inlineStr">
        <is>
          <t>бр.</t>
        </is>
      </c>
      <c r="F129" s="55" t="n">
        <v>280</v>
      </c>
      <c r="G129" t="n">
        <v>1</v>
      </c>
      <c r="H129" t="n">
        <v>280</v>
      </c>
      <c r="I129" s="1" t="n"/>
      <c r="L129" s="103" t="n"/>
    </row>
    <row r="130" ht="45" customHeight="1">
      <c r="A130" s="56" t="n"/>
      <c r="B130" s="29" t="inlineStr">
        <is>
          <t>1.1.25</t>
        </is>
      </c>
      <c r="C130" s="82" t="inlineStr">
        <is>
          <t>Коляно 3/4"-коничен накрайник, спираловидна резба, работно налягане до 5.5бар.</t>
        </is>
      </c>
      <c r="D130" s="102" t="n"/>
      <c r="E130" s="4" t="inlineStr">
        <is>
          <t>бр.</t>
        </is>
      </c>
      <c r="F130" s="55" t="n">
        <v>280</v>
      </c>
      <c r="G130" t="n">
        <v>1.5</v>
      </c>
      <c r="H130" t="n">
        <v>420</v>
      </c>
      <c r="I130" s="1" t="n"/>
      <c r="L130" s="103" t="n"/>
    </row>
    <row r="131" ht="60" customHeight="1">
      <c r="A131" s="56" t="n"/>
      <c r="B131" s="29" t="inlineStr">
        <is>
          <t>1.1.26</t>
        </is>
      </c>
      <c r="C131" s="82" t="inlineStr">
        <is>
          <t>Клапан електромагнитен - 1"Ж, без рег.на дебита със соленоид на 24V/AC, работен дебит 0.05-9 м3/ч, работно налягане 1,5-10 bar., височина 13см, дължина 11см, ширина 6см.</t>
        </is>
      </c>
      <c r="D131" s="102" t="n"/>
      <c r="E131" s="4" t="inlineStr">
        <is>
          <t>бр.</t>
        </is>
      </c>
      <c r="F131" s="55" t="n">
        <v>9</v>
      </c>
      <c r="G131" t="n">
        <v>100</v>
      </c>
      <c r="H131" t="n">
        <v>900</v>
      </c>
      <c r="I131" s="1" t="n"/>
      <c r="L131" s="103" t="n"/>
    </row>
    <row r="132" ht="60" customHeight="1">
      <c r="A132" s="56" t="n"/>
      <c r="B132" s="29" t="inlineStr">
        <is>
          <t>1.1.27</t>
        </is>
      </c>
      <c r="C132" s="82" t="inlineStr">
        <is>
          <t>Клапан електромагнитен  1"M, с  рег.на дебита със соленоид на 24V/AC,  работен дебит 0.05-9 м3/ч, работно налягане 1,5-10 bar., височина 13см, дължина 11см, ширина 6см.</t>
        </is>
      </c>
      <c r="D132" s="102" t="n"/>
      <c r="E132" s="4" t="inlineStr">
        <is>
          <t>бр.</t>
        </is>
      </c>
      <c r="F132" s="55" t="n">
        <v>15</v>
      </c>
      <c r="G132" t="n">
        <v>100</v>
      </c>
      <c r="H132" t="n">
        <v>1500</v>
      </c>
      <c r="I132" s="1" t="n"/>
      <c r="L132" s="103" t="n"/>
    </row>
    <row r="133" ht="45" customHeight="1">
      <c r="A133" s="56" t="n"/>
      <c r="B133" s="29" t="inlineStr">
        <is>
          <t>1.1.28</t>
        </is>
      </c>
      <c r="C133" s="82" t="inlineStr">
        <is>
          <t>Хидроизолираща връзка, за ел. кабел 3 х 1.5mm2, запълнена с електрически непроводим силикон, защитаваща от среди с висока влажност</t>
        </is>
      </c>
      <c r="D133" s="102" t="n"/>
      <c r="E133" s="4" t="inlineStr">
        <is>
          <t>бр.</t>
        </is>
      </c>
      <c r="F133" s="55" t="n">
        <v>48</v>
      </c>
      <c r="G133" t="n">
        <v>5</v>
      </c>
      <c r="H133" t="n">
        <v>240</v>
      </c>
      <c r="I133" s="1" t="n"/>
      <c r="L133" s="103" t="n"/>
    </row>
    <row r="134" ht="150" customHeight="1">
      <c r="A134" s="56" t="n"/>
      <c r="B134" s="29" t="inlineStr">
        <is>
          <t>1.1.29</t>
        </is>
      </c>
      <c r="C134" s="82" t="inlineStr">
        <is>
          <t>Програматор за напоителни системи, 8 станции, модулен с възможност за разширение до 38, пластмасова кутия, Wi-Fi connection-интернет комуникация, Софтуер за дистанционно управление и възможности за допълнителни настройки според атмосферните условия и данни от метеорологични станции, трансф. 24 ~ 230V EU стандарт, с възможност за работа на 2 програми едновременно, с вграден датчик за следене на напрежението в комуникационните кабели.</t>
        </is>
      </c>
      <c r="D134" s="102" t="n"/>
      <c r="E134" s="4" t="inlineStr">
        <is>
          <t>бр.</t>
        </is>
      </c>
      <c r="F134" s="55" t="n">
        <v>1</v>
      </c>
      <c r="G134" t="n">
        <v>500</v>
      </c>
      <c r="H134" t="n">
        <v>500</v>
      </c>
      <c r="I134" s="1" t="n"/>
      <c r="L134" s="103" t="n"/>
    </row>
    <row r="135" ht="30" customHeight="1">
      <c r="A135" s="56" t="n"/>
      <c r="B135" s="29" t="inlineStr">
        <is>
          <t>1.1.30</t>
        </is>
      </c>
      <c r="C135" s="82" t="inlineStr">
        <is>
          <t>Модул разширител 8 станции за модулен програматор</t>
        </is>
      </c>
      <c r="D135" s="102" t="n"/>
      <c r="E135" s="4" t="inlineStr">
        <is>
          <t>бр.</t>
        </is>
      </c>
      <c r="F135" s="55" t="n">
        <v>3</v>
      </c>
      <c r="G135" t="n">
        <v>380</v>
      </c>
      <c r="H135" t="n">
        <v>1140</v>
      </c>
      <c r="I135" s="1" t="n"/>
      <c r="L135" s="103" t="n"/>
    </row>
    <row r="136" ht="30" customHeight="1">
      <c r="A136" s="56" t="n"/>
      <c r="B136" s="29" t="inlineStr">
        <is>
          <t>1.1.31</t>
        </is>
      </c>
      <c r="C136" s="82" t="inlineStr">
        <is>
          <t>Датчик за дъжд, нормално затворен, 7,6 m дължина на кабела</t>
        </is>
      </c>
      <c r="D136" s="102" t="n"/>
      <c r="E136" s="4" t="inlineStr">
        <is>
          <t>бр.</t>
        </is>
      </c>
      <c r="F136" s="55" t="n">
        <v>1</v>
      </c>
      <c r="G136" t="n">
        <v>260</v>
      </c>
      <c r="H136" t="n">
        <v>260</v>
      </c>
      <c r="I136" s="1" t="n"/>
      <c r="L136" s="103" t="n"/>
    </row>
    <row r="137" ht="30" customHeight="1">
      <c r="A137" s="56" t="n"/>
      <c r="B137" s="29" t="inlineStr">
        <is>
          <t>1.1.32</t>
        </is>
      </c>
      <c r="C137" s="82" t="inlineStr">
        <is>
          <t>Шахта за клапани  12" B/G, правоъгълна / 28 x 41 x h=33 cm, със  закл. дръжка</t>
        </is>
      </c>
      <c r="D137" s="102" t="n"/>
      <c r="E137" s="4" t="inlineStr">
        <is>
          <t>бр.</t>
        </is>
      </c>
      <c r="F137" s="55" t="n">
        <v>6</v>
      </c>
      <c r="G137" t="n">
        <v>50</v>
      </c>
      <c r="H137" t="n">
        <v>300</v>
      </c>
      <c r="I137" s="1" t="n"/>
      <c r="L137" s="103" t="n"/>
    </row>
    <row r="138" ht="30" customHeight="1">
      <c r="A138" s="56" t="n"/>
      <c r="B138" s="29" t="inlineStr">
        <is>
          <t>1.1.33</t>
        </is>
      </c>
      <c r="C138" s="82" t="inlineStr">
        <is>
          <t>Шахта за клапани  20" B/G, правоъгълна / 67 x 49 x h=33 cm, със  закл. дръжка</t>
        </is>
      </c>
      <c r="D138" s="102" t="n"/>
      <c r="E138" s="4" t="inlineStr">
        <is>
          <t>бр.</t>
        </is>
      </c>
      <c r="F138" s="55" t="n">
        <v>2</v>
      </c>
      <c r="G138" t="n">
        <v>60</v>
      </c>
      <c r="H138" t="n">
        <v>120</v>
      </c>
      <c r="I138" s="1" t="n"/>
      <c r="L138" s="103" t="n"/>
    </row>
    <row r="139" ht="15" customHeight="1">
      <c r="A139" s="56" t="n"/>
      <c r="B139" s="29" t="inlineStr">
        <is>
          <t>1.1.34</t>
        </is>
      </c>
      <c r="C139" s="82" t="inlineStr">
        <is>
          <t xml:space="preserve">Шахта с кран , овална със сферичен кран 3/4" </t>
        </is>
      </c>
      <c r="D139" s="102" t="n"/>
      <c r="E139" s="4" t="inlineStr">
        <is>
          <t>бр.</t>
        </is>
      </c>
      <c r="F139" s="55" t="n">
        <v>7</v>
      </c>
      <c r="G139" t="n">
        <v>45</v>
      </c>
      <c r="H139" t="n">
        <v>315</v>
      </c>
      <c r="I139" s="1" t="n"/>
      <c r="L139" s="103" t="n"/>
    </row>
    <row r="140" ht="15" customHeight="1">
      <c r="A140" s="56" t="n"/>
      <c r="B140" s="29" t="inlineStr">
        <is>
          <t>1.1.35</t>
        </is>
      </c>
      <c r="C140" s="82" t="inlineStr">
        <is>
          <t>Колектор за клапани 2-пътен / холендров 1"Ж</t>
        </is>
      </c>
      <c r="D140" s="102" t="n"/>
      <c r="E140" s="4" t="inlineStr">
        <is>
          <t>бр.</t>
        </is>
      </c>
      <c r="F140" s="55" t="n">
        <v>2</v>
      </c>
      <c r="G140" t="n">
        <v>30</v>
      </c>
      <c r="H140" t="n">
        <v>60</v>
      </c>
      <c r="I140" s="1" t="n"/>
      <c r="L140" s="103" t="n"/>
    </row>
    <row r="141" ht="15" customHeight="1">
      <c r="A141" s="56" t="n"/>
      <c r="B141" s="29" t="inlineStr">
        <is>
          <t>1.1.36</t>
        </is>
      </c>
      <c r="C141" s="82" t="inlineStr">
        <is>
          <t>Колектор за клапани 3-пътен / холендров 1"Ж</t>
        </is>
      </c>
      <c r="D141" s="102" t="n"/>
      <c r="E141" s="4" t="inlineStr">
        <is>
          <t>бр.</t>
        </is>
      </c>
      <c r="F141" s="55" t="n">
        <v>4</v>
      </c>
      <c r="G141" t="n">
        <v>40</v>
      </c>
      <c r="H141" t="n">
        <v>160</v>
      </c>
      <c r="I141" s="1" t="n"/>
      <c r="L141" s="103" t="n"/>
    </row>
    <row r="142" ht="15" customHeight="1">
      <c r="A142" s="56" t="n"/>
      <c r="B142" s="29" t="inlineStr">
        <is>
          <t>1.1.37</t>
        </is>
      </c>
      <c r="C142" s="82" t="inlineStr">
        <is>
          <t>Колектор за клапани 4-пътен / холендров 1"Ж</t>
        </is>
      </c>
      <c r="D142" s="102" t="n"/>
      <c r="E142" s="4" t="inlineStr">
        <is>
          <t>бр.</t>
        </is>
      </c>
      <c r="F142" s="55" t="n">
        <v>2</v>
      </c>
      <c r="G142" t="n">
        <v>50</v>
      </c>
      <c r="H142" t="n">
        <v>100</v>
      </c>
      <c r="I142" s="1" t="n"/>
      <c r="L142" s="103" t="n"/>
    </row>
    <row r="143" ht="15" customHeight="1">
      <c r="A143" s="56" t="n"/>
      <c r="B143" s="29" t="inlineStr">
        <is>
          <t>1.1.38</t>
        </is>
      </c>
      <c r="C143" s="82" t="inlineStr">
        <is>
          <t>Нипел с уплътнение 1"</t>
        </is>
      </c>
      <c r="D143" s="102" t="n"/>
      <c r="E143" s="4" t="inlineStr">
        <is>
          <t>бр.</t>
        </is>
      </c>
      <c r="F143" s="55" t="n">
        <v>9</v>
      </c>
      <c r="G143" t="n">
        <v>3</v>
      </c>
      <c r="H143" t="n">
        <v>27</v>
      </c>
      <c r="I143" s="1" t="n"/>
      <c r="L143" s="103" t="n"/>
    </row>
    <row r="144" ht="15" customHeight="1">
      <c r="A144" s="56" t="n"/>
      <c r="B144" s="29" t="inlineStr">
        <is>
          <t>1.1.39</t>
        </is>
      </c>
      <c r="C144" s="82" t="inlineStr">
        <is>
          <t>Коляно / холендър 1" х 1"М</t>
        </is>
      </c>
      <c r="D144" s="102" t="n"/>
      <c r="E144" s="4" t="inlineStr">
        <is>
          <t>бр.</t>
        </is>
      </c>
      <c r="F144" s="55" t="n">
        <v>8</v>
      </c>
      <c r="G144" t="n">
        <v>5</v>
      </c>
      <c r="H144" t="n">
        <v>40</v>
      </c>
      <c r="I144" s="1" t="n"/>
      <c r="L144" s="103" t="n"/>
    </row>
    <row r="145" ht="15" customHeight="1">
      <c r="A145" s="56" t="n"/>
      <c r="B145" s="29" t="inlineStr">
        <is>
          <t>1.1.40</t>
        </is>
      </c>
      <c r="C145" s="82" t="inlineStr">
        <is>
          <t>Тапа / холендър 1"Ж</t>
        </is>
      </c>
      <c r="D145" s="102" t="n"/>
      <c r="E145" s="4" t="inlineStr">
        <is>
          <t>бр.</t>
        </is>
      </c>
      <c r="F145" s="55" t="n">
        <v>8</v>
      </c>
      <c r="G145" t="n">
        <v>3</v>
      </c>
      <c r="H145" t="n">
        <v>24</v>
      </c>
      <c r="I145" s="1" t="n"/>
      <c r="L145" s="103" t="n"/>
    </row>
    <row r="146" ht="30" customHeight="1">
      <c r="A146" s="56" t="n"/>
      <c r="B146" s="29" t="inlineStr">
        <is>
          <t>1.1.41</t>
        </is>
      </c>
      <c r="C146" s="82" t="inlineStr">
        <is>
          <t>Спирателен кран сферичен PP/метал 1" М х 1" холендър</t>
        </is>
      </c>
      <c r="D146" s="102" t="n"/>
      <c r="E146" s="4" t="inlineStr">
        <is>
          <t>бр.</t>
        </is>
      </c>
      <c r="F146" s="55" t="n">
        <v>9</v>
      </c>
      <c r="G146" t="n">
        <v>30</v>
      </c>
      <c r="H146" t="n">
        <v>270</v>
      </c>
      <c r="I146" s="1" t="n"/>
      <c r="L146" s="103" t="n"/>
    </row>
    <row r="147" ht="15" customHeight="1">
      <c r="A147" s="56" t="n"/>
      <c r="B147" s="29" t="inlineStr">
        <is>
          <t>1.1.42</t>
        </is>
      </c>
      <c r="C147" s="82" t="inlineStr">
        <is>
          <t>Филтър дисков "YDT" 1" 120 mesh</t>
        </is>
      </c>
      <c r="D147" s="102" t="n"/>
      <c r="E147" s="4" t="inlineStr">
        <is>
          <t>бр.</t>
        </is>
      </c>
      <c r="F147" s="55" t="n">
        <v>8</v>
      </c>
      <c r="G147" t="n">
        <v>48</v>
      </c>
      <c r="H147" t="n">
        <v>384</v>
      </c>
      <c r="I147" s="1" t="n"/>
      <c r="L147" s="103" t="n"/>
    </row>
    <row r="148" ht="30" customHeight="1">
      <c r="A148" s="56" t="n"/>
      <c r="B148" s="29" t="inlineStr">
        <is>
          <t>1.1.43</t>
        </is>
      </c>
      <c r="C148" s="82" t="inlineStr">
        <is>
          <t>Филтър 1" м. х 3/4" ж., 150 mesh, метална мрежа с рег. на налягане 1.7 bar.</t>
        </is>
      </c>
      <c r="D148" s="102" t="n"/>
      <c r="E148" s="4" t="inlineStr">
        <is>
          <t>бр.</t>
        </is>
      </c>
      <c r="F148" s="55" t="n">
        <v>9</v>
      </c>
      <c r="G148" t="n">
        <v>45</v>
      </c>
      <c r="H148" t="n">
        <v>405</v>
      </c>
      <c r="I148" s="1" t="n"/>
      <c r="L148" s="103" t="n"/>
    </row>
    <row r="149" ht="30" customHeight="1">
      <c r="A149" s="56" t="n"/>
      <c r="B149" s="29" t="inlineStr">
        <is>
          <t>1.1.44</t>
        </is>
      </c>
      <c r="C149" s="82" t="inlineStr">
        <is>
          <t>Капков маркуч  Ø16 mm/ 0,33 cm / 2 l/h / 100 m ролка / кафяв</t>
        </is>
      </c>
      <c r="D149" s="102" t="n"/>
      <c r="E149" s="4" t="inlineStr">
        <is>
          <t>бр.</t>
        </is>
      </c>
      <c r="F149" s="55" t="n">
        <v>31</v>
      </c>
      <c r="G149" t="n">
        <v>75</v>
      </c>
      <c r="H149" t="n">
        <v>2325</v>
      </c>
      <c r="I149" s="1" t="n"/>
      <c r="L149" s="103" t="n"/>
    </row>
    <row r="150" ht="15" customHeight="1">
      <c r="A150" s="56" t="n"/>
      <c r="B150" s="29" t="inlineStr">
        <is>
          <t>1.1.45</t>
        </is>
      </c>
      <c r="C150" s="90" t="inlineStr">
        <is>
          <t>Тръба LDPE Ø 16mm / 4 atm./ 100m ролка</t>
        </is>
      </c>
      <c r="D150" s="102" t="n"/>
      <c r="E150" s="4" t="inlineStr">
        <is>
          <t>бр.</t>
        </is>
      </c>
      <c r="F150" s="55" t="n">
        <v>1</v>
      </c>
      <c r="G150" t="n">
        <v>70</v>
      </c>
      <c r="H150" t="n">
        <v>70</v>
      </c>
      <c r="I150" s="1" t="n"/>
      <c r="L150" s="103" t="n"/>
    </row>
    <row r="151" ht="15" customHeight="1">
      <c r="A151" s="56" t="n"/>
      <c r="B151" s="29" t="inlineStr">
        <is>
          <t>1.1.46</t>
        </is>
      </c>
      <c r="C151" s="90" t="inlineStr">
        <is>
          <t>Тръба LDPE Ø 16mm / 4 atm./ 50m ролка</t>
        </is>
      </c>
      <c r="D151" s="102" t="n"/>
      <c r="E151" s="4" t="inlineStr">
        <is>
          <t>бр.</t>
        </is>
      </c>
      <c r="F151" s="55" t="n">
        <v>1</v>
      </c>
      <c r="G151" t="n">
        <v>38</v>
      </c>
      <c r="H151" t="n">
        <v>38</v>
      </c>
      <c r="I151" s="1" t="n"/>
      <c r="L151" s="103" t="n"/>
    </row>
    <row r="152" ht="15" customHeight="1">
      <c r="A152" s="56" t="n"/>
      <c r="B152" s="29" t="inlineStr">
        <is>
          <t>1.1.47</t>
        </is>
      </c>
      <c r="C152" s="90" t="inlineStr">
        <is>
          <t>Спирателен кран РЕ Ø16 х 16</t>
        </is>
      </c>
      <c r="D152" s="102" t="n"/>
      <c r="E152" s="4" t="inlineStr">
        <is>
          <t>бр.</t>
        </is>
      </c>
      <c r="F152" s="55" t="n">
        <v>57</v>
      </c>
      <c r="G152" t="n">
        <v>2</v>
      </c>
      <c r="H152" t="n">
        <v>114</v>
      </c>
      <c r="I152" s="1" t="n"/>
      <c r="L152" s="103" t="n"/>
    </row>
    <row r="153" ht="15" customHeight="1">
      <c r="A153" s="56" t="n"/>
      <c r="B153" s="29" t="inlineStr">
        <is>
          <t>1.1.48</t>
        </is>
      </c>
      <c r="C153" s="90" t="inlineStr">
        <is>
          <t>Адаптор с гайка РЕ Ø16 х 3/4"М</t>
        </is>
      </c>
      <c r="D153" s="102" t="n"/>
      <c r="E153" s="4" t="inlineStr">
        <is>
          <t>бр.</t>
        </is>
      </c>
      <c r="F153" s="55" t="n">
        <v>57</v>
      </c>
      <c r="G153" t="n">
        <v>1</v>
      </c>
      <c r="H153" t="n">
        <v>57</v>
      </c>
      <c r="I153" s="1" t="n"/>
      <c r="L153" s="103" t="n"/>
    </row>
    <row r="154" ht="15" customHeight="1">
      <c r="A154" s="56" t="n"/>
      <c r="B154" s="29" t="inlineStr">
        <is>
          <t>1.1.49</t>
        </is>
      </c>
      <c r="C154" s="90" t="inlineStr">
        <is>
          <t>Муфа РЕ Ø16 x 16 (100бр.)</t>
        </is>
      </c>
      <c r="D154" s="102" t="n"/>
      <c r="E154" s="4" t="inlineStr">
        <is>
          <t>бр.</t>
        </is>
      </c>
      <c r="F154" s="55" t="n">
        <v>1</v>
      </c>
      <c r="G154" t="n">
        <v>100</v>
      </c>
      <c r="H154" t="n">
        <v>100</v>
      </c>
      <c r="I154" s="1" t="n"/>
      <c r="L154" s="103" t="n"/>
    </row>
    <row r="155" ht="15" customHeight="1">
      <c r="A155" s="56" t="n"/>
      <c r="B155" s="29" t="inlineStr">
        <is>
          <t>1.1.50</t>
        </is>
      </c>
      <c r="C155" s="90" t="inlineStr">
        <is>
          <t>Коляно РЕ Ø16 x 16 (100бр.)</t>
        </is>
      </c>
      <c r="D155" s="102" t="n"/>
      <c r="E155" s="4" t="inlineStr">
        <is>
          <t>бр.</t>
        </is>
      </c>
      <c r="F155" s="55" t="n">
        <v>2</v>
      </c>
      <c r="G155" t="n">
        <v>100</v>
      </c>
      <c r="H155" t="n">
        <v>200</v>
      </c>
      <c r="I155" s="1" t="n"/>
      <c r="L155" s="103" t="n"/>
    </row>
    <row r="156" ht="15" customHeight="1">
      <c r="A156" s="56" t="n"/>
      <c r="B156" s="29" t="inlineStr">
        <is>
          <t>1.1.51</t>
        </is>
      </c>
      <c r="C156" s="90" t="inlineStr">
        <is>
          <t>Тройник РЕ Ø16 x 16 x 16 (100бр.)</t>
        </is>
      </c>
      <c r="D156" s="102" t="n"/>
      <c r="E156" s="4" t="inlineStr">
        <is>
          <t>бр.</t>
        </is>
      </c>
      <c r="F156" s="55" t="n">
        <v>1</v>
      </c>
      <c r="G156" t="n">
        <v>120</v>
      </c>
      <c r="H156" t="n">
        <v>120</v>
      </c>
      <c r="I156" s="1" t="n"/>
      <c r="L156" s="103" t="n"/>
    </row>
    <row r="157" ht="15" customHeight="1">
      <c r="A157" s="56" t="n"/>
      <c r="B157" s="29" t="inlineStr">
        <is>
          <t>1.1.52</t>
        </is>
      </c>
      <c r="C157" s="90" t="inlineStr">
        <is>
          <t>Скоба двойна РЕ Ø16 х 16 (100бр.)</t>
        </is>
      </c>
      <c r="D157" s="102" t="n"/>
      <c r="E157" s="4" t="inlineStr">
        <is>
          <t>бр.</t>
        </is>
      </c>
      <c r="F157" s="55" t="n">
        <v>1</v>
      </c>
      <c r="G157" t="n">
        <v>110</v>
      </c>
      <c r="H157" t="n">
        <v>110</v>
      </c>
      <c r="I157" s="1" t="n"/>
      <c r="L157" s="103" t="n"/>
    </row>
    <row r="158" ht="15" customHeight="1">
      <c r="A158" s="56" t="n"/>
      <c r="B158" s="29" t="inlineStr">
        <is>
          <t>1.1.53</t>
        </is>
      </c>
      <c r="C158" s="90" t="inlineStr">
        <is>
          <t>Колче фиксиращо РЕ Ø16(20) (100бр.)</t>
        </is>
      </c>
      <c r="D158" s="102" t="n"/>
      <c r="E158" s="4" t="inlineStr">
        <is>
          <t>бр.</t>
        </is>
      </c>
      <c r="F158" s="55" t="n">
        <v>30</v>
      </c>
      <c r="G158" t="n">
        <v>100</v>
      </c>
      <c r="H158" t="n">
        <v>3000</v>
      </c>
      <c r="I158" s="1" t="n"/>
      <c r="L158" s="103" t="n"/>
    </row>
    <row r="159">
      <c r="A159" s="56" t="n"/>
      <c r="B159" s="24" t="inlineStr">
        <is>
          <t>1.2</t>
        </is>
      </c>
      <c r="C159" s="87" t="inlineStr">
        <is>
          <t>Тръби, фитинги и кабели</t>
        </is>
      </c>
      <c r="D159" s="102" t="n"/>
      <c r="E159" s="11" t="n"/>
      <c r="F159" s="11" t="n"/>
      <c r="I159" s="1" t="n"/>
      <c r="L159" s="103" t="n"/>
    </row>
    <row r="160">
      <c r="A160" s="56" t="n"/>
      <c r="B160" s="29" t="inlineStr">
        <is>
          <t>1.2.1</t>
        </is>
      </c>
      <c r="C160" s="82" t="inlineStr">
        <is>
          <t>ПВЦ ТРЪБА МУФИРАНА ВЪНШ. КАНАЛ 5m, Ф110мм/3.2мм/ SN4</t>
        </is>
      </c>
      <c r="D160" s="102" t="n"/>
      <c r="E160" s="4" t="inlineStr">
        <is>
          <t>m</t>
        </is>
      </c>
      <c r="F160" s="55" t="n">
        <v>40</v>
      </c>
      <c r="G160" t="n">
        <v>38</v>
      </c>
      <c r="H160" t="n">
        <v>1520</v>
      </c>
      <c r="I160" s="1" t="n"/>
      <c r="L160" s="103" t="n"/>
    </row>
    <row r="161">
      <c r="A161" s="56" t="n"/>
      <c r="B161" s="29" t="inlineStr">
        <is>
          <t>1.2.2</t>
        </is>
      </c>
      <c r="C161" s="82" t="inlineStr">
        <is>
          <t>ПЕВП Тръба Ф40 SDR17 / PN10 - 100m-ролка</t>
        </is>
      </c>
      <c r="D161" s="102" t="n"/>
      <c r="E161" s="4" t="inlineStr">
        <is>
          <t>m</t>
        </is>
      </c>
      <c r="F161" s="55" t="n">
        <v>200</v>
      </c>
      <c r="G161" t="n">
        <v>4</v>
      </c>
      <c r="H161" t="n">
        <v>800</v>
      </c>
      <c r="I161" s="1" t="n"/>
      <c r="L161" s="103" t="n"/>
    </row>
    <row r="162" ht="15" customHeight="1">
      <c r="A162" s="56" t="n"/>
      <c r="B162" s="29" t="inlineStr">
        <is>
          <t>1.2.3</t>
        </is>
      </c>
      <c r="C162" s="82" t="inlineStr">
        <is>
          <t>РЕ Муфа PN10 40 X 40</t>
        </is>
      </c>
      <c r="D162" s="102" t="n"/>
      <c r="E162" s="4" t="inlineStr">
        <is>
          <t>бр.</t>
        </is>
      </c>
      <c r="F162" s="55" t="n">
        <v>2</v>
      </c>
      <c r="G162" t="n">
        <v>4</v>
      </c>
      <c r="H162" t="n">
        <v>8</v>
      </c>
      <c r="I162" s="1" t="n"/>
      <c r="L162" s="103" t="n"/>
    </row>
    <row r="163" ht="15" customHeight="1">
      <c r="A163" s="56" t="n"/>
      <c r="B163" s="29" t="inlineStr">
        <is>
          <t>1.2.4</t>
        </is>
      </c>
      <c r="C163" s="82" t="inlineStr">
        <is>
          <t>РЕ Тройник PN10 40 x 40 x 40</t>
        </is>
      </c>
      <c r="D163" s="102" t="n"/>
      <c r="E163" s="4" t="inlineStr">
        <is>
          <t>бр.</t>
        </is>
      </c>
      <c r="F163" s="55" t="n">
        <v>8</v>
      </c>
      <c r="G163" t="n">
        <v>8</v>
      </c>
      <c r="H163" t="n">
        <v>64</v>
      </c>
      <c r="I163" s="1" t="n"/>
      <c r="L163" s="103" t="n"/>
    </row>
    <row r="164" ht="15" customHeight="1">
      <c r="A164" s="56" t="n"/>
      <c r="B164" s="29" t="inlineStr">
        <is>
          <t>1.2.5</t>
        </is>
      </c>
      <c r="C164" s="82" t="inlineStr">
        <is>
          <t>РЕ Коляно PN10 40 x 40</t>
        </is>
      </c>
      <c r="D164" s="102" t="n"/>
      <c r="E164" s="4" t="inlineStr">
        <is>
          <t>бр.</t>
        </is>
      </c>
      <c r="F164" s="55" t="n">
        <v>25</v>
      </c>
      <c r="G164" t="n">
        <v>3</v>
      </c>
      <c r="H164" t="n">
        <v>75</v>
      </c>
      <c r="I164" s="1" t="n"/>
      <c r="L164" s="103" t="n"/>
    </row>
    <row r="165" ht="15" customHeight="1">
      <c r="A165" s="56" t="n"/>
      <c r="B165" s="29" t="inlineStr">
        <is>
          <t>1.2.6</t>
        </is>
      </c>
      <c r="C165" s="82" t="inlineStr">
        <is>
          <t>РЕ Адаптор женски PN10 40 x 1”</t>
        </is>
      </c>
      <c r="D165" s="102" t="n"/>
      <c r="E165" s="4" t="inlineStr">
        <is>
          <t>бр.</t>
        </is>
      </c>
      <c r="F165" s="55" t="n">
        <v>9</v>
      </c>
      <c r="G165" t="n">
        <v>8</v>
      </c>
      <c r="H165" t="n">
        <v>72</v>
      </c>
      <c r="I165" s="1" t="n"/>
      <c r="L165" s="103" t="n"/>
    </row>
    <row r="166" ht="15" customHeight="1">
      <c r="A166" s="56" t="n"/>
      <c r="B166" s="29" t="inlineStr">
        <is>
          <t>1.2.7</t>
        </is>
      </c>
      <c r="C166" s="82" t="inlineStr">
        <is>
          <t>РЕ Водовземна скоба  PN10  40 X ¾”</t>
        </is>
      </c>
      <c r="D166" s="102" t="n"/>
      <c r="E166" s="4" t="inlineStr">
        <is>
          <t>бр.</t>
        </is>
      </c>
      <c r="F166" s="55" t="n">
        <v>9</v>
      </c>
      <c r="G166" t="n">
        <v>19</v>
      </c>
      <c r="H166" t="n">
        <v>171</v>
      </c>
      <c r="I166" s="1" t="n"/>
      <c r="L166" s="103" t="n"/>
    </row>
    <row r="167" ht="15" customHeight="1">
      <c r="A167" s="56" t="n"/>
      <c r="B167" s="29" t="inlineStr">
        <is>
          <t>1.2.8</t>
        </is>
      </c>
      <c r="C167" s="82" t="inlineStr">
        <is>
          <t>ПЕВП Тръба Ф32 SDR17 / PN10 - 100m-ролка</t>
        </is>
      </c>
      <c r="D167" s="102" t="n"/>
      <c r="E167" s="4" t="inlineStr">
        <is>
          <t>m</t>
        </is>
      </c>
      <c r="F167" s="55" t="n">
        <v>1400</v>
      </c>
      <c r="G167" t="n">
        <v>8.199999999999999</v>
      </c>
      <c r="H167" t="n">
        <v>11480</v>
      </c>
      <c r="I167" s="1" t="n"/>
      <c r="L167" s="103" t="n"/>
    </row>
    <row r="168">
      <c r="A168" s="56" t="n"/>
      <c r="B168" s="29" t="inlineStr">
        <is>
          <t>1.2.9</t>
        </is>
      </c>
      <c r="C168" s="82" t="inlineStr">
        <is>
          <t>РЕ Муфа PN10 32 X 32</t>
        </is>
      </c>
      <c r="D168" s="102" t="n"/>
      <c r="E168" s="4" t="inlineStr">
        <is>
          <t>бр.</t>
        </is>
      </c>
      <c r="F168" s="55" t="n">
        <v>14</v>
      </c>
      <c r="G168" t="n">
        <v>7</v>
      </c>
      <c r="H168" t="n">
        <v>98</v>
      </c>
      <c r="I168" s="1" t="n"/>
      <c r="L168" s="103" t="n"/>
    </row>
    <row r="169" ht="15" customHeight="1">
      <c r="A169" s="56" t="n"/>
      <c r="B169" s="29" t="inlineStr">
        <is>
          <t>1.2.10</t>
        </is>
      </c>
      <c r="C169" s="82" t="inlineStr">
        <is>
          <t>РЕ Тройник PN10 32 x 32 x 32</t>
        </is>
      </c>
      <c r="D169" s="102" t="n"/>
      <c r="E169" s="4" t="inlineStr">
        <is>
          <t>бр.</t>
        </is>
      </c>
      <c r="F169" s="55" t="n">
        <v>73</v>
      </c>
      <c r="G169" t="n">
        <v>9</v>
      </c>
      <c r="H169" t="n">
        <v>657</v>
      </c>
      <c r="I169" s="1" t="n"/>
      <c r="L169" s="103" t="n"/>
    </row>
    <row r="170">
      <c r="A170" s="56" t="n"/>
      <c r="B170" s="29" t="inlineStr">
        <is>
          <t>1.2.11</t>
        </is>
      </c>
      <c r="C170" s="82" t="inlineStr">
        <is>
          <t>РЕ Коляно PN10 32 x 32</t>
        </is>
      </c>
      <c r="D170" s="102" t="n"/>
      <c r="E170" s="4" t="inlineStr">
        <is>
          <t>бр.</t>
        </is>
      </c>
      <c r="F170" s="55" t="n">
        <v>65</v>
      </c>
      <c r="G170" t="n">
        <v>7</v>
      </c>
      <c r="H170" t="n">
        <v>455</v>
      </c>
      <c r="I170" s="1" t="n"/>
      <c r="L170" s="103" t="n"/>
    </row>
    <row r="171">
      <c r="A171" s="56" t="n"/>
      <c r="B171" s="29" t="inlineStr">
        <is>
          <t>1.2.12</t>
        </is>
      </c>
      <c r="C171" s="82" t="inlineStr">
        <is>
          <t>РЕ Коляно женско PN10 32 x ¾”</t>
        </is>
      </c>
      <c r="D171" s="102" t="n"/>
      <c r="E171" s="4" t="inlineStr">
        <is>
          <t>бр.</t>
        </is>
      </c>
      <c r="F171" s="55" t="n">
        <v>97</v>
      </c>
      <c r="G171" t="n">
        <v>7</v>
      </c>
      <c r="H171" t="n">
        <v>679</v>
      </c>
      <c r="I171" s="1" t="n"/>
      <c r="L171" s="103" t="n"/>
    </row>
    <row r="172" ht="15" customHeight="1">
      <c r="A172" s="56" t="n"/>
      <c r="B172" s="29" t="inlineStr">
        <is>
          <t>1.2.13</t>
        </is>
      </c>
      <c r="C172" s="82" t="inlineStr">
        <is>
          <t>РЕ Коляно мъжко PN10 32 x ¾”</t>
        </is>
      </c>
      <c r="D172" s="102" t="n"/>
      <c r="E172" s="4" t="inlineStr">
        <is>
          <t>бр.</t>
        </is>
      </c>
      <c r="F172" s="55" t="n">
        <v>14</v>
      </c>
      <c r="G172" t="n">
        <v>7</v>
      </c>
      <c r="H172" t="n">
        <v>98</v>
      </c>
      <c r="I172" s="1" t="n"/>
      <c r="L172" s="103" t="n"/>
    </row>
    <row r="173" ht="30" customHeight="1">
      <c r="A173" s="56" t="n"/>
      <c r="B173" s="29" t="inlineStr">
        <is>
          <t>1.2.14</t>
        </is>
      </c>
      <c r="C173" s="82" t="inlineStr">
        <is>
          <t>PE Адаптор женски PN10 32  х 1" холендър ( с О пръстен)</t>
        </is>
      </c>
      <c r="D173" s="102" t="n"/>
      <c r="E173" s="4" t="inlineStr">
        <is>
          <t>бр.</t>
        </is>
      </c>
      <c r="F173" s="55" t="n">
        <v>15</v>
      </c>
      <c r="G173" t="n">
        <v>10</v>
      </c>
      <c r="H173" t="n">
        <v>150</v>
      </c>
      <c r="I173" s="1" t="n"/>
      <c r="L173" s="103" t="n"/>
    </row>
    <row r="174" ht="15" customHeight="1">
      <c r="A174" s="56" t="n"/>
      <c r="B174" s="29" t="inlineStr">
        <is>
          <t>1.2.15</t>
        </is>
      </c>
      <c r="C174" s="82" t="inlineStr">
        <is>
          <t>РЕ Адаптор мъжки PN10 32 x ¾”</t>
        </is>
      </c>
      <c r="D174" s="102" t="n"/>
      <c r="E174" s="4" t="inlineStr">
        <is>
          <t>бр.</t>
        </is>
      </c>
      <c r="F174" s="55" t="n">
        <v>9</v>
      </c>
      <c r="G174" t="n">
        <v>5</v>
      </c>
      <c r="H174" t="n">
        <v>45</v>
      </c>
      <c r="I174" s="1" t="n"/>
      <c r="L174" s="103" t="n"/>
    </row>
    <row r="175">
      <c r="A175" s="56" t="n"/>
      <c r="B175" s="29" t="inlineStr">
        <is>
          <t>1.2.16</t>
        </is>
      </c>
      <c r="C175" s="82" t="inlineStr">
        <is>
          <t>РЕ Водовземна скоба  PN10  32 X ¾”</t>
        </is>
      </c>
      <c r="D175" s="102" t="n"/>
      <c r="E175" s="4" t="inlineStr">
        <is>
          <t>бр.</t>
        </is>
      </c>
      <c r="F175" s="55" t="n">
        <v>240</v>
      </c>
      <c r="G175" t="n">
        <v>5</v>
      </c>
      <c r="H175" t="n">
        <v>1200</v>
      </c>
      <c r="I175" s="1" t="n"/>
      <c r="L175" s="103" t="n"/>
    </row>
    <row r="176" ht="15" customHeight="1">
      <c r="A176" s="56" t="n"/>
      <c r="B176" s="29" t="inlineStr">
        <is>
          <t>1.2.17</t>
        </is>
      </c>
      <c r="C176" s="82" t="inlineStr">
        <is>
          <t>Тефлон профи лента</t>
        </is>
      </c>
      <c r="D176" s="102" t="n"/>
      <c r="E176" s="4" t="inlineStr">
        <is>
          <t>бр.</t>
        </is>
      </c>
      <c r="F176" s="55" t="n">
        <v>15</v>
      </c>
      <c r="G176" t="n">
        <v>3</v>
      </c>
      <c r="H176" t="n">
        <v>45</v>
      </c>
      <c r="I176" s="1" t="n"/>
      <c r="L176" s="103" t="n"/>
    </row>
    <row r="177" ht="15" customHeight="1">
      <c r="A177" s="56" t="n"/>
      <c r="B177" s="29" t="inlineStr">
        <is>
          <t>1.2.18</t>
        </is>
      </c>
      <c r="C177" s="82" t="inlineStr">
        <is>
          <t>Ел. кабел "ШВПС" 3х1.5 мм2</t>
        </is>
      </c>
      <c r="D177" s="102" t="n"/>
      <c r="E177" s="4" t="inlineStr">
        <is>
          <t>m</t>
        </is>
      </c>
      <c r="F177" s="55" t="n">
        <v>125</v>
      </c>
      <c r="G177" t="n">
        <v>1.52</v>
      </c>
      <c r="H177" t="n">
        <v>190</v>
      </c>
      <c r="I177" s="1" t="n"/>
      <c r="L177" s="103" t="n"/>
    </row>
    <row r="178">
      <c r="A178" s="56" t="n"/>
      <c r="B178" s="29" t="inlineStr">
        <is>
          <t>1.2.19</t>
        </is>
      </c>
      <c r="C178" s="82" t="inlineStr">
        <is>
          <t>Ел. кабел "ШВПС" 4х1.5 мм2</t>
        </is>
      </c>
      <c r="D178" s="102" t="n"/>
      <c r="E178" s="4" t="inlineStr">
        <is>
          <t>m</t>
        </is>
      </c>
      <c r="F178" s="55" t="n">
        <v>185</v>
      </c>
      <c r="G178" t="n">
        <v>2.86</v>
      </c>
      <c r="H178" t="n">
        <v>529.1</v>
      </c>
      <c r="I178" s="1" t="n"/>
      <c r="L178" s="103" t="n"/>
    </row>
    <row r="179">
      <c r="A179" s="56" t="n"/>
      <c r="B179" s="29" t="inlineStr">
        <is>
          <t>1.2.20</t>
        </is>
      </c>
      <c r="C179" s="82" t="inlineStr">
        <is>
          <t>Ел. кабел "ШВПС" 5х1.5 мм2</t>
        </is>
      </c>
      <c r="D179" s="102" t="n"/>
      <c r="E179" s="4" t="inlineStr">
        <is>
          <t>m</t>
        </is>
      </c>
      <c r="F179" s="55" t="n">
        <v>65</v>
      </c>
      <c r="G179" t="n">
        <v>3.18</v>
      </c>
      <c r="H179" t="n">
        <v>206.7</v>
      </c>
      <c r="I179" s="1" t="n"/>
      <c r="L179" s="103" t="n"/>
    </row>
    <row r="180" ht="30" customHeight="1">
      <c r="A180" s="56" t="n"/>
      <c r="B180" s="29" t="inlineStr">
        <is>
          <t>1.2.21</t>
        </is>
      </c>
      <c r="C180" s="82" t="inlineStr">
        <is>
          <t>Тръба гофрирана със сонда за изтегляне на кабел /monoflex/, Ø16/10.7mm</t>
        </is>
      </c>
      <c r="D180" s="102" t="n"/>
      <c r="E180" s="4" t="inlineStr">
        <is>
          <t>m</t>
        </is>
      </c>
      <c r="F180" s="55" t="n">
        <v>375</v>
      </c>
      <c r="G180" t="n">
        <v>3.25</v>
      </c>
      <c r="H180" t="n">
        <v>1218.75</v>
      </c>
      <c r="I180" s="1" t="n"/>
      <c r="L180" s="103" t="n"/>
    </row>
    <row r="181" ht="15" customHeight="1">
      <c r="A181" s="56" t="n"/>
      <c r="B181" s="24" t="inlineStr">
        <is>
          <t>1.3</t>
        </is>
      </c>
      <c r="C181" s="87" t="inlineStr">
        <is>
          <t>СМР, други разходи</t>
        </is>
      </c>
      <c r="D181" s="102" t="n"/>
      <c r="E181" s="11" t="n"/>
      <c r="F181" s="11" t="n"/>
      <c r="I181" s="1" t="n"/>
      <c r="L181" s="103" t="n"/>
    </row>
    <row r="182" ht="15" customHeight="1">
      <c r="A182" s="56" t="n"/>
      <c r="B182" s="29" t="inlineStr">
        <is>
          <t>1.3.1</t>
        </is>
      </c>
      <c r="C182" s="82" t="inlineStr">
        <is>
          <t>Трасировъчни работи</t>
        </is>
      </c>
      <c r="D182" s="102" t="n"/>
      <c r="E182" s="4" t="inlineStr">
        <is>
          <t>бр.</t>
        </is>
      </c>
      <c r="F182" s="55" t="n">
        <v>1</v>
      </c>
      <c r="G182" t="n">
        <v>1000</v>
      </c>
      <c r="H182" t="n">
        <v>1000</v>
      </c>
      <c r="I182" s="1" t="n"/>
      <c r="L182" s="103" t="n"/>
    </row>
    <row r="183" ht="15" customHeight="1">
      <c r="A183" s="56" t="n"/>
      <c r="B183" s="29" t="inlineStr">
        <is>
          <t>1.3.2</t>
        </is>
      </c>
      <c r="C183" s="82" t="inlineStr">
        <is>
          <t xml:space="preserve">Изкоп - насип </t>
        </is>
      </c>
      <c r="D183" s="102" t="n"/>
      <c r="E183" s="4" t="inlineStr">
        <is>
          <t>m</t>
        </is>
      </c>
      <c r="F183" s="55" t="n">
        <v>1175</v>
      </c>
      <c r="G183" t="n">
        <v>14</v>
      </c>
      <c r="H183" t="n">
        <v>16450</v>
      </c>
      <c r="I183" s="1" t="n"/>
      <c r="L183" s="103" t="n"/>
    </row>
    <row r="184" ht="48" customHeight="1">
      <c r="A184" s="56" t="n"/>
      <c r="B184" s="29" t="inlineStr">
        <is>
          <t>1.3.3</t>
        </is>
      </c>
      <c r="C184" s="82" t="inlineStr">
        <is>
          <t>Транспортни и доставки на материали, вкл. монтажни работи на  тръби, фитинги и специализиран продукт</t>
        </is>
      </c>
      <c r="D184" s="102" t="n"/>
      <c r="E184" s="4" t="inlineStr">
        <is>
          <t>бр.</t>
        </is>
      </c>
      <c r="F184" s="55" t="n">
        <v>1</v>
      </c>
      <c r="G184" t="n">
        <v>500</v>
      </c>
      <c r="H184" t="n">
        <v>500</v>
      </c>
      <c r="I184" s="1" t="n"/>
      <c r="L184" s="103" t="n"/>
    </row>
    <row r="185" ht="15" customHeight="1">
      <c r="A185" s="56" t="n"/>
      <c r="B185" s="24" t="inlineStr">
        <is>
          <t>1.4</t>
        </is>
      </c>
      <c r="C185" s="91" t="inlineStr">
        <is>
          <t>Помпено оборудване и резервоар</t>
        </is>
      </c>
      <c r="D185" s="102" t="n"/>
      <c r="E185" s="11" t="n"/>
      <c r="F185" s="11" t="n"/>
      <c r="I185" s="1" t="n"/>
      <c r="L185" s="103" t="n"/>
    </row>
    <row r="186" ht="180" customHeight="1">
      <c r="A186" s="56" t="n"/>
      <c r="B186" s="29" t="inlineStr">
        <is>
          <t>1.4.1</t>
        </is>
      </c>
      <c r="C186" s="82" t="inlineStr">
        <is>
          <t>3" многостъпална потопяема помпа, Qр=3,55 м3/ч. при Hр=45м. P2=1.1 kW, 8,4А, с възможност за честотно управление чрез контролер. Помпата притежава "плуващи" работни колела, всяко с отделен лагер от волфрамов карбид/керамика. Помпата предлага функции за плавен старт и защита от работа на сухо, повдигане, пренапрежение, поднапрежение, претоварване и прегряване. 
Двигателят е монофазен с ротор с постоянен магнит, обезпечаващ оптимална ефективност в широки граници на товара. Двигателят е оборудван със сваляем капак с куплунг.</t>
        </is>
      </c>
      <c r="D186" s="102" t="n"/>
      <c r="E186" s="4" t="inlineStr">
        <is>
          <t>бр.</t>
        </is>
      </c>
      <c r="F186" s="55" t="n">
        <v>1</v>
      </c>
      <c r="G186" t="n">
        <v>350</v>
      </c>
      <c r="H186" t="n">
        <v>350</v>
      </c>
      <c r="I186" s="1" t="n"/>
      <c r="L186" s="103" t="n"/>
    </row>
    <row r="187" ht="30" customHeight="1">
      <c r="A187" s="56" t="n"/>
      <c r="B187" s="29" t="inlineStr">
        <is>
          <t>1.4.2</t>
        </is>
      </c>
      <c r="C187" s="82" t="inlineStr">
        <is>
          <t>Комплект от мантел, смукателна цедка и стойки за монтаж</t>
        </is>
      </c>
      <c r="D187" s="102" t="n"/>
      <c r="E187" s="4" t="inlineStr">
        <is>
          <t>бр.</t>
        </is>
      </c>
      <c r="F187" s="55" t="n">
        <v>1</v>
      </c>
      <c r="G187" t="n">
        <v>350</v>
      </c>
      <c r="H187" t="n">
        <v>350</v>
      </c>
      <c r="I187" s="1" t="n"/>
      <c r="L187" s="103" t="n"/>
    </row>
    <row r="188" ht="15" customHeight="1">
      <c r="A188" s="56" t="n"/>
      <c r="B188" s="29" t="inlineStr">
        <is>
          <t>1.4.3</t>
        </is>
      </c>
      <c r="C188" s="82" t="inlineStr">
        <is>
          <t>Контролер  за 3" сондажни помпи осигуряващ постоянно налягане в границите на максималната производителност на помпата, независимо от променливата консумация на вода. Двупосочна комуникация с помпата, възможност за настройка на налягането, индикация за аларма при работа на помапата, защита от работа на сухо, 1 x 100-240V, 50/60Hz.</t>
        </is>
      </c>
      <c r="D188" s="102" t="n"/>
      <c r="E188" s="4" t="inlineStr">
        <is>
          <t>бр.</t>
        </is>
      </c>
      <c r="F188" s="55" t="n">
        <v>1</v>
      </c>
      <c r="G188" t="n">
        <v>100</v>
      </c>
      <c r="H188" t="n">
        <v>100</v>
      </c>
      <c r="I188" s="1" t="n"/>
      <c r="L188" s="103" t="n"/>
    </row>
    <row r="189" ht="15" customHeight="1">
      <c r="A189" s="56" t="n"/>
      <c r="B189" s="29" t="inlineStr">
        <is>
          <t>1.4.4</t>
        </is>
      </c>
      <c r="C189" s="82" t="inlineStr">
        <is>
          <t>Датчик за налягане 1-6 бар., 2м кабел. 1/2" резба</t>
        </is>
      </c>
      <c r="D189" s="102" t="n"/>
      <c r="E189" s="4" t="inlineStr">
        <is>
          <t>бр.</t>
        </is>
      </c>
      <c r="F189" s="55" t="n">
        <v>1</v>
      </c>
      <c r="G189" t="n">
        <v>60</v>
      </c>
      <c r="H189" t="n">
        <v>60</v>
      </c>
      <c r="I189" s="1" t="n"/>
      <c r="L189" s="103" t="n"/>
    </row>
    <row r="190">
      <c r="A190" s="56" t="n"/>
      <c r="B190" s="29" t="inlineStr">
        <is>
          <t>1.4.5</t>
        </is>
      </c>
      <c r="C190" s="82" t="inlineStr">
        <is>
          <t>Разширителен съд , 35л, 10 bar, 1", с крачета</t>
        </is>
      </c>
      <c r="D190" s="102" t="n"/>
      <c r="E190" s="4" t="inlineStr">
        <is>
          <t>бр.</t>
        </is>
      </c>
      <c r="F190" s="55" t="n">
        <v>1</v>
      </c>
      <c r="G190" t="n">
        <v>30</v>
      </c>
      <c r="H190" t="n">
        <v>30</v>
      </c>
      <c r="I190" s="1" t="n"/>
      <c r="L190" s="103" t="n"/>
    </row>
    <row r="191">
      <c r="A191" s="56" t="n"/>
      <c r="B191" s="29" t="inlineStr">
        <is>
          <t>1.4.6</t>
        </is>
      </c>
      <c r="C191" s="82" t="inlineStr">
        <is>
          <t>Манометър, глицеринов, INOX, 25bar</t>
        </is>
      </c>
      <c r="D191" s="102" t="n"/>
      <c r="E191" s="4" t="inlineStr">
        <is>
          <t>бр.</t>
        </is>
      </c>
      <c r="F191" s="55" t="n">
        <v>1</v>
      </c>
      <c r="G191" t="n">
        <v>15</v>
      </c>
      <c r="H191" t="n">
        <v>15</v>
      </c>
      <c r="I191" s="1" t="n"/>
      <c r="L191" s="103" t="n"/>
    </row>
    <row r="192">
      <c r="A192" s="56" t="n"/>
      <c r="B192" s="29" t="inlineStr">
        <is>
          <t>1.4.7</t>
        </is>
      </c>
      <c r="C192" s="82" t="inlineStr">
        <is>
          <t>Възвратен клапан 1 1/4" месинг</t>
        </is>
      </c>
      <c r="D192" s="102" t="n"/>
      <c r="E192" s="4" t="inlineStr">
        <is>
          <t>бр.</t>
        </is>
      </c>
      <c r="F192" s="55" t="n">
        <v>1</v>
      </c>
      <c r="G192" t="n">
        <v>12</v>
      </c>
      <c r="H192" t="n">
        <v>12</v>
      </c>
      <c r="I192" s="1" t="n"/>
      <c r="L192" s="103" t="n"/>
    </row>
    <row r="193">
      <c r="A193" s="56" t="n"/>
      <c r="B193" s="29" t="inlineStr">
        <is>
          <t>1.4.8</t>
        </is>
      </c>
      <c r="C193" s="82" t="inlineStr">
        <is>
          <t>Електрически поплавък с кабел 10м</t>
        </is>
      </c>
      <c r="D193" s="102" t="n"/>
      <c r="E193" s="4" t="inlineStr">
        <is>
          <t>бр.</t>
        </is>
      </c>
      <c r="F193" s="55" t="n">
        <v>1</v>
      </c>
      <c r="G193" t="n">
        <v>290</v>
      </c>
      <c r="H193" t="n">
        <v>290</v>
      </c>
      <c r="I193" s="1" t="n"/>
      <c r="L193" s="103" t="n"/>
    </row>
    <row r="194" ht="28.5" customHeight="1">
      <c r="A194" s="56" t="n"/>
      <c r="B194" s="29" t="inlineStr">
        <is>
          <t>1.4.9</t>
        </is>
      </c>
      <c r="C194" s="82" t="inlineStr">
        <is>
          <t>Ел. Табло за управление (автоматика, моторзащита, контактори, релета и др.)</t>
        </is>
      </c>
      <c r="D194" s="102" t="n"/>
      <c r="E194" s="4" t="inlineStr">
        <is>
          <t>бр.</t>
        </is>
      </c>
      <c r="F194" s="55" t="n">
        <v>1</v>
      </c>
      <c r="G194" t="n">
        <v>1200</v>
      </c>
      <c r="H194" t="n">
        <v>1200</v>
      </c>
      <c r="I194" s="1" t="n"/>
      <c r="L194" s="103" t="n"/>
    </row>
    <row r="195">
      <c r="A195" s="56" t="n"/>
      <c r="B195" s="29" t="inlineStr">
        <is>
          <t>1.4.10</t>
        </is>
      </c>
      <c r="C195" s="82" t="inlineStr">
        <is>
          <t>Спирателен кран сферичен PP/метал 1" Ж х 1" Ж</t>
        </is>
      </c>
      <c r="D195" s="102" t="n"/>
      <c r="E195" s="4" t="inlineStr">
        <is>
          <t>бр.</t>
        </is>
      </c>
      <c r="F195" s="55" t="n">
        <v>1</v>
      </c>
      <c r="G195" t="n">
        <v>18</v>
      </c>
      <c r="H195" t="n">
        <v>18</v>
      </c>
      <c r="I195" s="1" t="n"/>
      <c r="L195" s="103" t="n"/>
    </row>
    <row r="196">
      <c r="A196" s="56" t="n"/>
      <c r="B196" s="29" t="inlineStr">
        <is>
          <t>1.4.11</t>
        </is>
      </c>
      <c r="C196" s="82" t="inlineStr">
        <is>
          <t>Кран сферичен метален 1 1/4", резба Ж &lt;&gt; резба Ж, KPS</t>
        </is>
      </c>
      <c r="D196" s="102" t="n"/>
      <c r="E196" s="4" t="inlineStr">
        <is>
          <t>бр.</t>
        </is>
      </c>
      <c r="F196" s="55" t="n">
        <v>1</v>
      </c>
      <c r="G196" t="n">
        <v>23</v>
      </c>
      <c r="H196" t="n">
        <v>23</v>
      </c>
      <c r="I196" s="1" t="n"/>
      <c r="L196" s="103" t="n"/>
    </row>
    <row r="197">
      <c r="A197" s="56" t="n"/>
      <c r="B197" s="29" t="inlineStr">
        <is>
          <t>1.4.12</t>
        </is>
      </c>
      <c r="C197" s="82" t="inlineStr">
        <is>
          <t>Тръбна разводка</t>
        </is>
      </c>
      <c r="D197" s="102" t="n"/>
      <c r="E197" s="4" t="inlineStr">
        <is>
          <t>бр.</t>
        </is>
      </c>
      <c r="F197" s="55" t="n">
        <v>1</v>
      </c>
      <c r="G197" t="n">
        <v>70</v>
      </c>
      <c r="H197" t="n">
        <v>70</v>
      </c>
      <c r="I197" s="1" t="n"/>
      <c r="L197" s="103" t="n"/>
    </row>
    <row r="198" ht="15" customHeight="1">
      <c r="A198" s="56" t="n"/>
      <c r="B198" s="29" t="inlineStr">
        <is>
          <t>1.4.13</t>
        </is>
      </c>
      <c r="C198" s="82" t="inlineStr">
        <is>
          <t>Крепежни елементи</t>
        </is>
      </c>
      <c r="D198" s="102" t="n"/>
      <c r="E198" s="4" t="inlineStr">
        <is>
          <t>бр.</t>
        </is>
      </c>
      <c r="F198" s="55" t="n">
        <v>1</v>
      </c>
      <c r="G198" t="n">
        <v>20</v>
      </c>
      <c r="H198" t="n">
        <v>20</v>
      </c>
      <c r="I198" s="1" t="n"/>
      <c r="L198" s="103" t="n"/>
    </row>
    <row r="199" ht="15" customHeight="1">
      <c r="A199" s="56" t="n"/>
      <c r="B199" s="29" t="inlineStr">
        <is>
          <t>1.4.14</t>
        </is>
      </c>
      <c r="C199" s="82" t="inlineStr">
        <is>
          <t>Доставка и монтаж на помпено оборудване</t>
        </is>
      </c>
      <c r="D199" s="102" t="n"/>
      <c r="E199" s="4" t="inlineStr">
        <is>
          <t>бр.</t>
        </is>
      </c>
      <c r="F199" s="55" t="n">
        <v>1</v>
      </c>
      <c r="G199" t="n">
        <v>128</v>
      </c>
      <c r="H199" t="n">
        <v>128</v>
      </c>
      <c r="I199" s="1" t="n"/>
      <c r="L199" s="103" t="n"/>
    </row>
    <row r="200" ht="45" customHeight="1">
      <c r="A200" s="56" t="n"/>
      <c r="B200" s="29" t="inlineStr">
        <is>
          <t>1.4.15</t>
        </is>
      </c>
      <c r="C200" s="82" t="inlineStr">
        <is>
          <t>Хоризонтален резервоар за подземен монтаж за вода с 2 капака, V=16 000l, L=4.80m, W=2.60m, H=2.30m, тегло 567кг.</t>
        </is>
      </c>
      <c r="D200" s="102" t="n"/>
      <c r="E200" s="4" t="inlineStr">
        <is>
          <t>бр.</t>
        </is>
      </c>
      <c r="F200" s="55" t="n">
        <v>1</v>
      </c>
      <c r="G200" t="n">
        <v>6000</v>
      </c>
      <c r="H200" t="n">
        <v>6000</v>
      </c>
      <c r="I200" s="1" t="n"/>
      <c r="L200" s="103" t="n"/>
    </row>
    <row r="201" ht="15" customHeight="1">
      <c r="A201" s="56" t="n"/>
      <c r="B201" s="29" t="inlineStr">
        <is>
          <t>1.4.16</t>
        </is>
      </c>
      <c r="C201" s="82" t="inlineStr">
        <is>
          <t>Транспортни разходи по доставка на резервоар</t>
        </is>
      </c>
      <c r="D201" s="102" t="n"/>
      <c r="E201" s="4" t="inlineStr">
        <is>
          <t>бр.</t>
        </is>
      </c>
      <c r="F201" s="55" t="n">
        <v>1</v>
      </c>
      <c r="G201" t="n">
        <v>1000</v>
      </c>
      <c r="H201" t="n">
        <v>1000</v>
      </c>
      <c r="I201" s="1" t="n"/>
      <c r="L201" s="103" t="n"/>
    </row>
    <row r="202" ht="45" customHeight="1">
      <c r="A202" s="56" t="n"/>
      <c r="B202" s="29" t="inlineStr">
        <is>
          <t>1.4.17</t>
        </is>
      </c>
      <c r="C202" s="82" t="inlineStr">
        <is>
          <t>Монтажни разходи (при наличие на високи подпочвени води изискващи основа от бетон и опасване с колани против изплаване).</t>
        </is>
      </c>
      <c r="D202" s="102" t="n"/>
      <c r="E202" s="4" t="inlineStr">
        <is>
          <t>бр.</t>
        </is>
      </c>
      <c r="F202" s="55" t="n">
        <v>1</v>
      </c>
      <c r="G202" t="n">
        <v>2000</v>
      </c>
      <c r="H202" t="n">
        <v>2000</v>
      </c>
      <c r="I202" s="1" t="n"/>
      <c r="L202" s="103" t="n"/>
    </row>
    <row r="203" ht="15" customHeight="1">
      <c r="A203" s="56" t="n"/>
      <c r="B203" s="85" t="inlineStr">
        <is>
          <t>2.</t>
        </is>
      </c>
      <c r="C203" s="86" t="inlineStr">
        <is>
          <t>Фонтан</t>
        </is>
      </c>
      <c r="D203" s="102" t="n"/>
      <c r="E203" s="41" t="n"/>
      <c r="F203" s="41" t="n"/>
      <c r="I203" s="1" t="n"/>
      <c r="L203" s="103" t="n"/>
    </row>
    <row r="204" ht="30" customHeight="1">
      <c r="A204" s="56" t="n"/>
      <c r="B204" s="24" t="inlineStr">
        <is>
          <t>2.1</t>
        </is>
      </c>
      <c r="C204" s="92" t="inlineStr">
        <is>
          <t>Воден ефект и осветление - специализирано оборудване</t>
        </is>
      </c>
      <c r="D204" s="102" t="n"/>
      <c r="E204" s="11" t="n"/>
      <c r="F204" s="11" t="n"/>
      <c r="I204" s="1" t="n"/>
      <c r="L204" s="103" t="n"/>
    </row>
    <row r="205" ht="15" customHeight="1">
      <c r="A205" s="56" t="n"/>
      <c r="B205" s="29" t="inlineStr">
        <is>
          <t>2.1.1</t>
        </is>
      </c>
      <c r="C205" s="90" t="inlineStr">
        <is>
          <t>Помпа с RDM/DMX управление с фабрично присъединени 1 метър комуникационен кабел с DMX кутия и 1 метър захранващ кабел 24V с кабелна кутия, двигател 24V DC EC, Hmax = 2.6 м., Qmax = 95 l/min, максимална мощност 60W, 3А,  време за достигане на максимално мощност 0-100 % за 0.6 сек., Qmin (при DMX стойност - 0): 26 l/min,  максимална дълбочина на потапяне: 4 м, защитен клас IP68, размери (L x W x H) 268 х 142 х 170 мм, тегло: 3.7 кг., 2 DMX канала за управление (канал за пускане и канал за скорост на оборотите), температура на водата: от 4 до 35 градуса, смукател 1 1/2", нагнетател 1", материал филтър на помпа: Plastic/ Stainless steel 1.4301 (AISI 304)</t>
        </is>
      </c>
      <c r="D205" s="102" t="n"/>
      <c r="E205" s="9" t="inlineStr">
        <is>
          <t>бр.</t>
        </is>
      </c>
      <c r="F205" s="9" t="n">
        <v>7</v>
      </c>
      <c r="G205" t="n">
        <v>285</v>
      </c>
      <c r="H205" t="n">
        <v>1995</v>
      </c>
      <c r="I205" s="1" t="n"/>
      <c r="L205" s="103" t="n"/>
    </row>
    <row r="206" ht="15" customHeight="1">
      <c r="A206" s="56" t="n"/>
      <c r="B206" s="29" t="inlineStr">
        <is>
          <t>2.1.2</t>
        </is>
      </c>
      <c r="C206" s="90" t="inlineStr">
        <is>
          <t>Дюза фонтанна, двойно покритие месинг, размери Ф28 мм х H=87 мм,  ширина на върха 14мм,фонтанна височина 0.5 - 4.0 метра, разход 9.5 - 30.7 l/min, налягане 0.07 - 0.54 bar, тегло 0.13 кг., присъединителна резба 1/2", вътрешен размер на отвора Ф8 мм, ъгъл на настройване на водната струя 15 градуса.</t>
        </is>
      </c>
      <c r="D206" s="102" t="n"/>
      <c r="E206" s="9" t="inlineStr">
        <is>
          <t>бр.</t>
        </is>
      </c>
      <c r="F206" s="9" t="n">
        <v>7</v>
      </c>
      <c r="G206" t="n">
        <v>100</v>
      </c>
      <c r="H206" t="n">
        <v>700</v>
      </c>
      <c r="I206" s="1" t="n"/>
      <c r="L206" s="103" t="n"/>
    </row>
    <row r="207" ht="15" customHeight="1">
      <c r="A207" s="56" t="n"/>
      <c r="B207" s="29" t="inlineStr">
        <is>
          <t>2.1.3</t>
        </is>
      </c>
      <c r="C207" s="90" t="inlineStr">
        <is>
          <t>Адаптор с резба 1", височина 42.3 мм, диаметър 38.0 мм, тегло 0.09 кг., материал: stainless steel</t>
        </is>
      </c>
      <c r="D207" s="102" t="n"/>
      <c r="E207" s="9" t="inlineStr">
        <is>
          <t>бр.</t>
        </is>
      </c>
      <c r="F207" s="9" t="n">
        <v>14</v>
      </c>
      <c r="G207" t="n">
        <v>27</v>
      </c>
      <c r="H207" t="n">
        <v>378</v>
      </c>
      <c r="I207" s="1" t="n"/>
      <c r="L207" s="103" t="n"/>
    </row>
    <row r="208" ht="15" customHeight="1">
      <c r="A208" s="56" t="n"/>
      <c r="B208" s="29" t="inlineStr">
        <is>
          <t>2.1.4</t>
        </is>
      </c>
      <c r="C208" s="90" t="inlineStr">
        <is>
          <t>Тръба INOX 1", 30cm.</t>
        </is>
      </c>
      <c r="D208" s="102" t="n"/>
      <c r="E208" s="9" t="inlineStr">
        <is>
          <t>бр.</t>
        </is>
      </c>
      <c r="F208" s="9" t="n">
        <v>7</v>
      </c>
      <c r="G208" t="n">
        <v>25</v>
      </c>
      <c r="H208" t="n">
        <v>175</v>
      </c>
      <c r="I208" s="1" t="n"/>
      <c r="L208" s="103" t="n"/>
    </row>
    <row r="209" ht="232.5" customHeight="1">
      <c r="A209" s="56" t="n"/>
      <c r="B209" s="29" t="inlineStr">
        <is>
          <t>2.1.5</t>
        </is>
      </c>
      <c r="C209" s="90" t="inlineStr">
        <is>
          <t>Осветително тяло със ринг от неръждаема стомана за вграждане в ниши от камък или метал, със отвор в средата за поставяне върху дюза с ширина до 22мм. Възможност за сух и подводен монтаж (IP68), Цветно осветяване, Сила на общия светлинен поток 837 lm( червен цвят - 240 lm, зелен цвят - 460 lm, син цвят 137 lm), ъгъл на осветеност 16 градуса,  енергийна категория А, волтаж 24V/DC, мощност 21W, 0.95А, с фабрична дължина на кабела 1 метър, защитен клас IP68, размери Ф180 мм х 30 мм височина, материал: Stainless steel 1.4404 (AISI 316L), стъкло, тегло 1.60 кг, възможност за управление с DMX протокол на управление чрез контролер и подводен LED Драйвър</t>
        </is>
      </c>
      <c r="D209" s="102" t="n"/>
      <c r="E209" s="9" t="inlineStr">
        <is>
          <t>бр.</t>
        </is>
      </c>
      <c r="F209" s="9" t="n">
        <v>7</v>
      </c>
      <c r="G209" t="n">
        <v>50</v>
      </c>
      <c r="H209" t="n">
        <v>350</v>
      </c>
      <c r="I209" s="1" t="n"/>
      <c r="L209" s="103" t="n"/>
    </row>
    <row r="210" ht="107.25" customHeight="1">
      <c r="A210" s="56" t="n"/>
      <c r="B210" s="29" t="inlineStr">
        <is>
          <t>2.1.6</t>
        </is>
      </c>
      <c r="C210" s="90" t="inlineStr">
        <is>
          <t>Трансформатор подводен 250 24V/01, размери (L x W x H) 260 x 162 x 77 мм, входящо напрежение 100-240V/АС, изходящо напрежение 24V/DC, 10.5 А, слотове: 4 х 24V/DC, дължина на кабел: 10 м., максимална дълбочина на потапяне 4 метра, температура на водата: от 4 до 35 градуса,  защитен клас IP68, тегло: 5.1 кг.</t>
        </is>
      </c>
      <c r="D210" s="102" t="n"/>
      <c r="E210" s="9" t="inlineStr">
        <is>
          <t>бр.</t>
        </is>
      </c>
      <c r="F210" s="9" t="n">
        <v>3</v>
      </c>
      <c r="G210" t="n">
        <v>80</v>
      </c>
      <c r="H210" t="n">
        <v>240</v>
      </c>
      <c r="I210" s="1" t="n"/>
      <c r="L210" s="103" t="n"/>
    </row>
    <row r="211" ht="105" customHeight="1">
      <c r="A211" s="56" t="n"/>
      <c r="B211" s="29" t="inlineStr">
        <is>
          <t>2.1.7</t>
        </is>
      </c>
      <c r="C211" s="90" t="inlineStr">
        <is>
          <t xml:space="preserve">Подводен LED Драйвър 24V DC/DMX/02, 2 връзки на 24V/DC (вход и изход), 2 връзки за DMX/RDM управление (вход и изход),7.5А, максимална изходяща мощност 180W. 4 броя изходи за хибридни кабели осигуряващи индивидуално управление, защитен клас IP68, размери (L x W x H) 151 х 140 х 70 мм, тегло 1.45 кг </t>
        </is>
      </c>
      <c r="D211" s="102" t="n"/>
      <c r="E211" s="9" t="inlineStr">
        <is>
          <t>бр.</t>
        </is>
      </c>
      <c r="F211" s="9" t="n">
        <v>2</v>
      </c>
      <c r="G211" t="n">
        <v>300</v>
      </c>
      <c r="H211" t="n">
        <v>600</v>
      </c>
      <c r="I211" s="1" t="n"/>
      <c r="L211" s="103" t="n"/>
    </row>
    <row r="212" ht="135" customHeight="1">
      <c r="A212" s="56" t="n"/>
      <c r="B212" s="29" t="inlineStr">
        <is>
          <t>2.1.8</t>
        </is>
      </c>
      <c r="C212" s="90" t="inlineStr">
        <is>
          <t>Програматор 512 канала RDM /DMX управление, размери (L x W x H) 158 x 94 x 58 мм, тегло: 0.33 кг., защитен клас IP20, захранване: 24V DC/8W, сертификат СЕ, 8 х Digital изхода (24V/DC 1А максимум), 8 х Digital входа, памет MicroSD-Card, други връзки: Ethernet RJ45 10/100Mbit, настройки чрез 2 х 16 Segment LCD Display с 6 бутона, Софтуер WEPS за Windows 7 или по нов., интегриран webserver</t>
        </is>
      </c>
      <c r="D212" s="102" t="n"/>
      <c r="E212" s="9" t="inlineStr">
        <is>
          <t>бр.</t>
        </is>
      </c>
      <c r="F212" s="9" t="n">
        <v>1</v>
      </c>
      <c r="G212" t="n">
        <v>400</v>
      </c>
      <c r="H212" t="n">
        <v>400</v>
      </c>
      <c r="I212" s="1" t="n"/>
      <c r="L212" s="103" t="n"/>
    </row>
    <row r="213">
      <c r="A213" s="56" t="n"/>
      <c r="B213" s="29" t="inlineStr">
        <is>
          <t>2.1.9</t>
        </is>
      </c>
      <c r="C213" s="90" t="inlineStr">
        <is>
          <t>Трансформатор 85/265V AC/24V DC 48W/2 A</t>
        </is>
      </c>
      <c r="D213" s="102" t="n"/>
      <c r="E213" s="9" t="inlineStr">
        <is>
          <t>бр.</t>
        </is>
      </c>
      <c r="F213" s="9" t="n">
        <v>1</v>
      </c>
      <c r="G213" t="n">
        <v>50</v>
      </c>
      <c r="H213" t="n">
        <v>50</v>
      </c>
      <c r="I213" s="1" t="n"/>
      <c r="L213" s="103" t="n"/>
    </row>
    <row r="214" ht="45" customHeight="1">
      <c r="A214" s="56" t="n"/>
      <c r="B214" s="29" t="inlineStr">
        <is>
          <t>2.1.10</t>
        </is>
      </c>
      <c r="C214" s="90" t="inlineStr">
        <is>
          <t>Комуникационен кабел захранващ DMX, дължина 1.5 метра, диаметър 2 х 0.34 мм2, тегло 0.2 кг, IP68, мъжка-женска резба</t>
        </is>
      </c>
      <c r="D214" s="102" t="n"/>
      <c r="E214" s="9" t="inlineStr">
        <is>
          <t>бр.</t>
        </is>
      </c>
      <c r="F214" s="9" t="n">
        <v>1</v>
      </c>
      <c r="G214" t="n">
        <v>150</v>
      </c>
      <c r="H214" t="n">
        <v>150</v>
      </c>
      <c r="I214" s="1" t="n"/>
      <c r="L214" s="103" t="n"/>
    </row>
    <row r="215" ht="45" customHeight="1">
      <c r="A215" s="56" t="n"/>
      <c r="B215" s="29" t="inlineStr">
        <is>
          <t>2.1.11</t>
        </is>
      </c>
      <c r="C215" s="90" t="inlineStr">
        <is>
          <t>Комуникационен кабел захранващ DMX, дължина 3.0 метра, диаметър 2 х 0.34 мм2, тегло 0.3 кг, IP68, мъжка-женска резба</t>
        </is>
      </c>
      <c r="D215" s="102" t="n"/>
      <c r="E215" s="9" t="inlineStr">
        <is>
          <t>бр.</t>
        </is>
      </c>
      <c r="F215" s="9" t="n">
        <v>7</v>
      </c>
      <c r="G215" t="n">
        <v>150</v>
      </c>
      <c r="H215" t="n">
        <v>1050</v>
      </c>
      <c r="I215" s="1" t="n"/>
      <c r="L215" s="103" t="n"/>
    </row>
    <row r="216" ht="57" customHeight="1">
      <c r="A216" s="56" t="n"/>
      <c r="B216" s="29" t="inlineStr">
        <is>
          <t>2.1.12</t>
        </is>
      </c>
      <c r="C216" s="90" t="inlineStr">
        <is>
          <t>Комуникационен кабел захранващ DMX, дължина 20.0 метра, диаметър 2 х 0.34 мм2, тегло 1.1 кг, IP68, мъжка-женска резба</t>
        </is>
      </c>
      <c r="D216" s="102" t="n"/>
      <c r="E216" s="9" t="inlineStr">
        <is>
          <t>бр.</t>
        </is>
      </c>
      <c r="F216" s="9" t="n">
        <v>1</v>
      </c>
      <c r="G216" t="n">
        <v>150</v>
      </c>
      <c r="H216" t="n">
        <v>150</v>
      </c>
      <c r="I216" s="1" t="n"/>
      <c r="L216" s="103" t="n"/>
    </row>
    <row r="217" ht="15" customHeight="1">
      <c r="A217" s="56" t="n"/>
      <c r="B217" s="29" t="inlineStr">
        <is>
          <t>2.1.13</t>
        </is>
      </c>
      <c r="C217" s="90" t="inlineStr">
        <is>
          <t>Краен куплунг за BUS-System DMX, тегло 0.1 кг.</t>
        </is>
      </c>
      <c r="D217" s="102" t="n"/>
      <c r="E217" s="9" t="inlineStr">
        <is>
          <t>бр.</t>
        </is>
      </c>
      <c r="F217" s="9" t="n">
        <v>1</v>
      </c>
      <c r="G217" t="n">
        <v>100</v>
      </c>
      <c r="H217" t="n">
        <v>100</v>
      </c>
      <c r="I217" s="1" t="n"/>
      <c r="L217" s="103" t="n"/>
    </row>
    <row r="218" ht="49.5" customHeight="1">
      <c r="A218" s="56" t="n"/>
      <c r="B218" s="29" t="inlineStr">
        <is>
          <t>2.1.14</t>
        </is>
      </c>
      <c r="C218" s="90" t="inlineStr">
        <is>
          <t>Кабел захранващ 24V DC, дължина 1.5 метра, диаметър 2 х 2.5 мм2, тегло 0.38 кг, защитен клас IP68</t>
        </is>
      </c>
      <c r="D218" s="102" t="n"/>
      <c r="E218" s="9" t="inlineStr">
        <is>
          <t>бр.</t>
        </is>
      </c>
      <c r="F218" s="9" t="n">
        <v>1</v>
      </c>
      <c r="G218" t="n">
        <v>100</v>
      </c>
      <c r="H218" t="n">
        <v>100</v>
      </c>
      <c r="I218" s="1" t="n"/>
      <c r="L218" s="103" t="n"/>
    </row>
    <row r="219" ht="15" customHeight="1">
      <c r="A219" s="56" t="n"/>
      <c r="B219" s="29" t="inlineStr">
        <is>
          <t>2.1.15</t>
        </is>
      </c>
      <c r="C219" s="90" t="inlineStr">
        <is>
          <t>Кабел захранващ 24V DC, дължина 3.0 метра, диаметър 2 х 2.5 мм2, тегло 0.75 кг, защитен клас IP68</t>
        </is>
      </c>
      <c r="D219" s="102" t="n"/>
      <c r="E219" s="9" t="inlineStr">
        <is>
          <t>бр.</t>
        </is>
      </c>
      <c r="F219" s="9" t="n">
        <v>5</v>
      </c>
      <c r="G219" t="n">
        <v>10</v>
      </c>
      <c r="H219" t="n">
        <v>50</v>
      </c>
      <c r="I219" s="1" t="n"/>
      <c r="L219" s="103" t="n"/>
    </row>
    <row r="220" ht="30" customHeight="1">
      <c r="A220" s="56" t="n"/>
      <c r="B220" s="29" t="inlineStr">
        <is>
          <t>2.1.16</t>
        </is>
      </c>
      <c r="C220" s="90" t="inlineStr">
        <is>
          <t>Кабел захранващ 24V DC, дължина 15.0 метра, диаметър 2 х 2.5 мм2, тегло 2.6 кг, защитен клас IP68</t>
        </is>
      </c>
      <c r="D220" s="102" t="n"/>
      <c r="E220" s="9" t="inlineStr">
        <is>
          <t>бр.</t>
        </is>
      </c>
      <c r="F220" s="9" t="n">
        <v>4</v>
      </c>
      <c r="G220" t="n">
        <v>10</v>
      </c>
      <c r="H220" t="n">
        <v>40</v>
      </c>
      <c r="I220" s="1" t="n"/>
      <c r="L220" s="103" t="n"/>
    </row>
    <row r="221" ht="15" customHeight="1">
      <c r="A221" s="56" t="n"/>
      <c r="B221" s="29" t="inlineStr">
        <is>
          <t>2.1.17</t>
        </is>
      </c>
      <c r="C221" s="90" t="inlineStr">
        <is>
          <t>Кабел  RV-K 2x2,5mm2</t>
        </is>
      </c>
      <c r="D221" s="102" t="n"/>
      <c r="E221" s="9" t="inlineStr">
        <is>
          <t>m</t>
        </is>
      </c>
      <c r="F221" s="9" t="n">
        <v>25</v>
      </c>
      <c r="G221" t="n">
        <v>10</v>
      </c>
      <c r="H221" t="n">
        <v>250</v>
      </c>
      <c r="I221" s="1" t="n"/>
      <c r="L221" s="103" t="n"/>
    </row>
    <row r="222" ht="45" customHeight="1">
      <c r="A222" s="56" t="n"/>
      <c r="B222" s="29" t="inlineStr">
        <is>
          <t>2.1.18</t>
        </is>
      </c>
      <c r="C222" s="90" t="inlineStr">
        <is>
          <t>Кабел захранващ - хибриден (захранване и управление), 24V/DMX, 1.5 метра, диаметър 4 x 0.34 мм2, тегло 0.25кг, защитен клас IP68</t>
        </is>
      </c>
      <c r="D222" s="102" t="n"/>
      <c r="E222" s="9" t="inlineStr">
        <is>
          <t>бр.</t>
        </is>
      </c>
      <c r="F222" s="9" t="n">
        <v>5</v>
      </c>
      <c r="G222" t="n">
        <v>150</v>
      </c>
      <c r="H222" t="n">
        <v>750</v>
      </c>
      <c r="I222" s="1" t="n"/>
      <c r="L222" s="103" t="n"/>
    </row>
    <row r="223" ht="45" customHeight="1">
      <c r="A223" s="56" t="n"/>
      <c r="B223" s="29" t="inlineStr">
        <is>
          <t>2.1.19</t>
        </is>
      </c>
      <c r="C223" s="90" t="inlineStr">
        <is>
          <t>Кабел захранващ - хибриден (захранване и управление), 24V/DMX, 1.5 метра, диаметър 4 x 0.34 мм2, тегло 0.37кг, защитен клас IP68</t>
        </is>
      </c>
      <c r="D223" s="102" t="n"/>
      <c r="E223" s="9" t="inlineStr">
        <is>
          <t>бр.</t>
        </is>
      </c>
      <c r="F223" s="9" t="n">
        <v>2</v>
      </c>
      <c r="G223" t="n">
        <v>150</v>
      </c>
      <c r="H223" t="n">
        <v>300</v>
      </c>
      <c r="I223" s="1" t="n"/>
      <c r="L223" s="103" t="n"/>
    </row>
    <row r="224" ht="60" customHeight="1">
      <c r="A224" s="56" t="n"/>
      <c r="B224" s="29" t="inlineStr">
        <is>
          <t>2.1.20</t>
        </is>
      </c>
      <c r="C224" s="90" t="inlineStr">
        <is>
          <t>Кабелна арматура , за директен монтаж върху сифон за вграждане DN100, 7бр хидроизолиращи прохода за кабели, материал: томбак, размери: Ø170мм, височина 50мм, тегло 1.9 кг.</t>
        </is>
      </c>
      <c r="D224" s="102" t="n"/>
      <c r="E224" s="9" t="inlineStr">
        <is>
          <t>бр.</t>
        </is>
      </c>
      <c r="F224" s="9" t="n">
        <v>1</v>
      </c>
      <c r="G224" t="n">
        <v>450</v>
      </c>
      <c r="H224" t="n">
        <v>450</v>
      </c>
      <c r="I224" s="1" t="n"/>
      <c r="L224" s="103" t="n"/>
    </row>
    <row r="225" ht="48.75" customHeight="1">
      <c r="A225" s="56" t="n"/>
      <c r="B225" s="29" t="inlineStr">
        <is>
          <t>2.1.21</t>
        </is>
      </c>
      <c r="C225" s="90" t="inlineStr">
        <is>
          <t>Сифон за вграждане в бетон, DN100, размери: Ø100мм, височина 141мм, материал: томбак, тегло 3.2кг.</t>
        </is>
      </c>
      <c r="D225" s="102" t="n"/>
      <c r="E225" s="9" t="inlineStr">
        <is>
          <t>бр.</t>
        </is>
      </c>
      <c r="F225" s="9" t="n">
        <v>1</v>
      </c>
      <c r="G225" t="n">
        <v>85</v>
      </c>
      <c r="H225" t="n">
        <v>85</v>
      </c>
      <c r="I225" s="1" t="n"/>
      <c r="L225" s="103" t="n"/>
    </row>
    <row r="226" ht="30" customHeight="1">
      <c r="A226" s="56" t="n"/>
      <c r="B226" s="29" t="inlineStr">
        <is>
          <t>2.1.22</t>
        </is>
      </c>
      <c r="C226" s="90" t="inlineStr">
        <is>
          <t>Регулируема подпора със самонивелираща се глава H= 315-500 mm</t>
        </is>
      </c>
      <c r="D226" s="102" t="n"/>
      <c r="E226" s="9" t="inlineStr">
        <is>
          <t>бр.</t>
        </is>
      </c>
      <c r="F226" s="9" t="n">
        <v>120</v>
      </c>
      <c r="G226" t="n">
        <v>15</v>
      </c>
      <c r="H226" t="n">
        <v>1800</v>
      </c>
      <c r="I226" s="1" t="n"/>
      <c r="L226" s="103" t="n"/>
    </row>
    <row r="227" ht="15" customHeight="1">
      <c r="A227" s="56" t="n"/>
      <c r="B227" s="29" t="inlineStr">
        <is>
          <t>2.1.23</t>
        </is>
      </c>
      <c r="C227" s="90" t="inlineStr">
        <is>
          <t>LGH Гумена подложка 2мм.</t>
        </is>
      </c>
      <c r="D227" s="102" t="n"/>
      <c r="E227" s="9" t="inlineStr">
        <is>
          <t>бр.</t>
        </is>
      </c>
      <c r="F227" s="9" t="n">
        <v>120</v>
      </c>
      <c r="G227" t="n">
        <v>2</v>
      </c>
      <c r="H227" t="n">
        <v>240</v>
      </c>
      <c r="I227" s="1" t="n"/>
      <c r="L227" s="103" t="n"/>
    </row>
    <row r="228" ht="15" customHeight="1">
      <c r="A228" s="56" t="n"/>
      <c r="B228" s="29" t="inlineStr">
        <is>
          <t>2.1.24</t>
        </is>
      </c>
      <c r="C228" s="90" t="inlineStr">
        <is>
          <t>Крепежи на оборудване и окабеляване</t>
        </is>
      </c>
      <c r="D228" s="102" t="n"/>
      <c r="E228" s="9" t="inlineStr">
        <is>
          <t>бр.</t>
        </is>
      </c>
      <c r="F228" s="9" t="n">
        <v>1</v>
      </c>
      <c r="G228" t="n">
        <v>450</v>
      </c>
      <c r="H228" t="n">
        <v>450</v>
      </c>
      <c r="I228" s="1" t="n"/>
      <c r="L228" s="103" t="n"/>
    </row>
    <row r="229" ht="15" customHeight="1">
      <c r="A229" s="56" t="n"/>
      <c r="B229" s="29" t="inlineStr">
        <is>
          <t>2.1.25</t>
        </is>
      </c>
      <c r="C229" s="90" t="inlineStr">
        <is>
          <t>Доставка и монтаж на оборудване за воден ефект</t>
        </is>
      </c>
      <c r="D229" s="102" t="n"/>
      <c r="E229" s="9" t="inlineStr">
        <is>
          <t>бр.</t>
        </is>
      </c>
      <c r="F229" s="9" t="n">
        <v>1</v>
      </c>
      <c r="G229" t="n">
        <v>1500</v>
      </c>
      <c r="H229" t="n">
        <v>1500</v>
      </c>
      <c r="I229" s="1" t="n"/>
      <c r="L229" s="103" t="n"/>
    </row>
    <row r="230" ht="30" customHeight="1">
      <c r="A230" s="56" t="n"/>
      <c r="B230" s="24" t="inlineStr">
        <is>
          <t>2.2</t>
        </is>
      </c>
      <c r="C230" s="92" t="inlineStr">
        <is>
          <t>Филтрация, пълнене и автоматично допълване - специализирани материали</t>
        </is>
      </c>
      <c r="D230" s="102" t="n"/>
      <c r="E230" s="11" t="n"/>
      <c r="F230" s="11" t="n"/>
      <c r="I230" s="1" t="n"/>
      <c r="L230" s="103" t="n"/>
    </row>
    <row r="231">
      <c r="A231" s="56" t="n"/>
      <c r="B231" s="29" t="inlineStr">
        <is>
          <t>2.2.1</t>
        </is>
      </c>
      <c r="C231" s="92" t="inlineStr">
        <is>
          <t>Филтрация, пълнене и автоматично допълване - специализирани материали</t>
        </is>
      </c>
      <c r="D231" s="102" t="n"/>
      <c r="E231" s="9" t="inlineStr">
        <is>
          <t>бр.</t>
        </is>
      </c>
      <c r="F231" s="9" t="n">
        <v>1</v>
      </c>
      <c r="G231" t="n">
        <v>1000</v>
      </c>
      <c r="H231" t="n">
        <v>1000</v>
      </c>
      <c r="I231" s="1" t="n"/>
      <c r="L231" s="103" t="n"/>
    </row>
    <row r="232" ht="15" customHeight="1">
      <c r="A232" s="56" t="n"/>
      <c r="B232" s="29" t="inlineStr">
        <is>
          <t>2.2.2</t>
        </is>
      </c>
      <c r="C232" s="90" t="inlineStr">
        <is>
          <t>Пясък кварцов (торба 25 kg)</t>
        </is>
      </c>
      <c r="D232" s="102" t="n"/>
      <c r="E232" s="9" t="inlineStr">
        <is>
          <t>бр.</t>
        </is>
      </c>
      <c r="F232" s="9" t="n">
        <v>5</v>
      </c>
      <c r="G232" t="n">
        <v>30</v>
      </c>
      <c r="H232" t="n">
        <v>150</v>
      </c>
      <c r="I232" s="1" t="n"/>
      <c r="L232" s="103" t="n"/>
    </row>
    <row r="233" ht="105" customHeight="1">
      <c r="A233" s="56" t="n"/>
      <c r="B233" s="29" t="inlineStr">
        <is>
          <t>2.2.3</t>
        </is>
      </c>
      <c r="C233" s="90" t="inlineStr">
        <is>
          <t>Стерилизатор работещ с UV светлина, Захранване 1 x 220-240V 50/60Hz, Мощност 72 W, Moщност на осветяване: 72W, Размери: Дължина:730мм, Ширина:215мм, Височина:200мм; Връзки: вход: 1x 2" изход: 2 x 1 1/2"; Минимален дебит 12000л, Максимален дебит 40000 литра, тегло: 6.44кг., Максимално работно налягане 1 bar.</t>
        </is>
      </c>
      <c r="D233" s="102" t="n"/>
      <c r="E233" s="9" t="inlineStr">
        <is>
          <t>бр.</t>
        </is>
      </c>
      <c r="F233" s="9" t="n">
        <v>1</v>
      </c>
      <c r="G233" t="n">
        <v>1000</v>
      </c>
      <c r="H233" t="n">
        <v>1000</v>
      </c>
      <c r="I233" s="1" t="n"/>
      <c r="L233" s="103" t="n"/>
    </row>
    <row r="234" ht="45" customHeight="1">
      <c r="A234" s="56" t="n"/>
      <c r="B234" s="29" t="inlineStr">
        <is>
          <t>2.2.4</t>
        </is>
      </c>
      <c r="C234" s="90" t="inlineStr">
        <is>
          <t xml:space="preserve">Вливна дюза за филтрация,  размери (Ф х H) 101 х 31 мм, присъединителен размер 1 1/2", тегло 0.3 кг, материал: Stainless Steel </t>
        </is>
      </c>
      <c r="D234" s="102" t="n"/>
      <c r="E234" s="9" t="inlineStr">
        <is>
          <t>бр.</t>
        </is>
      </c>
      <c r="F234" s="9" t="n">
        <v>2</v>
      </c>
      <c r="G234" t="n">
        <v>180</v>
      </c>
      <c r="H234" t="n">
        <v>360</v>
      </c>
      <c r="I234" s="1" t="n"/>
      <c r="L234" s="103" t="n"/>
    </row>
    <row r="235" ht="45" customHeight="1">
      <c r="A235" s="56" t="n"/>
      <c r="B235" s="29" t="inlineStr">
        <is>
          <t>2.2.5</t>
        </is>
      </c>
      <c r="C235" s="90" t="inlineStr">
        <is>
          <t>Скимер стенен за филтрация, размери (L x W x H) 350 х 150 х 336 мм, DN 100/2", тегло 5.10 кг., материал: Stainless Steel</t>
        </is>
      </c>
      <c r="D235" s="102" t="n"/>
      <c r="E235" s="9" t="inlineStr">
        <is>
          <t>бр.</t>
        </is>
      </c>
      <c r="F235" s="9" t="n">
        <v>1</v>
      </c>
      <c r="G235" t="n">
        <v>250</v>
      </c>
      <c r="H235" t="n">
        <v>250</v>
      </c>
      <c r="I235" s="1" t="n"/>
      <c r="L235" s="103" t="n"/>
    </row>
    <row r="236" ht="45" customHeight="1">
      <c r="A236" s="56" t="n"/>
      <c r="B236" s="29" t="inlineStr">
        <is>
          <t>2.2.6</t>
        </is>
      </c>
      <c r="C236" s="90" t="inlineStr">
        <is>
          <t>Сифон за вграждане в бетон, DN70, размери: Ø70мм, височина 110мм, материал: томбак, тегло 2.1кг.</t>
        </is>
      </c>
      <c r="D236" s="102" t="n"/>
      <c r="E236" s="9" t="inlineStr">
        <is>
          <t>бр.</t>
        </is>
      </c>
      <c r="F236" s="9" t="n">
        <v>1</v>
      </c>
      <c r="G236" t="n">
        <v>90</v>
      </c>
      <c r="H236" t="n">
        <v>90</v>
      </c>
      <c r="I236" s="1" t="n"/>
      <c r="L236" s="103" t="n"/>
    </row>
    <row r="237" ht="30" customHeight="1">
      <c r="A237" s="56" t="n"/>
      <c r="B237" s="29" t="inlineStr">
        <is>
          <t>2.2.7</t>
        </is>
      </c>
      <c r="C237" s="90" t="inlineStr">
        <is>
          <t>Решетка за сифон, Ø150мм, DN70, материал: неръждаема стомана 1.4301 (AISI 304), тегло: 0.6кг.</t>
        </is>
      </c>
      <c r="D237" s="102" t="n"/>
      <c r="E237" s="9" t="inlineStr">
        <is>
          <t>бр.</t>
        </is>
      </c>
      <c r="F237" s="9" t="n">
        <v>1</v>
      </c>
      <c r="G237" t="n">
        <v>50</v>
      </c>
      <c r="H237" t="n">
        <v>50</v>
      </c>
      <c r="I237" s="1" t="n"/>
      <c r="L237" s="103" t="n"/>
    </row>
    <row r="238" ht="105" customHeight="1">
      <c r="A238" s="56" t="n"/>
      <c r="B238" s="29" t="inlineStr">
        <is>
          <t>2.2.8</t>
        </is>
      </c>
      <c r="C238" s="90" t="inlineStr">
        <is>
          <t>Комбинирана арматура за вграждане в стени (бетон), Изпълнява  функциите на преливник, допълваща арматура, стойка за монтаж на датчик за ниво, Връзки: 1 x DN100 + 2 x 1"м., Размери: Дължина 340мм, Ширина:271мм, Височина:153мм; материал: неръждаема стомана 1.4571 (AISI 316Ti), тегло: 6.1кг.</t>
        </is>
      </c>
      <c r="D238" s="102" t="n"/>
      <c r="E238" s="9" t="inlineStr">
        <is>
          <t>бр.</t>
        </is>
      </c>
      <c r="F238" s="9" t="n">
        <v>1</v>
      </c>
      <c r="G238" t="n">
        <v>280</v>
      </c>
      <c r="H238" t="n">
        <v>280</v>
      </c>
      <c r="I238" s="1" t="n"/>
      <c r="L238" s="103" t="n"/>
    </row>
    <row r="239" ht="105" customHeight="1">
      <c r="A239" s="56" t="n"/>
      <c r="B239" s="29" t="inlineStr">
        <is>
          <t>2.2.9</t>
        </is>
      </c>
      <c r="C239" s="90" t="inlineStr">
        <is>
          <t xml:space="preserve">Електронен ниво регулатор, размери (L x W x H) 180 х 180 х 124 мм, защитен клас IP54, входящо работно напрежение 100-240V/ 50-60Hz, 5.0А, изходящо напрежение към електромагнитен клапан 24V/DC, 0.5А, 1 бутон за включване, 1 светлинен индикатор, 3 слота за свързване на датчик за ниво, тегло 2.1 кг, </t>
        </is>
      </c>
      <c r="D239" s="102" t="n"/>
      <c r="E239" s="9" t="inlineStr">
        <is>
          <t>бр.</t>
        </is>
      </c>
      <c r="F239" s="9" t="n">
        <v>1</v>
      </c>
      <c r="G239" t="n">
        <v>75</v>
      </c>
      <c r="H239" t="n">
        <v>75</v>
      </c>
      <c r="I239" s="1" t="n"/>
      <c r="L239" s="103" t="n"/>
    </row>
    <row r="240" ht="44.25" customHeight="1">
      <c r="A240" s="56" t="n"/>
      <c r="B240" s="29" t="inlineStr">
        <is>
          <t>2.2.10</t>
        </is>
      </c>
      <c r="C240" s="90" t="inlineStr">
        <is>
          <t>Клапан електромагнитен 1", 24V/DC, нормално затворен, размери (L x W x H) 96 х 70 х 108 мм, посока 2/2, защитен клас IP65, работно налягане: 0.4 - 10.00 bar, материал: месинг, тегло 1.3 кг.</t>
        </is>
      </c>
      <c r="D240" s="102" t="n"/>
      <c r="E240" s="9" t="inlineStr">
        <is>
          <t>бр.</t>
        </is>
      </c>
      <c r="F240" s="9" t="n">
        <v>1</v>
      </c>
      <c r="G240" t="n">
        <v>100</v>
      </c>
      <c r="H240" t="n">
        <v>100</v>
      </c>
      <c r="I240" s="1" t="n"/>
      <c r="L240" s="103" t="n"/>
    </row>
    <row r="241" ht="30.75" customHeight="1">
      <c r="A241" s="56" t="n"/>
      <c r="B241" s="29" t="inlineStr">
        <is>
          <t>2.2.11</t>
        </is>
      </c>
      <c r="C241" s="90" t="inlineStr">
        <is>
          <t>Датчик за ниво, размери (L x W x H) 115 х 80 х 46 мм, защитен клас IP68, 3 електрода:  1 маса, 1 долно ниво, 1 горно ниво, денивелация 20 мм, дължина на кабел: 10 метра, тегло: 2.2 кг</t>
        </is>
      </c>
      <c r="D241" s="102" t="n"/>
      <c r="E241" s="9" t="inlineStr">
        <is>
          <t>бр.</t>
        </is>
      </c>
      <c r="F241" s="9" t="n">
        <v>1</v>
      </c>
      <c r="G241" t="n">
        <v>60</v>
      </c>
      <c r="H241" t="n">
        <v>60</v>
      </c>
      <c r="I241" s="1" t="n"/>
      <c r="L241" s="103" t="n"/>
    </row>
    <row r="242">
      <c r="A242" s="56" t="n"/>
      <c r="B242" s="29" t="inlineStr">
        <is>
          <t>2.2.12</t>
        </is>
      </c>
      <c r="C242" s="90" t="inlineStr">
        <is>
          <t>Потопяема дренажна помпа за замърсени води. Максимален дебит 14500 л/ч, Максимално налягане 1,1 bar. Мощност 0.95kW, Захранване 1 x 230V / 50Hz. Максимална дълбочина на потапяне 7м, Поплавък за следене на нивото, връзка 1 1/2", Максимален размер на частиците 30мм, Размери: Дължина 193мм, Ширина 247мм, Височина 422мм; тегло: 6.8кг.</t>
        </is>
      </c>
      <c r="D242" s="102" t="n"/>
      <c r="E242" s="9" t="inlineStr">
        <is>
          <t>бр.</t>
        </is>
      </c>
      <c r="F242" s="9" t="n">
        <v>1</v>
      </c>
      <c r="G242" t="n">
        <v>1000</v>
      </c>
      <c r="H242" t="n">
        <v>1000</v>
      </c>
      <c r="I242" s="1" t="n"/>
      <c r="L242" s="103" t="n"/>
    </row>
    <row r="243" ht="30" customHeight="1">
      <c r="A243" s="56" t="n"/>
      <c r="B243" s="29" t="inlineStr">
        <is>
          <t>2.2.13</t>
        </is>
      </c>
      <c r="C243" s="90" t="inlineStr">
        <is>
          <t>Ел. табло за филтрацията (включително и дефектно-токова защита, таймери и др.)</t>
        </is>
      </c>
      <c r="D243" s="102" t="n"/>
      <c r="E243" s="9" t="inlineStr">
        <is>
          <t>бр.</t>
        </is>
      </c>
      <c r="F243" s="9" t="n">
        <v>1</v>
      </c>
      <c r="G243" t="n">
        <v>500</v>
      </c>
      <c r="H243" t="n">
        <v>500</v>
      </c>
      <c r="I243" s="1" t="n"/>
      <c r="L243" s="103" t="n"/>
    </row>
    <row r="244">
      <c r="A244" s="56" t="n"/>
      <c r="B244" s="24" t="inlineStr">
        <is>
          <t>2.3</t>
        </is>
      </c>
      <c r="C244" s="92" t="inlineStr">
        <is>
          <t>Тръбна разводка на смукателна част</t>
        </is>
      </c>
      <c r="D244" s="102" t="n"/>
      <c r="E244" s="11" t="n"/>
      <c r="F244" s="11" t="n"/>
      <c r="I244" s="1" t="n"/>
      <c r="L244" s="103" t="n"/>
    </row>
    <row r="245" ht="15" customHeight="1">
      <c r="A245" s="56" t="n"/>
      <c r="B245" s="29" t="inlineStr">
        <is>
          <t>2.3.1</t>
        </is>
      </c>
      <c r="C245" s="90" t="inlineStr">
        <is>
          <t>PVC Тръба PN10 Ø63mm.</t>
        </is>
      </c>
      <c r="D245" s="102" t="n"/>
      <c r="E245" s="9" t="inlineStr">
        <is>
          <t>m</t>
        </is>
      </c>
      <c r="F245" s="9" t="n">
        <v>6</v>
      </c>
      <c r="G245" t="n">
        <v>7</v>
      </c>
      <c r="H245" t="n">
        <v>42</v>
      </c>
      <c r="I245" s="1" t="n"/>
      <c r="L245" s="103" t="n"/>
    </row>
    <row r="246" ht="15" customHeight="1">
      <c r="A246" s="56" t="n"/>
      <c r="B246" s="29" t="inlineStr">
        <is>
          <t>2.3.2</t>
        </is>
      </c>
      <c r="C246" s="90" t="inlineStr">
        <is>
          <t>PVC-U коляно - 90° - лепене Ø 63</t>
        </is>
      </c>
      <c r="D246" s="102" t="n"/>
      <c r="E246" s="9" t="inlineStr">
        <is>
          <t>бр.</t>
        </is>
      </c>
      <c r="F246" s="9" t="n">
        <v>3</v>
      </c>
      <c r="G246" t="n">
        <v>3</v>
      </c>
      <c r="H246" t="n">
        <v>9</v>
      </c>
      <c r="I246" s="1" t="n"/>
      <c r="L246" s="103" t="n"/>
    </row>
    <row r="247" ht="15" customHeight="1">
      <c r="A247" s="56" t="n"/>
      <c r="B247" s="29" t="inlineStr">
        <is>
          <t>2.3.3</t>
        </is>
      </c>
      <c r="C247" s="90" t="inlineStr">
        <is>
          <t>PVC-U тройник - 90°- лепене Ø 63</t>
        </is>
      </c>
      <c r="D247" s="102" t="n"/>
      <c r="E247" s="9" t="inlineStr">
        <is>
          <t>бр.</t>
        </is>
      </c>
      <c r="F247" s="9" t="n">
        <v>1</v>
      </c>
      <c r="G247" t="n">
        <v>5</v>
      </c>
      <c r="H247" t="n">
        <v>5</v>
      </c>
      <c r="I247" s="1" t="n"/>
      <c r="L247" s="103" t="n"/>
    </row>
    <row r="248" ht="15" customHeight="1">
      <c r="A248" s="56" t="n"/>
      <c r="B248" s="29" t="inlineStr">
        <is>
          <t>2.3.4</t>
        </is>
      </c>
      <c r="C248" s="90" t="inlineStr">
        <is>
          <t>PVC-U муфа - лепене Ø 63</t>
        </is>
      </c>
      <c r="D248" s="102" t="n"/>
      <c r="E248" s="9" t="inlineStr">
        <is>
          <t>бр.</t>
        </is>
      </c>
      <c r="F248" s="9" t="n">
        <v>1</v>
      </c>
      <c r="G248" t="n">
        <v>3</v>
      </c>
      <c r="H248" t="n">
        <v>3</v>
      </c>
      <c r="I248" s="1" t="n"/>
      <c r="L248" s="103" t="n"/>
    </row>
    <row r="249" ht="33" customHeight="1">
      <c r="A249" s="56" t="n"/>
      <c r="B249" s="29" t="inlineStr">
        <is>
          <t>2.3.5</t>
        </is>
      </c>
      <c r="C249" s="90" t="inlineStr">
        <is>
          <t>PVC-U нипел редуциращ - лепене/външ. резба Ø 50 – 63 – 2 "</t>
        </is>
      </c>
      <c r="D249" s="102" t="n"/>
      <c r="E249" s="9" t="inlineStr">
        <is>
          <t>бр.</t>
        </is>
      </c>
      <c r="F249" s="9" t="n">
        <v>1</v>
      </c>
      <c r="G249" t="n">
        <v>2</v>
      </c>
      <c r="H249" t="n">
        <v>2</v>
      </c>
      <c r="I249" s="1" t="n"/>
      <c r="L249" s="103" t="n"/>
    </row>
    <row r="250" ht="15" customHeight="1">
      <c r="A250" s="56" t="n"/>
      <c r="B250" s="29" t="inlineStr">
        <is>
          <t>2.3.6</t>
        </is>
      </c>
      <c r="C250" s="90" t="inlineStr">
        <is>
          <t>PVC-U нипел - лепене/външ. резба Ø 63 – 2"</t>
        </is>
      </c>
      <c r="D250" s="102" t="n"/>
      <c r="E250" s="9" t="inlineStr">
        <is>
          <t>бр.</t>
        </is>
      </c>
      <c r="F250" s="9" t="n">
        <v>2</v>
      </c>
      <c r="G250" t="n">
        <v>2</v>
      </c>
      <c r="H250" t="n">
        <v>4</v>
      </c>
      <c r="I250" s="1" t="n"/>
      <c r="L250" s="103" t="n"/>
    </row>
    <row r="251" ht="15" customHeight="1">
      <c r="A251" s="56" t="n"/>
      <c r="B251" s="29" t="inlineStr">
        <is>
          <t>2.3.7</t>
        </is>
      </c>
      <c r="C251" s="90" t="inlineStr">
        <is>
          <t>PVC-U сферичен кран - PE лепене Ø 63</t>
        </is>
      </c>
      <c r="D251" s="102" t="n"/>
      <c r="E251" s="9" t="inlineStr">
        <is>
          <t>бр.</t>
        </is>
      </c>
      <c r="F251" s="9" t="n">
        <v>2</v>
      </c>
      <c r="G251" t="n">
        <v>20</v>
      </c>
      <c r="H251" t="n">
        <v>40</v>
      </c>
      <c r="I251" s="1" t="n"/>
      <c r="L251" s="103" t="n"/>
    </row>
    <row r="252" ht="15" customHeight="1">
      <c r="A252" s="56" t="n"/>
      <c r="B252" s="29" t="inlineStr">
        <is>
          <t>2.3.8</t>
        </is>
      </c>
      <c r="C252" s="90" t="inlineStr">
        <is>
          <t>ПЕВП Тръба Ф63 SDR17 / PN10 - 100m-ролка</t>
        </is>
      </c>
      <c r="D252" s="102" t="n"/>
      <c r="E252" s="9" t="inlineStr">
        <is>
          <t>m</t>
        </is>
      </c>
      <c r="F252" s="9" t="n">
        <v>16</v>
      </c>
      <c r="G252" t="n">
        <v>14.5</v>
      </c>
      <c r="H252" t="n">
        <v>232</v>
      </c>
      <c r="I252" s="1" t="n"/>
      <c r="L252" s="103" t="n"/>
    </row>
    <row r="253" ht="15" customHeight="1">
      <c r="A253" s="56" t="n"/>
      <c r="B253" s="29" t="inlineStr">
        <is>
          <t>2.3.9</t>
        </is>
      </c>
      <c r="C253" s="90" t="inlineStr">
        <is>
          <t xml:space="preserve"> РЕ Адаптор женски PN10 63 x 2”</t>
        </is>
      </c>
      <c r="D253" s="102" t="n"/>
      <c r="E253" s="9" t="inlineStr">
        <is>
          <t>бр.</t>
        </is>
      </c>
      <c r="F253" s="9" t="n">
        <v>1</v>
      </c>
      <c r="G253" t="n">
        <v>6</v>
      </c>
      <c r="H253" t="n">
        <v>6</v>
      </c>
      <c r="I253" s="1" t="n"/>
      <c r="L253" s="103" t="n"/>
    </row>
    <row r="254" ht="15" customHeight="1">
      <c r="A254" s="56" t="n"/>
      <c r="B254" s="29" t="inlineStr">
        <is>
          <t>2.3.10</t>
        </is>
      </c>
      <c r="C254" s="90" t="inlineStr">
        <is>
          <t xml:space="preserve"> РЕ Коляно женско PN10 63 x 2”</t>
        </is>
      </c>
      <c r="D254" s="102" t="n"/>
      <c r="E254" s="9" t="inlineStr">
        <is>
          <t>бр.</t>
        </is>
      </c>
      <c r="F254" s="9" t="n">
        <v>3</v>
      </c>
      <c r="G254" t="n">
        <v>7</v>
      </c>
      <c r="H254" t="n">
        <v>21</v>
      </c>
      <c r="I254" s="1" t="n"/>
      <c r="L254" s="103" t="n"/>
    </row>
    <row r="255" ht="21.75" customHeight="1">
      <c r="A255" s="56" t="n"/>
      <c r="B255" s="24" t="inlineStr">
        <is>
          <t>2.4</t>
        </is>
      </c>
      <c r="C255" s="92" t="inlineStr">
        <is>
          <t>Тръбна разводка на нагнетателна част</t>
        </is>
      </c>
      <c r="D255" s="102" t="n"/>
      <c r="E255" s="11" t="n"/>
      <c r="F255" s="11" t="n"/>
      <c r="I255" s="1" t="n"/>
      <c r="L255" s="103" t="n"/>
    </row>
    <row r="256" ht="21" customHeight="1">
      <c r="A256" s="56" t="n"/>
      <c r="B256" s="29" t="inlineStr">
        <is>
          <t>2.4.1</t>
        </is>
      </c>
      <c r="C256" s="90" t="inlineStr">
        <is>
          <t>PVC Тръба PN10 Ø50mm.</t>
        </is>
      </c>
      <c r="D256" s="102" t="n"/>
      <c r="E256" s="9" t="inlineStr">
        <is>
          <t>m</t>
        </is>
      </c>
      <c r="F256" s="9" t="n">
        <v>11</v>
      </c>
      <c r="G256" t="n">
        <v>12</v>
      </c>
      <c r="H256" t="n">
        <v>132</v>
      </c>
      <c r="I256" s="1" t="n"/>
      <c r="L256" s="103" t="n"/>
    </row>
    <row r="257" ht="17.25" customHeight="1">
      <c r="A257" s="56" t="n"/>
      <c r="B257" s="29" t="inlineStr">
        <is>
          <t>2.4.2</t>
        </is>
      </c>
      <c r="C257" s="90" t="inlineStr">
        <is>
          <t>PVC-U коляно - 90° - лепене Ø 50</t>
        </is>
      </c>
      <c r="D257" s="102" t="n"/>
      <c r="E257" s="9" t="inlineStr">
        <is>
          <t>бр.</t>
        </is>
      </c>
      <c r="F257" s="9" t="n">
        <v>7</v>
      </c>
      <c r="G257" t="n">
        <v>3</v>
      </c>
      <c r="H257" t="n">
        <v>21</v>
      </c>
      <c r="I257" s="1" t="n"/>
      <c r="L257" s="103" t="n"/>
    </row>
    <row r="258" ht="30" customHeight="1">
      <c r="A258" s="56" t="n"/>
      <c r="B258" s="29" t="inlineStr">
        <is>
          <t>2.4.3</t>
        </is>
      </c>
      <c r="C258" s="90" t="inlineStr">
        <is>
          <t>PVC-U коляно - 90° - лепене/вътр. резба Ø 50 - 1 1/2"</t>
        </is>
      </c>
      <c r="D258" s="102" t="n"/>
      <c r="E258" s="9" t="inlineStr">
        <is>
          <t>бр.</t>
        </is>
      </c>
      <c r="F258" s="9" t="n">
        <v>2</v>
      </c>
      <c r="G258" t="n">
        <v>5</v>
      </c>
      <c r="H258" t="n">
        <v>10</v>
      </c>
      <c r="I258" s="1" t="n"/>
      <c r="L258" s="103" t="n"/>
    </row>
    <row r="259" ht="15.75" customHeight="1">
      <c r="A259" s="56" t="n"/>
      <c r="B259" s="29" t="inlineStr">
        <is>
          <t>2.4.4</t>
        </is>
      </c>
      <c r="C259" s="90" t="inlineStr">
        <is>
          <t>PVC-U тройник - 90°- лепене Ø 50</t>
        </is>
      </c>
      <c r="D259" s="102" t="n"/>
      <c r="E259" s="9" t="inlineStr">
        <is>
          <t>бр.</t>
        </is>
      </c>
      <c r="F259" s="9" t="n">
        <v>1</v>
      </c>
      <c r="G259" t="n">
        <v>5</v>
      </c>
      <c r="H259" t="n">
        <v>5</v>
      </c>
      <c r="I259" s="1" t="n"/>
      <c r="L259" s="103" t="n"/>
    </row>
    <row r="260" ht="15" customHeight="1">
      <c r="A260" s="56" t="n"/>
      <c r="B260" s="29" t="inlineStr">
        <is>
          <t>2.4.5</t>
        </is>
      </c>
      <c r="C260" s="90" t="inlineStr">
        <is>
          <t>PVC-U муфа - лепене Ø 50</t>
        </is>
      </c>
      <c r="D260" s="102" t="n"/>
      <c r="E260" s="9" t="inlineStr">
        <is>
          <t>бр.</t>
        </is>
      </c>
      <c r="F260" s="9" t="n">
        <v>1</v>
      </c>
      <c r="G260" t="n">
        <v>3</v>
      </c>
      <c r="H260" t="n">
        <v>3</v>
      </c>
      <c r="I260" s="1" t="n"/>
      <c r="L260" s="103" t="n"/>
    </row>
    <row r="261">
      <c r="A261" s="56" t="n"/>
      <c r="B261" s="29" t="inlineStr">
        <is>
          <t>2.4.6</t>
        </is>
      </c>
      <c r="C261" s="90" t="inlineStr">
        <is>
          <t>PVC-U редуцираща муфа - лепене Ø 63/50</t>
        </is>
      </c>
      <c r="D261" s="102" t="n"/>
      <c r="E261" s="9" t="inlineStr">
        <is>
          <t>бр.</t>
        </is>
      </c>
      <c r="F261" s="9" t="n">
        <v>1</v>
      </c>
      <c r="G261" t="n">
        <v>2</v>
      </c>
      <c r="H261" t="n">
        <v>2</v>
      </c>
      <c r="I261" s="1" t="n"/>
      <c r="L261" s="103" t="n"/>
    </row>
    <row r="262" ht="15" customHeight="1">
      <c r="A262" s="56" t="n"/>
      <c r="B262" s="29" t="inlineStr">
        <is>
          <t>2.4.7</t>
        </is>
      </c>
      <c r="C262" s="90" t="inlineStr">
        <is>
          <t>PVC-U холендер - лепене/вътр. резба Ø 63 – 2"</t>
        </is>
      </c>
      <c r="D262" s="102" t="n"/>
      <c r="E262" s="9" t="inlineStr">
        <is>
          <t>бр.</t>
        </is>
      </c>
      <c r="F262" s="9" t="n">
        <v>1</v>
      </c>
      <c r="G262" t="n">
        <v>7</v>
      </c>
      <c r="H262" t="n">
        <v>7</v>
      </c>
      <c r="I262" s="1" t="n"/>
      <c r="L262" s="103" t="n"/>
    </row>
    <row r="263" ht="15" customHeight="1">
      <c r="A263" s="56" t="n"/>
      <c r="B263" s="29" t="inlineStr">
        <is>
          <t>2.4.8</t>
        </is>
      </c>
      <c r="C263" s="90" t="inlineStr">
        <is>
          <t>PVC-U холендер - лепене/вътр. резба Ø 50 – 1 1/2"</t>
        </is>
      </c>
      <c r="D263" s="102" t="n"/>
      <c r="E263" s="9" t="inlineStr">
        <is>
          <t>бр.</t>
        </is>
      </c>
      <c r="F263" s="9" t="n">
        <v>2</v>
      </c>
      <c r="G263" t="n">
        <v>6</v>
      </c>
      <c r="H263" t="n">
        <v>12</v>
      </c>
      <c r="I263" s="1" t="n"/>
      <c r="L263" s="103" t="n"/>
    </row>
    <row r="264">
      <c r="A264" s="56" t="n"/>
      <c r="B264" s="29" t="inlineStr">
        <is>
          <t>2.4.9</t>
        </is>
      </c>
      <c r="C264" s="90" t="inlineStr">
        <is>
          <t>PVC-U холендер - лепене/външ. резба Ø 50 - 1 1/2"</t>
        </is>
      </c>
      <c r="D264" s="102" t="n"/>
      <c r="E264" s="9" t="inlineStr">
        <is>
          <t>бр.</t>
        </is>
      </c>
      <c r="F264" s="9" t="n">
        <v>1</v>
      </c>
      <c r="G264" t="n">
        <v>6</v>
      </c>
      <c r="H264" t="n">
        <v>6</v>
      </c>
      <c r="I264" s="1" t="n"/>
      <c r="L264" s="103" t="n"/>
    </row>
    <row r="265" ht="15" customHeight="1">
      <c r="A265" s="56" t="n"/>
      <c r="B265" s="29" t="inlineStr">
        <is>
          <t>2.4.10</t>
        </is>
      </c>
      <c r="C265" s="90" t="inlineStr">
        <is>
          <t>PVC-U сферичен кран - PE лепене Ø 63</t>
        </is>
      </c>
      <c r="D265" s="102" t="n"/>
      <c r="E265" s="9" t="inlineStr">
        <is>
          <t>бр.</t>
        </is>
      </c>
      <c r="F265" s="9" t="n">
        <v>1</v>
      </c>
      <c r="G265" t="n">
        <v>20</v>
      </c>
      <c r="H265" t="n">
        <v>20</v>
      </c>
      <c r="I265" s="1" t="n"/>
      <c r="L265" s="103" t="n"/>
    </row>
    <row r="266" ht="15" customHeight="1">
      <c r="A266" s="56" t="n"/>
      <c r="B266" s="29" t="inlineStr">
        <is>
          <t>2.4.11</t>
        </is>
      </c>
      <c r="C266" s="90" t="inlineStr">
        <is>
          <t>PVC-U сферичен кран - PE лепене Ø 50</t>
        </is>
      </c>
      <c r="D266" s="102" t="n"/>
      <c r="E266" s="9" t="inlineStr">
        <is>
          <t>бр.</t>
        </is>
      </c>
      <c r="F266" s="9" t="n">
        <v>3</v>
      </c>
      <c r="G266" t="n">
        <v>17</v>
      </c>
      <c r="H266" t="n">
        <v>51</v>
      </c>
      <c r="I266" s="1" t="n"/>
      <c r="L266" s="103" t="n"/>
    </row>
    <row r="267" ht="15" customHeight="1">
      <c r="A267" s="56" t="n"/>
      <c r="B267" s="29" t="inlineStr">
        <is>
          <t>2.4.12</t>
        </is>
      </c>
      <c r="C267" s="90" t="inlineStr">
        <is>
          <t>ПЕВП Тръба Ф50 SDR17 / PN10 - 100m-ролка</t>
        </is>
      </c>
      <c r="D267" s="102" t="n"/>
      <c r="E267" s="9" t="inlineStr">
        <is>
          <t>m</t>
        </is>
      </c>
      <c r="F267" s="9" t="n">
        <v>8</v>
      </c>
      <c r="G267" t="n">
        <v>14.5</v>
      </c>
      <c r="H267" t="n">
        <v>116</v>
      </c>
      <c r="I267" s="1" t="n"/>
      <c r="L267" s="103" t="n"/>
    </row>
    <row r="268" ht="15" customHeight="1">
      <c r="A268" s="56" t="n"/>
      <c r="B268" s="29" t="inlineStr">
        <is>
          <t>2.4.13</t>
        </is>
      </c>
      <c r="C268" s="90" t="inlineStr">
        <is>
          <t xml:space="preserve"> РЕ Адаптор женски PN10 50 x 1½”</t>
        </is>
      </c>
      <c r="D268" s="102" t="n"/>
      <c r="E268" s="9" t="inlineStr">
        <is>
          <t>бр.</t>
        </is>
      </c>
      <c r="F268" s="9" t="n">
        <v>1</v>
      </c>
      <c r="G268" t="n">
        <v>4</v>
      </c>
      <c r="H268" t="n">
        <v>4</v>
      </c>
      <c r="I268" s="1" t="n"/>
      <c r="L268" s="103" t="n"/>
    </row>
    <row r="269" ht="15" customHeight="1">
      <c r="A269" s="56" t="n"/>
      <c r="B269" s="29" t="inlineStr">
        <is>
          <t>2.4.14</t>
        </is>
      </c>
      <c r="C269" s="90" t="inlineStr">
        <is>
          <t xml:space="preserve"> РЕ Коляно женско PN10 50 x 1½”</t>
        </is>
      </c>
      <c r="D269" s="102" t="n"/>
      <c r="E269" s="9" t="inlineStr">
        <is>
          <t>бр.</t>
        </is>
      </c>
      <c r="F269" s="9" t="n">
        <v>1</v>
      </c>
      <c r="G269" t="n">
        <v>4</v>
      </c>
      <c r="H269" t="n">
        <v>4</v>
      </c>
      <c r="I269" s="1" t="n"/>
      <c r="L269" s="103" t="n"/>
    </row>
    <row r="270" ht="15" customHeight="1">
      <c r="A270" s="56" t="n"/>
      <c r="B270" s="24" t="inlineStr">
        <is>
          <t>2.5</t>
        </is>
      </c>
      <c r="C270" s="92" t="inlineStr">
        <is>
          <t>Тръбна разводка  - част промивен и преливен тръбопроводи</t>
        </is>
      </c>
      <c r="D270" s="102" t="n"/>
      <c r="E270" s="11" t="n"/>
      <c r="F270" s="11" t="n"/>
      <c r="I270" s="1" t="n"/>
      <c r="L270" s="103" t="n"/>
    </row>
    <row r="271" ht="15" customHeight="1">
      <c r="A271" s="56" t="n"/>
      <c r="B271" s="29" t="inlineStr">
        <is>
          <t>2.5.1</t>
        </is>
      </c>
      <c r="C271" s="90" t="inlineStr">
        <is>
          <t>PVC Тръба SN4 Ø110mm</t>
        </is>
      </c>
      <c r="D271" s="102" t="n"/>
      <c r="E271" s="9" t="inlineStr">
        <is>
          <t>m</t>
        </is>
      </c>
      <c r="F271" s="9" t="n">
        <v>5</v>
      </c>
      <c r="G271" t="n">
        <v>45</v>
      </c>
      <c r="H271" t="n">
        <v>225</v>
      </c>
      <c r="I271" s="1" t="n"/>
      <c r="L271" s="103" t="n"/>
    </row>
    <row r="272">
      <c r="A272" s="56" t="n"/>
      <c r="B272" s="29" t="inlineStr">
        <is>
          <t>2.5.2</t>
        </is>
      </c>
      <c r="C272" s="90" t="inlineStr">
        <is>
          <t>PVC Тръба PN10 Ø50mm.</t>
        </is>
      </c>
      <c r="D272" s="102" t="n"/>
      <c r="E272" s="9" t="inlineStr">
        <is>
          <t>m</t>
        </is>
      </c>
      <c r="F272" s="9" t="n">
        <v>5</v>
      </c>
      <c r="G272" t="n">
        <v>12</v>
      </c>
      <c r="H272" t="n">
        <v>60</v>
      </c>
      <c r="I272" s="1" t="n"/>
      <c r="L272" s="103" t="n"/>
    </row>
    <row r="273" ht="15" customHeight="1">
      <c r="A273" s="56" t="n"/>
      <c r="B273" s="29" t="inlineStr">
        <is>
          <t>2.5.3</t>
        </is>
      </c>
      <c r="C273" s="90" t="inlineStr">
        <is>
          <t>PVC Муфа за канализация с уплътнител Ø110</t>
        </is>
      </c>
      <c r="D273" s="102" t="n"/>
      <c r="E273" s="9" t="inlineStr">
        <is>
          <t>бр.</t>
        </is>
      </c>
      <c r="F273" s="9" t="n">
        <v>1</v>
      </c>
      <c r="G273" t="n">
        <v>5</v>
      </c>
      <c r="H273" t="n">
        <v>5</v>
      </c>
      <c r="I273" s="1" t="n"/>
      <c r="L273" s="103" t="n"/>
    </row>
    <row r="274" ht="30.75" customHeight="1">
      <c r="A274" s="56" t="n"/>
      <c r="B274" s="29" t="inlineStr">
        <is>
          <t>2.5.4</t>
        </is>
      </c>
      <c r="C274" s="90" t="inlineStr">
        <is>
          <t>PVC Коляно за канализация с уплътнител Ø110/87.5°</t>
        </is>
      </c>
      <c r="D274" s="102" t="n"/>
      <c r="E274" s="9" t="inlineStr">
        <is>
          <t>бр.</t>
        </is>
      </c>
      <c r="F274" s="9" t="n">
        <v>1</v>
      </c>
      <c r="G274" t="n">
        <v>4</v>
      </c>
      <c r="H274" t="n">
        <v>4</v>
      </c>
      <c r="I274" s="1" t="n"/>
      <c r="L274" s="103" t="n"/>
    </row>
    <row r="275" ht="15" customHeight="1">
      <c r="A275" s="56" t="n"/>
      <c r="B275" s="29" t="inlineStr">
        <is>
          <t>2.5.5</t>
        </is>
      </c>
      <c r="C275" s="90" t="inlineStr">
        <is>
          <t>PVC-U холендер - лепене/външ. резба Ø 50 - 1 1/2"</t>
        </is>
      </c>
      <c r="D275" s="102" t="n"/>
      <c r="E275" s="9" t="inlineStr">
        <is>
          <t>бр.</t>
        </is>
      </c>
      <c r="F275" s="9" t="n">
        <v>1</v>
      </c>
      <c r="G275" t="n">
        <v>6</v>
      </c>
      <c r="H275" t="n">
        <v>6</v>
      </c>
      <c r="I275" s="1" t="n"/>
      <c r="L275" s="103" t="n"/>
    </row>
    <row r="276">
      <c r="A276" s="56" t="n"/>
      <c r="B276" s="29" t="inlineStr">
        <is>
          <t>2.5.6</t>
        </is>
      </c>
      <c r="C276" s="90" t="inlineStr">
        <is>
          <t>PVC-U тройник - 90°- лепене Ø 50</t>
        </is>
      </c>
      <c r="D276" s="102" t="n"/>
      <c r="E276" s="9" t="inlineStr">
        <is>
          <t>бр.</t>
        </is>
      </c>
      <c r="F276" s="9" t="n">
        <v>1</v>
      </c>
      <c r="G276" t="n">
        <v>5</v>
      </c>
      <c r="H276" t="n">
        <v>5</v>
      </c>
      <c r="I276" s="1" t="n"/>
      <c r="L276" s="103" t="n"/>
    </row>
    <row r="277" ht="15" customHeight="1">
      <c r="A277" s="56" t="n"/>
      <c r="B277" s="29" t="inlineStr">
        <is>
          <t>2.5.7</t>
        </is>
      </c>
      <c r="C277" s="90" t="inlineStr">
        <is>
          <t>PVC-U коляно - 90° - лепене Ø 50</t>
        </is>
      </c>
      <c r="D277" s="102" t="n"/>
      <c r="E277" s="9" t="inlineStr">
        <is>
          <t>бр.</t>
        </is>
      </c>
      <c r="F277" s="9" t="n">
        <v>6</v>
      </c>
      <c r="G277" t="n">
        <v>3</v>
      </c>
      <c r="H277" t="n">
        <v>18</v>
      </c>
      <c r="I277" s="1" t="n"/>
      <c r="L277" s="103" t="n"/>
    </row>
    <row r="278" ht="15" customHeight="1">
      <c r="A278" s="56" t="n"/>
      <c r="B278" s="29" t="inlineStr">
        <is>
          <t>2.5.8</t>
        </is>
      </c>
      <c r="C278" s="90" t="inlineStr">
        <is>
          <t>PVC-U възвр. клапан с пружина - лепене Ø 50</t>
        </is>
      </c>
      <c r="D278" s="102" t="n"/>
      <c r="E278" s="9" t="inlineStr">
        <is>
          <t>бр.</t>
        </is>
      </c>
      <c r="F278" s="9" t="n">
        <v>2</v>
      </c>
      <c r="G278" t="n">
        <v>10</v>
      </c>
      <c r="H278" t="n">
        <v>20</v>
      </c>
      <c r="I278" s="1" t="n"/>
      <c r="L278" s="103" t="n"/>
    </row>
    <row r="279" ht="30.75" customHeight="1">
      <c r="A279" s="56" t="n"/>
      <c r="B279" s="29" t="inlineStr">
        <is>
          <t>2.5.9</t>
        </is>
      </c>
      <c r="C279" s="90" t="inlineStr">
        <is>
          <t>PVC тръби и фитинги за канализация/лепене за свързване с канализационните мрежи</t>
        </is>
      </c>
      <c r="D279" s="102" t="n"/>
      <c r="E279" s="9" t="inlineStr">
        <is>
          <t>бр.</t>
        </is>
      </c>
      <c r="F279" s="9" t="n">
        <v>1</v>
      </c>
      <c r="G279" t="n">
        <v>100</v>
      </c>
      <c r="H279" t="n">
        <v>100</v>
      </c>
      <c r="I279" s="1" t="n"/>
      <c r="L279" s="103" t="n"/>
    </row>
    <row r="280" ht="15" customHeight="1">
      <c r="A280" s="56" t="n"/>
      <c r="B280" s="24" t="inlineStr">
        <is>
          <t>2.6</t>
        </is>
      </c>
      <c r="C280" s="92" t="inlineStr">
        <is>
          <t>Тръбна разводка  - част автоматично допълване</t>
        </is>
      </c>
      <c r="D280" s="102" t="n"/>
      <c r="E280" s="11" t="n"/>
      <c r="F280" s="11" t="n"/>
      <c r="I280" s="1" t="n"/>
      <c r="L280" s="103" t="n"/>
    </row>
    <row r="281" ht="15" customHeight="1">
      <c r="A281" s="56" t="n"/>
      <c r="B281" s="29" t="inlineStr">
        <is>
          <t>2.6.1</t>
        </is>
      </c>
      <c r="C281" s="90" t="inlineStr">
        <is>
          <t>PVC Тръба PN16 Ø32mm.</t>
        </is>
      </c>
      <c r="D281" s="102" t="n"/>
      <c r="E281" s="9" t="inlineStr">
        <is>
          <t>m</t>
        </is>
      </c>
      <c r="F281" s="9" t="n">
        <v>3</v>
      </c>
      <c r="G281" t="n">
        <v>20</v>
      </c>
      <c r="H281" t="n">
        <v>60</v>
      </c>
      <c r="I281" s="1" t="n"/>
      <c r="L281" s="103" t="n"/>
    </row>
    <row r="282" ht="15" customHeight="1">
      <c r="A282" s="56" t="n"/>
      <c r="B282" s="29" t="inlineStr">
        <is>
          <t>2.6.2</t>
        </is>
      </c>
      <c r="C282" s="90" t="inlineStr">
        <is>
          <t>PVC-U коляно - 90° - лепене Ø 32</t>
        </is>
      </c>
      <c r="D282" s="102" t="n"/>
      <c r="E282" s="9" t="inlineStr">
        <is>
          <t>бр.</t>
        </is>
      </c>
      <c r="F282" s="9" t="n">
        <v>3</v>
      </c>
      <c r="G282" t="n">
        <v>2</v>
      </c>
      <c r="H282" t="n">
        <v>6</v>
      </c>
      <c r="I282" s="1" t="n"/>
      <c r="L282" s="103" t="n"/>
    </row>
    <row r="283" ht="15" customHeight="1">
      <c r="A283" s="56" t="n"/>
      <c r="B283" s="29" t="inlineStr">
        <is>
          <t>2.6.3</t>
        </is>
      </c>
      <c r="C283" s="90" t="inlineStr">
        <is>
          <t>PVC-U коляно - 45° - лепене Ø 32</t>
        </is>
      </c>
      <c r="D283" s="102" t="n"/>
      <c r="E283" s="9" t="inlineStr">
        <is>
          <t>бр.</t>
        </is>
      </c>
      <c r="F283" s="9" t="n">
        <v>1</v>
      </c>
      <c r="G283" t="n">
        <v>1</v>
      </c>
      <c r="H283" t="n">
        <v>1</v>
      </c>
      <c r="I283" s="1" t="n"/>
      <c r="L283" s="103" t="n"/>
    </row>
    <row r="284" ht="15" customHeight="1">
      <c r="A284" s="56" t="n"/>
      <c r="B284" s="29" t="inlineStr">
        <is>
          <t>2.6.4</t>
        </is>
      </c>
      <c r="C284" s="90" t="inlineStr">
        <is>
          <t>PVC-U тройник - 90°- лепене Ø 32</t>
        </is>
      </c>
      <c r="D284" s="102" t="n"/>
      <c r="E284" s="9" t="inlineStr">
        <is>
          <t>бр.</t>
        </is>
      </c>
      <c r="F284" s="9" t="n">
        <v>2</v>
      </c>
      <c r="G284" t="n">
        <v>3</v>
      </c>
      <c r="H284" t="n">
        <v>6</v>
      </c>
      <c r="I284" s="1" t="n"/>
      <c r="L284" s="103" t="n"/>
    </row>
    <row r="285" ht="15" customHeight="1">
      <c r="A285" s="56" t="n"/>
      <c r="B285" s="29" t="inlineStr">
        <is>
          <t>2.6.5</t>
        </is>
      </c>
      <c r="C285" s="90" t="inlineStr">
        <is>
          <t xml:space="preserve">PVC-U нипел редуциращ - лепене/външ. резба Ø 25 – 32 – 1"   </t>
        </is>
      </c>
      <c r="D285" s="102" t="n"/>
      <c r="E285" s="9" t="inlineStr">
        <is>
          <t>бр.</t>
        </is>
      </c>
      <c r="F285" s="9" t="n">
        <v>3</v>
      </c>
      <c r="G285" t="n">
        <v>2</v>
      </c>
      <c r="H285" t="n">
        <v>6</v>
      </c>
      <c r="I285" s="1" t="n"/>
      <c r="L285" s="103" t="n"/>
    </row>
    <row r="286" ht="15" customHeight="1">
      <c r="A286" s="56" t="n"/>
      <c r="B286" s="29" t="inlineStr">
        <is>
          <t>2.6.6</t>
        </is>
      </c>
      <c r="C286" s="90" t="inlineStr">
        <is>
          <t>PVC-U коляно - 90° - лепене/вътр. резба Ø 32 - 1"</t>
        </is>
      </c>
      <c r="D286" s="102" t="n"/>
      <c r="E286" s="9" t="inlineStr">
        <is>
          <t>бр.</t>
        </is>
      </c>
      <c r="F286" s="9" t="n">
        <v>1</v>
      </c>
      <c r="G286" t="n">
        <v>2</v>
      </c>
      <c r="H286" t="n">
        <v>2</v>
      </c>
      <c r="I286" s="1" t="n"/>
      <c r="L286" s="103" t="n"/>
    </row>
    <row r="287">
      <c r="A287" s="56" t="n"/>
      <c r="B287" s="29" t="inlineStr">
        <is>
          <t>2.6.7</t>
        </is>
      </c>
      <c r="C287" s="90" t="inlineStr">
        <is>
          <t>PVC-U коляно - 45° - лепене/ вътр. резба Ø 32 - 1"</t>
        </is>
      </c>
      <c r="D287" s="102" t="n"/>
      <c r="E287" s="9" t="inlineStr">
        <is>
          <t>бр.</t>
        </is>
      </c>
      <c r="F287" s="9" t="n">
        <v>2</v>
      </c>
      <c r="G287" t="n">
        <v>2</v>
      </c>
      <c r="H287" t="n">
        <v>4</v>
      </c>
      <c r="I287" s="1" t="n"/>
      <c r="L287" s="103" t="n"/>
    </row>
    <row r="288">
      <c r="A288" s="56" t="n"/>
      <c r="B288" s="29" t="inlineStr">
        <is>
          <t>2.6.8</t>
        </is>
      </c>
      <c r="C288" s="90" t="inlineStr">
        <is>
          <t>PVC-U муфа - лепене Ø 32</t>
        </is>
      </c>
      <c r="D288" s="102" t="n"/>
      <c r="E288" s="9" t="inlineStr">
        <is>
          <t>бр.</t>
        </is>
      </c>
      <c r="F288" s="9" t="n">
        <v>2</v>
      </c>
      <c r="G288" t="n">
        <v>2</v>
      </c>
      <c r="H288" t="n">
        <v>4</v>
      </c>
      <c r="I288" s="1" t="n"/>
      <c r="L288" s="103" t="n"/>
    </row>
    <row r="289" ht="15" customHeight="1">
      <c r="A289" s="56" t="n"/>
      <c r="B289" s="29" t="inlineStr">
        <is>
          <t>2.6.9</t>
        </is>
      </c>
      <c r="C289" s="90" t="inlineStr">
        <is>
          <t>PVC-U холендер - лепене/външ. резба Ø 32 - 1 "</t>
        </is>
      </c>
      <c r="D289" s="102" t="n"/>
      <c r="E289" s="9" t="inlineStr">
        <is>
          <t>бр.</t>
        </is>
      </c>
      <c r="F289" s="9" t="n">
        <v>2</v>
      </c>
      <c r="G289" t="n">
        <v>3</v>
      </c>
      <c r="H289" t="n">
        <v>6</v>
      </c>
      <c r="I289" s="1" t="n"/>
      <c r="L289" s="103" t="n"/>
    </row>
    <row r="290" ht="15" customHeight="1">
      <c r="A290" s="56" t="n"/>
      <c r="B290" s="29" t="inlineStr">
        <is>
          <t>2.6.10</t>
        </is>
      </c>
      <c r="C290" s="90" t="inlineStr">
        <is>
          <t>PVC-U муфа - лепене/вътр. резба Ø 32  –  1"</t>
        </is>
      </c>
      <c r="D290" s="102" t="n"/>
      <c r="E290" s="9" t="inlineStr">
        <is>
          <t>бр.</t>
        </is>
      </c>
      <c r="F290" s="9" t="n">
        <v>1</v>
      </c>
      <c r="G290" t="n">
        <v>2</v>
      </c>
      <c r="H290" t="n">
        <v>2</v>
      </c>
      <c r="I290" s="1" t="n"/>
      <c r="L290" s="103" t="n"/>
    </row>
    <row r="291" ht="15" customHeight="1">
      <c r="A291" s="56" t="n"/>
      <c r="B291" s="29" t="inlineStr">
        <is>
          <t>2.6.11</t>
        </is>
      </c>
      <c r="C291" s="90" t="inlineStr">
        <is>
          <t>PVC-U сферичен кран - PE лепене Ø 32</t>
        </is>
      </c>
      <c r="D291" s="102" t="n"/>
      <c r="E291" s="9" t="inlineStr">
        <is>
          <t>бр.</t>
        </is>
      </c>
      <c r="F291" s="9" t="n">
        <v>3</v>
      </c>
      <c r="G291" t="n">
        <v>10</v>
      </c>
      <c r="H291" t="n">
        <v>30</v>
      </c>
      <c r="I291" s="1" t="n"/>
      <c r="L291" s="103" t="n"/>
    </row>
    <row r="292" ht="15" customHeight="1">
      <c r="A292" s="56" t="n"/>
      <c r="B292" s="29" t="inlineStr">
        <is>
          <t>2.6.12</t>
        </is>
      </c>
      <c r="C292" s="90" t="inlineStr">
        <is>
          <t>PVC  тръби и фитинги за лепене за свързване на системата за допълване с ВиК</t>
        </is>
      </c>
      <c r="D292" s="102" t="n"/>
      <c r="E292" s="9" t="inlineStr">
        <is>
          <t>бр.</t>
        </is>
      </c>
      <c r="F292" s="9" t="n">
        <v>1</v>
      </c>
      <c r="G292" t="n">
        <v>100</v>
      </c>
      <c r="H292" t="n">
        <v>100</v>
      </c>
      <c r="I292" s="1" t="n"/>
      <c r="L292" s="103" t="n"/>
    </row>
    <row r="293" ht="15" customHeight="1">
      <c r="A293" s="56" t="n"/>
      <c r="B293" s="29" t="inlineStr">
        <is>
          <t>2.6.13</t>
        </is>
      </c>
      <c r="C293" s="90" t="inlineStr">
        <is>
          <t>ПЕВП Тръба Ф32 SDR17 / PN10 - 100m-ролка</t>
        </is>
      </c>
      <c r="D293" s="102" t="n"/>
      <c r="E293" s="9" t="inlineStr">
        <is>
          <t>m</t>
        </is>
      </c>
      <c r="F293" s="9" t="n">
        <v>8</v>
      </c>
      <c r="G293" t="n">
        <v>8.199999999999999</v>
      </c>
      <c r="H293" t="n">
        <v>65.59999999999999</v>
      </c>
      <c r="I293" s="1" t="n"/>
      <c r="L293" s="103" t="n"/>
    </row>
    <row r="294" ht="15" customHeight="1">
      <c r="A294" s="56" t="n"/>
      <c r="B294" s="29" t="inlineStr">
        <is>
          <t>2.6.14</t>
        </is>
      </c>
      <c r="C294" s="90" t="inlineStr">
        <is>
          <t xml:space="preserve"> РЕ Адаптор женски PN10 32 x 1”</t>
        </is>
      </c>
      <c r="D294" s="102" t="n"/>
      <c r="E294" s="9" t="inlineStr">
        <is>
          <t>бр.</t>
        </is>
      </c>
      <c r="F294" s="9" t="n">
        <v>1</v>
      </c>
      <c r="G294" t="n">
        <v>5</v>
      </c>
      <c r="H294" t="n">
        <v>5</v>
      </c>
      <c r="I294" s="1" t="n"/>
      <c r="L294" s="103" t="n"/>
    </row>
    <row r="295" ht="15" customHeight="1">
      <c r="A295" s="56" t="n"/>
      <c r="B295" s="29" t="inlineStr">
        <is>
          <t>2.6.15</t>
        </is>
      </c>
      <c r="C295" s="90" t="inlineStr">
        <is>
          <t xml:space="preserve"> РЕ Коляно женско PN10 32 x 1”</t>
        </is>
      </c>
      <c r="D295" s="102" t="n"/>
      <c r="E295" s="9" t="inlineStr">
        <is>
          <t>бр.</t>
        </is>
      </c>
      <c r="F295" s="9" t="n">
        <v>1</v>
      </c>
      <c r="G295" t="n">
        <v>5</v>
      </c>
      <c r="H295" t="n">
        <v>5</v>
      </c>
      <c r="I295" s="1" t="n"/>
      <c r="L295" s="103" t="n"/>
    </row>
    <row r="296" ht="15" customHeight="1">
      <c r="A296" s="56" t="n"/>
      <c r="B296" s="24" t="inlineStr">
        <is>
          <t>2.7</t>
        </is>
      </c>
      <c r="C296" s="92" t="inlineStr">
        <is>
          <t>Тръбна разводка  - част кабелен преход</t>
        </is>
      </c>
      <c r="D296" s="102" t="n"/>
      <c r="E296" s="11" t="n"/>
      <c r="F296" s="11" t="n"/>
      <c r="I296" s="1" t="n"/>
      <c r="L296" s="103" t="n"/>
    </row>
    <row r="297">
      <c r="A297" s="56" t="n"/>
      <c r="B297" s="29" t="inlineStr">
        <is>
          <t>2.7.1</t>
        </is>
      </c>
      <c r="C297" s="90" t="inlineStr">
        <is>
          <t>PVC Тръба SN4 Ø110mm</t>
        </is>
      </c>
      <c r="D297" s="102" t="n"/>
      <c r="E297" s="9" t="inlineStr">
        <is>
          <t>m</t>
        </is>
      </c>
      <c r="F297" s="9" t="n">
        <v>12</v>
      </c>
      <c r="G297" t="n">
        <v>45</v>
      </c>
      <c r="H297" t="n">
        <v>540</v>
      </c>
      <c r="I297" s="1" t="n"/>
      <c r="L297" s="103" t="n"/>
    </row>
    <row r="298" ht="15" customHeight="1">
      <c r="A298" s="56" t="n"/>
      <c r="B298" s="29" t="inlineStr">
        <is>
          <t>2.7.2</t>
        </is>
      </c>
      <c r="C298" s="90" t="inlineStr">
        <is>
          <t>PVC Коляно за канализация с уплътнител Ø110/87.5°</t>
        </is>
      </c>
      <c r="D298" s="102" t="n"/>
      <c r="E298" s="9" t="inlineStr">
        <is>
          <t>бр.</t>
        </is>
      </c>
      <c r="F298" s="9" t="n">
        <v>1</v>
      </c>
      <c r="G298" t="n">
        <v>4</v>
      </c>
      <c r="H298" t="n">
        <v>4</v>
      </c>
      <c r="I298" s="1" t="n"/>
      <c r="L298" s="103" t="n"/>
    </row>
    <row r="299" ht="15" customHeight="1">
      <c r="A299" s="56" t="n"/>
      <c r="B299" s="29" t="inlineStr">
        <is>
          <t>2.7.3</t>
        </is>
      </c>
      <c r="C299" s="90" t="inlineStr">
        <is>
          <t>PVC Муфа за канализация с уплътнител Ø110</t>
        </is>
      </c>
      <c r="D299" s="102" t="n"/>
      <c r="E299" s="9" t="inlineStr">
        <is>
          <t>бр.</t>
        </is>
      </c>
      <c r="F299" s="9" t="n">
        <v>2</v>
      </c>
      <c r="G299" t="n">
        <v>5</v>
      </c>
      <c r="H299" t="n">
        <v>10</v>
      </c>
      <c r="I299" s="1" t="n"/>
      <c r="L299" s="103" t="n"/>
    </row>
    <row r="300" ht="15" customHeight="1">
      <c r="A300" s="56" t="n"/>
      <c r="B300" s="29" t="inlineStr">
        <is>
          <t>2.7.4</t>
        </is>
      </c>
      <c r="C300" s="90" t="inlineStr">
        <is>
          <t>PVC Тръба PN16 Ø32mm.</t>
        </is>
      </c>
      <c r="D300" s="102" t="n"/>
      <c r="E300" s="9" t="inlineStr">
        <is>
          <t>m</t>
        </is>
      </c>
      <c r="F300" s="9" t="n">
        <v>1</v>
      </c>
      <c r="G300" t="n">
        <v>20</v>
      </c>
      <c r="H300" t="n">
        <v>20</v>
      </c>
      <c r="I300" s="1" t="n"/>
      <c r="L300" s="103" t="n"/>
    </row>
    <row r="301" ht="30.75" customHeight="1">
      <c r="A301" s="56" t="n"/>
      <c r="B301" s="29" t="inlineStr">
        <is>
          <t>2.7.5</t>
        </is>
      </c>
      <c r="C301" s="90" t="inlineStr">
        <is>
          <t xml:space="preserve">PVC-U нипел редуциращ - лепене/външ. резба Ø 25 – 32 – 1"   </t>
        </is>
      </c>
      <c r="D301" s="102" t="n"/>
      <c r="E301" s="9" t="inlineStr">
        <is>
          <t>бр.</t>
        </is>
      </c>
      <c r="F301" s="9" t="n">
        <v>2</v>
      </c>
      <c r="G301" t="n">
        <v>2</v>
      </c>
      <c r="H301" t="n">
        <v>4</v>
      </c>
      <c r="I301" s="1" t="n"/>
      <c r="L301" s="103" t="n"/>
    </row>
    <row r="302" ht="15" customHeight="1">
      <c r="A302" s="56" t="n"/>
      <c r="B302" s="29" t="inlineStr">
        <is>
          <t>2.7.6</t>
        </is>
      </c>
      <c r="C302" s="90" t="inlineStr">
        <is>
          <t>PVC-U муфа - лепене Ø 32</t>
        </is>
      </c>
      <c r="D302" s="102" t="n"/>
      <c r="E302" s="9" t="inlineStr">
        <is>
          <t>бр.</t>
        </is>
      </c>
      <c r="F302" s="9" t="n">
        <v>1</v>
      </c>
      <c r="G302" t="n">
        <v>2</v>
      </c>
      <c r="H302" t="n">
        <v>2</v>
      </c>
      <c r="I302" s="1" t="n"/>
      <c r="L302" s="103" t="n"/>
    </row>
    <row r="303" ht="15" customHeight="1">
      <c r="A303" s="56" t="n"/>
      <c r="B303" s="29" t="inlineStr">
        <is>
          <t>2.7.7</t>
        </is>
      </c>
      <c r="C303" s="90" t="inlineStr">
        <is>
          <t>PVC-U коляно - 45° - лепене/ вътр. резба Ø 32 - 1"</t>
        </is>
      </c>
      <c r="D303" s="102" t="n"/>
      <c r="E303" s="9" t="inlineStr">
        <is>
          <t>бр.</t>
        </is>
      </c>
      <c r="F303" s="9" t="n">
        <v>2</v>
      </c>
      <c r="G303" t="n">
        <v>2</v>
      </c>
      <c r="H303" t="n">
        <v>4</v>
      </c>
      <c r="I303" s="1" t="n"/>
      <c r="L303" s="103" t="n"/>
    </row>
    <row r="304">
      <c r="A304" s="56" t="n"/>
      <c r="B304" s="29" t="inlineStr">
        <is>
          <t>2.7.8</t>
        </is>
      </c>
      <c r="C304" s="90" t="inlineStr">
        <is>
          <t>ПЕВП Тръба Ф32 SDR17 / PN10 - 100m-ролка</t>
        </is>
      </c>
      <c r="D304" s="102" t="n"/>
      <c r="E304" s="9" t="inlineStr">
        <is>
          <t>m</t>
        </is>
      </c>
      <c r="F304" s="9" t="n">
        <v>8</v>
      </c>
      <c r="G304" t="n">
        <v>8.199999999999999</v>
      </c>
      <c r="H304" t="n">
        <v>65.59999999999999</v>
      </c>
      <c r="I304" s="1" t="n"/>
      <c r="L304" s="103" t="n"/>
    </row>
    <row r="305" ht="15" customHeight="1">
      <c r="A305" s="56" t="n"/>
      <c r="B305" s="29" t="inlineStr">
        <is>
          <t>2.7.9</t>
        </is>
      </c>
      <c r="C305" s="90" t="inlineStr">
        <is>
          <t xml:space="preserve"> РЕ Адаптор женски PN10 32 x 1”</t>
        </is>
      </c>
      <c r="D305" s="102" t="n"/>
      <c r="E305" s="9" t="inlineStr">
        <is>
          <t>бр.</t>
        </is>
      </c>
      <c r="F305" s="9" t="n">
        <v>1</v>
      </c>
      <c r="G305" t="n">
        <v>5</v>
      </c>
      <c r="H305" t="n">
        <v>5</v>
      </c>
      <c r="I305" s="1" t="n"/>
      <c r="L305" s="103" t="n"/>
    </row>
    <row r="306" ht="15" customHeight="1">
      <c r="A306" s="56" t="n"/>
      <c r="B306" s="29" t="inlineStr">
        <is>
          <t>2.7.10</t>
        </is>
      </c>
      <c r="C306" s="90" t="inlineStr">
        <is>
          <t xml:space="preserve"> РЕ Коляно женско PN10 32 x 1”</t>
        </is>
      </c>
      <c r="D306" s="102" t="n"/>
      <c r="E306" s="9" t="inlineStr">
        <is>
          <t>бр.</t>
        </is>
      </c>
      <c r="F306" s="9" t="n">
        <v>1</v>
      </c>
      <c r="G306" t="n">
        <v>5</v>
      </c>
      <c r="H306" t="n">
        <v>5</v>
      </c>
      <c r="I306" s="1" t="n"/>
      <c r="L306" s="103" t="n"/>
    </row>
    <row r="307" ht="15" customHeight="1">
      <c r="A307" s="56" t="n"/>
      <c r="B307" s="24" t="inlineStr">
        <is>
          <t>2.8</t>
        </is>
      </c>
      <c r="C307" s="92" t="inlineStr">
        <is>
          <t>Строително монтажни работи</t>
        </is>
      </c>
      <c r="D307" s="102" t="n"/>
      <c r="E307" s="11" t="n"/>
      <c r="F307" s="11" t="n"/>
      <c r="I307" s="1" t="n"/>
      <c r="L307" s="103" t="n"/>
    </row>
    <row r="308" ht="31.5" customHeight="1">
      <c r="A308" s="56" t="n"/>
      <c r="B308" s="29" t="inlineStr">
        <is>
          <t>2.8.1</t>
        </is>
      </c>
      <c r="C308" s="90" t="inlineStr">
        <is>
          <t>Материали: крепежни елементи и др. по помпена станция</t>
        </is>
      </c>
      <c r="D308" s="102" t="n"/>
      <c r="E308" s="9" t="inlineStr">
        <is>
          <t>бр.</t>
        </is>
      </c>
      <c r="F308" s="9" t="n">
        <v>1</v>
      </c>
      <c r="G308" t="n">
        <v>75</v>
      </c>
      <c r="H308" t="n">
        <v>75</v>
      </c>
      <c r="I308" s="1" t="n"/>
      <c r="L308" s="103" t="n"/>
    </row>
    <row r="309" ht="21.75" customHeight="1">
      <c r="A309" s="56" t="n"/>
      <c r="B309" s="29" t="inlineStr">
        <is>
          <t>2.8.2</t>
        </is>
      </c>
      <c r="C309" s="90" t="inlineStr">
        <is>
          <t>Доставка и монтаж оборудване филтрация</t>
        </is>
      </c>
      <c r="D309" s="102" t="n"/>
      <c r="E309" s="9" t="inlineStr">
        <is>
          <t>бр.</t>
        </is>
      </c>
      <c r="F309" s="9" t="n">
        <v>1</v>
      </c>
      <c r="G309" t="n">
        <v>5000</v>
      </c>
      <c r="H309" t="n">
        <v>5000</v>
      </c>
      <c r="I309" s="1" t="n"/>
      <c r="L309" s="103" t="n"/>
    </row>
    <row r="310">
      <c r="A310" s="56" t="n"/>
      <c r="B310" s="13" t="inlineStr">
        <is>
          <t>III</t>
        </is>
      </c>
      <c r="C310" s="20" t="inlineStr">
        <is>
          <t>Част „Архитектура“</t>
        </is>
      </c>
      <c r="D310" s="21" t="n"/>
      <c r="E310" s="21" t="n"/>
      <c r="F310" s="21" t="n"/>
      <c r="I310" s="1" t="n"/>
      <c r="L310" s="103" t="n"/>
    </row>
    <row r="311" ht="15" customHeight="1">
      <c r="A311" s="56" t="n"/>
      <c r="B311" s="85" t="inlineStr">
        <is>
          <t>1.</t>
        </is>
      </c>
      <c r="C311" s="84" t="inlineStr">
        <is>
          <t>Паркова мебел</t>
        </is>
      </c>
      <c r="D311" s="102" t="n"/>
      <c r="E311" s="23" t="n"/>
      <c r="F311" s="23" t="n"/>
      <c r="I311" s="1" t="n"/>
      <c r="L311" s="103" t="n"/>
    </row>
    <row r="312" ht="15" customHeight="1">
      <c r="A312" s="56" t="n"/>
      <c r="B312" s="24" t="inlineStr">
        <is>
          <t>1.1</t>
        </is>
      </c>
      <c r="C312" s="91" t="inlineStr">
        <is>
          <t>Пейки</t>
        </is>
      </c>
      <c r="D312" s="26" t="n"/>
      <c r="E312" s="28" t="n"/>
      <c r="F312" s="28" t="n"/>
      <c r="I312" s="1" t="n"/>
      <c r="L312" s="103" t="n"/>
    </row>
    <row r="313" ht="102.75" customHeight="1">
      <c r="A313" s="56" t="n"/>
      <c r="B313" s="29" t="inlineStr">
        <is>
          <t>1.1.1</t>
        </is>
      </c>
      <c r="C313" s="93" t="inlineStr">
        <is>
          <t>Доставка и монтаж на метална пейка</t>
        </is>
      </c>
      <c r="D313" s="97" t="inlineStr">
        <is>
          <t>L: 191 см B: 56 см H: 82 см, 42 кг                Захващане към настилката - чрез анкериране , Цвят на металната част - сив, RAL 7024</t>
        </is>
      </c>
      <c r="E313" s="7" t="inlineStr">
        <is>
          <t>бр.</t>
        </is>
      </c>
      <c r="F313" s="9" t="n">
        <v>35</v>
      </c>
      <c r="G313" t="n">
        <v>180</v>
      </c>
      <c r="H313" t="n">
        <v>6300</v>
      </c>
      <c r="I313" s="1" t="n"/>
      <c r="L313" s="103" t="n"/>
    </row>
    <row r="314" ht="15" customHeight="1">
      <c r="A314" s="56" t="n"/>
      <c r="B314" s="24" t="inlineStr">
        <is>
          <t>1.2</t>
        </is>
      </c>
      <c r="C314" s="91" t="inlineStr">
        <is>
          <t>Пейки върху подпорна стена</t>
        </is>
      </c>
      <c r="D314" s="26" t="n"/>
      <c r="E314" s="59" t="inlineStr">
        <is>
          <t>m</t>
        </is>
      </c>
      <c r="F314" s="10" t="n">
        <v>140</v>
      </c>
      <c r="G314" t="n">
        <v>19</v>
      </c>
      <c r="H314" t="n">
        <v>2660</v>
      </c>
      <c r="I314" s="1" t="n"/>
      <c r="L314" s="103" t="n"/>
    </row>
    <row r="315" ht="30.6" customHeight="1">
      <c r="A315" s="56" t="n"/>
      <c r="B315" s="29" t="inlineStr">
        <is>
          <t>1.2.1</t>
        </is>
      </c>
      <c r="C315" s="30" t="inlineStr">
        <is>
          <t xml:space="preserve">Доставка и полагане на подложен бетон  </t>
        </is>
      </c>
      <c r="D315" s="60" t="inlineStr">
        <is>
          <t xml:space="preserve">С12/15 </t>
        </is>
      </c>
      <c r="E315" s="11" t="inlineStr">
        <is>
          <t>m³</t>
        </is>
      </c>
      <c r="F315" s="9" t="n">
        <v>1.5</v>
      </c>
      <c r="G315" t="n">
        <v>95</v>
      </c>
      <c r="H315" t="n">
        <v>142.5</v>
      </c>
      <c r="I315" s="1" t="n"/>
      <c r="L315" s="103" t="n"/>
    </row>
    <row r="316" ht="30" customHeight="1">
      <c r="A316" s="56" t="n"/>
      <c r="B316" s="29" t="inlineStr">
        <is>
          <t>1.2.2</t>
        </is>
      </c>
      <c r="C316" s="30" t="inlineStr">
        <is>
          <t xml:space="preserve">Доставка и монтаж на електрозаварен габион </t>
        </is>
      </c>
      <c r="D316" s="90" t="inlineStr">
        <is>
          <t xml:space="preserve">Размери - 50х50х50 см    </t>
        </is>
      </c>
      <c r="E316" s="9" t="inlineStr">
        <is>
          <t>m</t>
        </is>
      </c>
      <c r="F316" s="9" t="n">
        <v>140</v>
      </c>
      <c r="G316" t="n">
        <v>24</v>
      </c>
      <c r="H316" t="n">
        <v>3360</v>
      </c>
      <c r="I316" s="1" t="n"/>
      <c r="L316" s="103" t="n"/>
    </row>
    <row r="317" ht="78" customHeight="1">
      <c r="A317" s="56" t="n"/>
      <c r="B317" s="29" t="inlineStr">
        <is>
          <t>1.2.3</t>
        </is>
      </c>
      <c r="C317" s="30" t="inlineStr">
        <is>
          <t>Доставка и пълнене на габионите с речен камък</t>
        </is>
      </c>
      <c r="D317" s="90" t="inlineStr">
        <is>
          <t>Размери 8 - 13 cm и 13 - 25 cm. Да се използва и наличния на терен речен камък.</t>
        </is>
      </c>
      <c r="E317" s="11" t="inlineStr">
        <is>
          <t>m³</t>
        </is>
      </c>
      <c r="F317" s="9" t="n">
        <v>17.5</v>
      </c>
      <c r="G317" t="n">
        <v>40</v>
      </c>
      <c r="H317" t="n">
        <v>700</v>
      </c>
      <c r="I317" s="1" t="n"/>
      <c r="L317" s="103" t="n"/>
    </row>
    <row r="318" ht="30" customHeight="1">
      <c r="A318" s="56" t="n"/>
      <c r="B318" s="29" t="inlineStr">
        <is>
          <t>1.2.4</t>
        </is>
      </c>
      <c r="C318" s="30" t="inlineStr">
        <is>
          <t>Полагане на найлоново покритие</t>
        </is>
      </c>
      <c r="D318" s="60" t="n"/>
      <c r="E318" s="11" t="inlineStr">
        <is>
          <t>m²</t>
        </is>
      </c>
      <c r="F318" s="9" t="n">
        <v>56</v>
      </c>
      <c r="G318" t="n">
        <v>3</v>
      </c>
      <c r="H318" t="n">
        <v>168</v>
      </c>
      <c r="I318" s="1" t="n"/>
      <c r="L318" s="103" t="n"/>
    </row>
    <row r="319" ht="60" customHeight="1">
      <c r="A319" s="56" t="n"/>
      <c r="B319" s="29" t="inlineStr">
        <is>
          <t>1.2.5</t>
        </is>
      </c>
      <c r="C319" s="30" t="inlineStr">
        <is>
          <t xml:space="preserve">Доставка и полагане на подложен бетон за монтиране на метален профил </t>
        </is>
      </c>
      <c r="D319" s="60" t="inlineStr">
        <is>
          <t xml:space="preserve">С12/15 </t>
        </is>
      </c>
      <c r="E319" s="11" t="inlineStr">
        <is>
          <t>m³</t>
        </is>
      </c>
      <c r="F319" s="9" t="n">
        <v>0.4</v>
      </c>
      <c r="G319" t="n">
        <v>95</v>
      </c>
      <c r="H319" t="n">
        <v>38</v>
      </c>
      <c r="I319" s="1" t="n"/>
      <c r="L319" s="103" t="n"/>
    </row>
    <row r="320" ht="45.9" customHeight="1">
      <c r="A320" s="56" t="n"/>
      <c r="B320" s="29" t="inlineStr">
        <is>
          <t>1.2.6</t>
        </is>
      </c>
      <c r="C320" s="30" t="inlineStr">
        <is>
          <t>Доставка и монтаж на кух метален профил с дебелина 2мм</t>
        </is>
      </c>
      <c r="D320" s="40" t="inlineStr">
        <is>
          <t>3х5 см</t>
        </is>
      </c>
      <c r="E320" s="9" t="inlineStr">
        <is>
          <t>m</t>
        </is>
      </c>
      <c r="F320" s="9" t="n">
        <v>140</v>
      </c>
      <c r="G320" t="n">
        <v>6</v>
      </c>
      <c r="H320" t="n">
        <v>840</v>
      </c>
      <c r="I320" s="1" t="n"/>
      <c r="L320" s="103" t="n"/>
    </row>
    <row r="321" ht="45" customHeight="1">
      <c r="A321" s="56" t="n"/>
      <c r="B321" s="29" t="inlineStr">
        <is>
          <t>1.2.7</t>
        </is>
      </c>
      <c r="C321" s="30" t="inlineStr">
        <is>
          <t xml:space="preserve">Доставка и монтаж на дървена греда </t>
        </is>
      </c>
      <c r="D321" s="90" t="inlineStr">
        <is>
          <t>Импрегнирано дърво с размери 8х52х6 см</t>
        </is>
      </c>
      <c r="E321" s="9" t="inlineStr">
        <is>
          <t>m</t>
        </is>
      </c>
      <c r="F321" s="9" t="n">
        <v>140</v>
      </c>
      <c r="G321" t="n">
        <v>9</v>
      </c>
      <c r="H321" t="n">
        <v>1260</v>
      </c>
      <c r="I321" s="1" t="n"/>
      <c r="L321" s="103" t="n"/>
    </row>
    <row r="322" ht="45" customHeight="1">
      <c r="A322" s="56" t="n"/>
      <c r="B322" s="29" t="inlineStr">
        <is>
          <t>1.2.8</t>
        </is>
      </c>
      <c r="C322" s="30" t="inlineStr">
        <is>
          <t>Доставка и монтаж на дървена греда (чело) 20х6х3см</t>
        </is>
      </c>
      <c r="D322" s="40" t="inlineStr">
        <is>
          <t>20х6х3 см</t>
        </is>
      </c>
      <c r="E322" s="9" t="inlineStr">
        <is>
          <t>m</t>
        </is>
      </c>
      <c r="F322" s="9" t="n">
        <v>140</v>
      </c>
      <c r="G322" t="n">
        <v>8</v>
      </c>
      <c r="H322" t="n">
        <v>1120</v>
      </c>
      <c r="I322" s="1" t="n"/>
      <c r="L322" s="103" t="n"/>
    </row>
    <row r="323" ht="195" customHeight="1">
      <c r="A323" s="56" t="n"/>
      <c r="B323" s="29" t="inlineStr">
        <is>
          <t>1.3</t>
        </is>
      </c>
      <c r="C323" s="98" t="inlineStr">
        <is>
          <t>Фонтан-чешма с включена доставка и монаж</t>
        </is>
      </c>
      <c r="D323" s="93" t="inlineStr">
        <is>
          <t>Aдаптиран за хора в неравностойно положение и деца; произведен от стоманена рамка и умивалник от неръждаема стомана, с двe кранчета с бутони, като единият е пригоден за хора с увреждания. Цвят - сиво, RAL 7024</t>
        </is>
      </c>
      <c r="E323" s="4" t="inlineStr">
        <is>
          <t>бр.</t>
        </is>
      </c>
      <c r="F323" s="4" t="n">
        <v>1</v>
      </c>
      <c r="G323" t="n">
        <v>1150</v>
      </c>
      <c r="H323" t="n">
        <v>1150</v>
      </c>
      <c r="I323" s="1" t="n"/>
      <c r="L323" s="103" t="n"/>
    </row>
    <row r="324" ht="165" customHeight="1">
      <c r="A324" s="56" t="n"/>
      <c r="B324" s="29" t="inlineStr">
        <is>
          <t>1.4</t>
        </is>
      </c>
      <c r="C324" s="98" t="inlineStr">
        <is>
          <t>Метално кошче за отпадъци с включена доставка и монтаж</t>
        </is>
      </c>
      <c r="D324" s="93" t="inlineStr">
        <is>
          <t>L: 39 см B: 39 см H: 90 см                                           35 L  (вкл. бетонна тежест)                        Металните компоненти са покрити с естерно-епоксиден цинков грунд и са прахово боядисани               Цвят - сив, RAL 7024</t>
        </is>
      </c>
      <c r="E324" s="4" t="inlineStr">
        <is>
          <t>бр.</t>
        </is>
      </c>
      <c r="F324" s="4" t="n">
        <v>31</v>
      </c>
      <c r="G324" t="n">
        <v>90</v>
      </c>
      <c r="H324" t="n">
        <v>2790</v>
      </c>
      <c r="I324" s="1" t="n"/>
      <c r="L324" s="103" t="n"/>
    </row>
    <row r="325" ht="15" customHeight="1">
      <c r="A325" s="56" t="n"/>
      <c r="B325" s="13" t="inlineStr">
        <is>
          <t>IV</t>
        </is>
      </c>
      <c r="C325" s="20" t="inlineStr">
        <is>
          <t>Част „Конструкции“</t>
        </is>
      </c>
      <c r="D325" s="21" t="n"/>
      <c r="E325" s="21" t="n"/>
      <c r="F325" s="21" t="n"/>
      <c r="I325" s="1" t="n"/>
      <c r="L325" s="103" t="n"/>
    </row>
    <row r="326" ht="15" customHeight="1">
      <c r="A326" s="56" t="n"/>
      <c r="B326" s="85" t="inlineStr">
        <is>
          <t>1.</t>
        </is>
      </c>
      <c r="C326" s="84" t="inlineStr">
        <is>
          <t>Земни работи</t>
        </is>
      </c>
      <c r="D326" s="102" t="n"/>
      <c r="E326" s="23" t="n"/>
      <c r="F326" s="23" t="n"/>
      <c r="I326" s="1" t="n"/>
      <c r="L326" s="103" t="n"/>
    </row>
    <row r="327" ht="15" customHeight="1">
      <c r="A327" s="56" t="n"/>
      <c r="B327" s="29" t="inlineStr">
        <is>
          <t>1</t>
        </is>
      </c>
      <c r="C327" s="46" t="inlineStr">
        <is>
          <t>Изкопни работи</t>
        </is>
      </c>
      <c r="D327" s="61" t="inlineStr">
        <is>
          <t>-</t>
        </is>
      </c>
      <c r="E327" s="62" t="inlineStr">
        <is>
          <t>m3</t>
        </is>
      </c>
      <c r="F327" s="104" t="n">
        <v>416.6</v>
      </c>
      <c r="G327" t="n">
        <v>14</v>
      </c>
      <c r="H327" t="n">
        <v>5832.4</v>
      </c>
      <c r="I327" s="1" t="n"/>
      <c r="L327" s="103" t="n"/>
    </row>
    <row r="328" ht="15" customHeight="1">
      <c r="A328" s="56" t="n"/>
      <c r="B328" s="85" t="inlineStr">
        <is>
          <t>1.</t>
        </is>
      </c>
      <c r="C328" s="85" t="inlineStr">
        <is>
          <t>ЗОНА 1 - Рехабилитационна площадка</t>
        </is>
      </c>
      <c r="D328" s="102" t="n"/>
      <c r="E328" s="85" t="n"/>
      <c r="F328" s="105" t="n"/>
      <c r="I328" s="1" t="n"/>
      <c r="L328" s="103" t="n"/>
    </row>
    <row r="329" ht="15" customHeight="1">
      <c r="A329" s="56" t="n"/>
      <c r="B329" s="29" t="inlineStr">
        <is>
          <t>1.1</t>
        </is>
      </c>
      <c r="C329" s="46" t="inlineStr">
        <is>
          <t>Кофражни работи</t>
        </is>
      </c>
      <c r="D329" s="61" t="inlineStr">
        <is>
          <t>-</t>
        </is>
      </c>
      <c r="E329" s="62" t="inlineStr">
        <is>
          <t>m2</t>
        </is>
      </c>
      <c r="F329" s="104" t="n">
        <v>30</v>
      </c>
      <c r="G329" t="n">
        <v>35</v>
      </c>
      <c r="H329" s="106" t="n">
        <v>1050</v>
      </c>
      <c r="I329" s="1" t="n"/>
      <c r="L329" s="103" t="n"/>
    </row>
    <row r="330" ht="15" customHeight="1">
      <c r="A330" s="56" t="n"/>
      <c r="B330" s="29" t="inlineStr">
        <is>
          <t>1.2</t>
        </is>
      </c>
      <c r="C330" s="46" t="inlineStr">
        <is>
          <t>Армировъчни работи</t>
        </is>
      </c>
      <c r="D330" s="61" t="inlineStr">
        <is>
          <t>B500 B</t>
        </is>
      </c>
      <c r="E330" s="66" t="inlineStr">
        <is>
          <t>kg</t>
        </is>
      </c>
      <c r="F330" s="104" t="n">
        <v>1779</v>
      </c>
      <c r="G330" t="n">
        <v>2</v>
      </c>
      <c r="H330" t="n">
        <v>3558</v>
      </c>
      <c r="I330" s="1" t="n"/>
      <c r="L330" s="103" t="n"/>
    </row>
    <row r="331" ht="15" customHeight="1">
      <c r="A331" s="56" t="n"/>
      <c r="B331" s="29" t="inlineStr">
        <is>
          <t>1.3</t>
        </is>
      </c>
      <c r="C331" s="46" t="inlineStr">
        <is>
          <t>Бетонови работи</t>
        </is>
      </c>
      <c r="D331" s="61" t="inlineStr">
        <is>
          <t>C20/25</t>
        </is>
      </c>
      <c r="E331" s="62" t="inlineStr">
        <is>
          <t>m3</t>
        </is>
      </c>
      <c r="F331" s="104" t="n">
        <v>23.71</v>
      </c>
      <c r="G331" t="n">
        <v>99</v>
      </c>
      <c r="H331" t="n">
        <v>2347.29</v>
      </c>
      <c r="I331" s="1" t="n"/>
      <c r="L331" s="103" t="n"/>
    </row>
    <row r="332" ht="15" customHeight="1">
      <c r="A332" s="56" t="n"/>
      <c r="B332" s="29" t="inlineStr">
        <is>
          <t>1.4</t>
        </is>
      </c>
      <c r="C332" s="46" t="inlineStr">
        <is>
          <t>Трошен камък</t>
        </is>
      </c>
      <c r="D332" s="61" t="inlineStr">
        <is>
          <t>-</t>
        </is>
      </c>
      <c r="E332" s="62" t="inlineStr">
        <is>
          <t>m3</t>
        </is>
      </c>
      <c r="F332" s="104" t="n">
        <v>28.95</v>
      </c>
      <c r="G332" t="n">
        <v>38</v>
      </c>
      <c r="H332" t="n">
        <v>1100.1</v>
      </c>
      <c r="I332" s="1" t="n"/>
      <c r="L332" s="103" t="n"/>
    </row>
    <row r="333" ht="15" customHeight="1">
      <c r="A333" s="56" t="n"/>
      <c r="B333" s="29" t="inlineStr">
        <is>
          <t>1.5</t>
        </is>
      </c>
      <c r="C333" s="46" t="inlineStr">
        <is>
          <t>ПЕ фолио</t>
        </is>
      </c>
      <c r="D333" s="61" t="inlineStr">
        <is>
          <t>-</t>
        </is>
      </c>
      <c r="E333" s="62" t="inlineStr">
        <is>
          <t>m2</t>
        </is>
      </c>
      <c r="F333" s="104" t="n">
        <v>121</v>
      </c>
      <c r="G333" t="n">
        <v>1</v>
      </c>
      <c r="H333" t="n">
        <v>121</v>
      </c>
      <c r="I333" s="1" t="n"/>
      <c r="L333" s="103" t="n"/>
    </row>
    <row r="334" ht="15" customHeight="1">
      <c r="A334" s="56" t="n"/>
      <c r="B334" s="85" t="inlineStr">
        <is>
          <t>2.</t>
        </is>
      </c>
      <c r="C334" s="85" t="inlineStr">
        <is>
          <t>ЗОНА 2 - Фонтан</t>
        </is>
      </c>
      <c r="D334" s="102" t="n"/>
      <c r="E334" s="85" t="n"/>
      <c r="F334" s="105" t="n"/>
      <c r="I334" s="1" t="n"/>
      <c r="L334" s="103" t="n"/>
    </row>
    <row r="335" ht="15" customHeight="1">
      <c r="A335" s="56" t="n"/>
      <c r="B335" s="29" t="inlineStr">
        <is>
          <t>2.1</t>
        </is>
      </c>
      <c r="C335" s="67" t="inlineStr">
        <is>
          <t>Кофражни работи</t>
        </is>
      </c>
      <c r="D335" s="68" t="inlineStr">
        <is>
          <t>-</t>
        </is>
      </c>
      <c r="E335" s="62" t="inlineStr">
        <is>
          <t>m2</t>
        </is>
      </c>
      <c r="F335" s="107" t="n">
        <v>35</v>
      </c>
      <c r="G335" t="n">
        <v>35</v>
      </c>
      <c r="H335" t="n">
        <v>1225</v>
      </c>
      <c r="I335" s="1" t="n"/>
      <c r="L335" s="103" t="n"/>
    </row>
    <row r="336" ht="15" customHeight="1">
      <c r="A336" s="56" t="n"/>
      <c r="B336" s="29" t="inlineStr">
        <is>
          <t>2.2</t>
        </is>
      </c>
      <c r="C336" s="67" t="inlineStr">
        <is>
          <t>Армировъчни работи</t>
        </is>
      </c>
      <c r="D336" s="68" t="inlineStr">
        <is>
          <t>B500 B</t>
        </is>
      </c>
      <c r="E336" s="62" t="inlineStr">
        <is>
          <t>kg</t>
        </is>
      </c>
      <c r="F336" s="107" t="n">
        <v>1428</v>
      </c>
      <c r="G336" t="n">
        <v>2</v>
      </c>
      <c r="H336" t="n">
        <v>2856</v>
      </c>
      <c r="I336" s="1" t="n"/>
      <c r="L336" s="103" t="n"/>
    </row>
    <row r="337" ht="15" customHeight="1">
      <c r="A337" s="56" t="n"/>
      <c r="B337" s="29" t="inlineStr">
        <is>
          <t>2.3</t>
        </is>
      </c>
      <c r="C337" s="67" t="inlineStr">
        <is>
          <t>Бетонови работи</t>
        </is>
      </c>
      <c r="D337" s="68" t="inlineStr">
        <is>
          <t>C20/25</t>
        </is>
      </c>
      <c r="E337" s="62" t="inlineStr">
        <is>
          <t>m3</t>
        </is>
      </c>
      <c r="F337" s="107" t="n">
        <v>26.64</v>
      </c>
      <c r="G337" t="n">
        <v>99</v>
      </c>
      <c r="H337" t="n">
        <v>2637.36</v>
      </c>
      <c r="I337" s="1" t="n"/>
      <c r="L337" s="103" t="n"/>
    </row>
    <row r="338" ht="15" customHeight="1">
      <c r="A338" s="56" t="n"/>
      <c r="B338" s="85" t="inlineStr">
        <is>
          <t>3.</t>
        </is>
      </c>
      <c r="C338" s="85" t="inlineStr">
        <is>
          <t xml:space="preserve">ЗОНА 3 - Декинг площадка </t>
        </is>
      </c>
      <c r="D338" s="102" t="n"/>
      <c r="E338" s="85" t="n"/>
      <c r="F338" s="105" t="n"/>
      <c r="I338" s="1" t="n"/>
      <c r="L338" s="103" t="n"/>
    </row>
    <row r="339" ht="15" customHeight="1">
      <c r="A339" s="56" t="n"/>
      <c r="B339" s="29" t="inlineStr">
        <is>
          <t>3.1</t>
        </is>
      </c>
      <c r="C339" s="46" t="inlineStr">
        <is>
          <t>Кофражни работи</t>
        </is>
      </c>
      <c r="D339" s="61" t="inlineStr">
        <is>
          <t>-</t>
        </is>
      </c>
      <c r="E339" s="62" t="inlineStr">
        <is>
          <t>m2</t>
        </is>
      </c>
      <c r="F339" s="104" t="n">
        <v>43</v>
      </c>
      <c r="G339" t="n">
        <v>35</v>
      </c>
      <c r="H339" t="n">
        <v>1505</v>
      </c>
      <c r="I339" s="1" t="n"/>
      <c r="L339" s="103" t="n"/>
    </row>
    <row r="340" ht="15" customHeight="1">
      <c r="A340" s="56" t="n"/>
      <c r="B340" s="29" t="inlineStr">
        <is>
          <t>3.2</t>
        </is>
      </c>
      <c r="C340" s="46" t="inlineStr">
        <is>
          <t>Армировъчни работи</t>
        </is>
      </c>
      <c r="D340" s="61" t="inlineStr">
        <is>
          <t>B500 B</t>
        </is>
      </c>
      <c r="E340" s="66" t="inlineStr">
        <is>
          <t>kg</t>
        </is>
      </c>
      <c r="F340" s="104" t="n">
        <v>1426</v>
      </c>
      <c r="G340" t="n">
        <v>2</v>
      </c>
      <c r="H340" t="n">
        <v>2852</v>
      </c>
      <c r="I340" s="1" t="n"/>
      <c r="L340" s="103" t="n"/>
    </row>
    <row r="341" ht="15" customHeight="1">
      <c r="A341" s="56" t="n"/>
      <c r="B341" s="29" t="inlineStr">
        <is>
          <t>3.3</t>
        </is>
      </c>
      <c r="C341" s="46" t="inlineStr">
        <is>
          <t>Бетонови работи</t>
        </is>
      </c>
      <c r="D341" s="61" t="inlineStr">
        <is>
          <t>C20/25</t>
        </is>
      </c>
      <c r="E341" s="62" t="inlineStr">
        <is>
          <t>m3</t>
        </is>
      </c>
      <c r="F341" s="104" t="n">
        <v>20.18</v>
      </c>
      <c r="G341" t="n">
        <v>99</v>
      </c>
      <c r="H341" t="n">
        <v>1997.82</v>
      </c>
      <c r="I341" s="1" t="n"/>
      <c r="L341" s="103" t="n"/>
    </row>
    <row r="342" ht="15" customHeight="1">
      <c r="A342" s="56" t="n"/>
      <c r="B342" s="29" t="inlineStr">
        <is>
          <t>3.4</t>
        </is>
      </c>
      <c r="C342" s="46" t="inlineStr">
        <is>
          <t>Трошен камък</t>
        </is>
      </c>
      <c r="D342" s="61" t="inlineStr">
        <is>
          <t>-</t>
        </is>
      </c>
      <c r="E342" s="62" t="inlineStr">
        <is>
          <t>m3</t>
        </is>
      </c>
      <c r="F342" s="104" t="n">
        <v>23.72</v>
      </c>
      <c r="G342" t="n">
        <v>38</v>
      </c>
      <c r="H342" t="n">
        <v>901.36</v>
      </c>
      <c r="I342" s="1" t="n"/>
      <c r="L342" s="103" t="n"/>
    </row>
    <row r="343" ht="15" customHeight="1">
      <c r="A343" s="56" t="n"/>
      <c r="B343" s="29" t="inlineStr">
        <is>
          <t>3.5</t>
        </is>
      </c>
      <c r="C343" s="46" t="inlineStr">
        <is>
          <t>ПЕ фолио</t>
        </is>
      </c>
      <c r="D343" s="61" t="inlineStr">
        <is>
          <t>-</t>
        </is>
      </c>
      <c r="E343" s="62" t="inlineStr">
        <is>
          <t>m2</t>
        </is>
      </c>
      <c r="F343" s="104" t="n">
        <v>99</v>
      </c>
      <c r="G343" t="n">
        <v>1</v>
      </c>
      <c r="H343" t="n">
        <v>99</v>
      </c>
      <c r="I343" s="1" t="n"/>
      <c r="L343" s="103" t="n"/>
    </row>
    <row r="344" ht="15" customHeight="1">
      <c r="A344" s="56" t="n"/>
      <c r="B344" s="85" t="inlineStr">
        <is>
          <t>4.</t>
        </is>
      </c>
      <c r="C344" s="85" t="inlineStr">
        <is>
          <t>ЗОНА 4 - Стълбищна група</t>
        </is>
      </c>
      <c r="D344" s="102" t="n"/>
      <c r="E344" s="85" t="n"/>
      <c r="F344" s="105" t="n"/>
      <c r="I344" s="1" t="n"/>
      <c r="L344" s="103" t="n"/>
    </row>
    <row r="345" ht="15" customHeight="1">
      <c r="A345" s="56" t="n"/>
      <c r="B345" s="29" t="inlineStr">
        <is>
          <t>4.1</t>
        </is>
      </c>
      <c r="C345" s="46" t="inlineStr">
        <is>
          <t>Кофражни работи</t>
        </is>
      </c>
      <c r="D345" s="61" t="inlineStr">
        <is>
          <t>-</t>
        </is>
      </c>
      <c r="E345" s="62" t="inlineStr">
        <is>
          <t>m2</t>
        </is>
      </c>
      <c r="F345" s="104" t="n">
        <v>4.5</v>
      </c>
      <c r="G345" t="n">
        <v>35</v>
      </c>
      <c r="H345" t="n">
        <v>157.5</v>
      </c>
      <c r="I345" s="1" t="n"/>
      <c r="L345" s="103" t="n"/>
    </row>
    <row r="346" ht="15" customHeight="1">
      <c r="A346" s="56" t="n"/>
      <c r="B346" s="29" t="inlineStr">
        <is>
          <t>4.2</t>
        </is>
      </c>
      <c r="C346" s="46" t="inlineStr">
        <is>
          <t>Армировъчни работи</t>
        </is>
      </c>
      <c r="D346" s="61" t="inlineStr">
        <is>
          <t>B500 B</t>
        </is>
      </c>
      <c r="E346" s="66" t="inlineStr">
        <is>
          <t>kg</t>
        </is>
      </c>
      <c r="F346" s="104" t="n">
        <v>137</v>
      </c>
      <c r="G346" t="n">
        <v>2</v>
      </c>
      <c r="H346" t="n">
        <v>274</v>
      </c>
      <c r="I346" s="1" t="n"/>
      <c r="L346" s="103" t="n"/>
    </row>
    <row r="347" ht="15" customHeight="1">
      <c r="A347" s="56" t="n"/>
      <c r="B347" s="29" t="inlineStr">
        <is>
          <t>4.3</t>
        </is>
      </c>
      <c r="C347" s="46" t="inlineStr">
        <is>
          <t>Бетонови работи</t>
        </is>
      </c>
      <c r="D347" s="61" t="inlineStr">
        <is>
          <t>C20/25</t>
        </is>
      </c>
      <c r="E347" s="62" t="inlineStr">
        <is>
          <t>m3</t>
        </is>
      </c>
      <c r="F347" s="104" t="n">
        <v>1.85</v>
      </c>
      <c r="G347" t="n">
        <v>99</v>
      </c>
      <c r="H347" t="n">
        <v>183.15</v>
      </c>
      <c r="I347" s="1" t="n"/>
      <c r="L347" s="103" t="n"/>
    </row>
    <row r="348" ht="15" customHeight="1">
      <c r="A348" s="56" t="n"/>
      <c r="B348" s="85" t="inlineStr">
        <is>
          <t>5.</t>
        </is>
      </c>
      <c r="C348" s="85" t="inlineStr">
        <is>
          <t>ЗОНА 5 - Стълбищна група</t>
        </is>
      </c>
      <c r="D348" s="102" t="n"/>
      <c r="E348" s="85" t="n"/>
      <c r="F348" s="105" t="n"/>
      <c r="I348" s="1" t="n"/>
      <c r="L348" s="103" t="n"/>
    </row>
    <row r="349" ht="15" customHeight="1">
      <c r="A349" s="56" t="n"/>
      <c r="B349" s="29" t="inlineStr">
        <is>
          <t>5.1</t>
        </is>
      </c>
      <c r="C349" s="46" t="inlineStr">
        <is>
          <t>Кофражни работи</t>
        </is>
      </c>
      <c r="D349" s="61" t="n"/>
      <c r="E349" s="62" t="inlineStr">
        <is>
          <t>m2</t>
        </is>
      </c>
      <c r="F349" s="104" t="n">
        <v>1.23</v>
      </c>
      <c r="G349" t="n">
        <v>35</v>
      </c>
      <c r="H349" t="n">
        <v>43.05</v>
      </c>
      <c r="I349" s="1" t="n"/>
      <c r="L349" s="103" t="n"/>
    </row>
    <row r="350" ht="15" customHeight="1">
      <c r="A350" s="56" t="n"/>
      <c r="B350" s="29" t="inlineStr">
        <is>
          <t>5.2</t>
        </is>
      </c>
      <c r="C350" s="46" t="inlineStr">
        <is>
          <t>Армировъчни работи</t>
        </is>
      </c>
      <c r="D350" s="61" t="inlineStr">
        <is>
          <t>B500 B</t>
        </is>
      </c>
      <c r="E350" s="66" t="inlineStr">
        <is>
          <t>kg</t>
        </is>
      </c>
      <c r="F350" s="104" t="n">
        <v>137</v>
      </c>
      <c r="G350" t="n">
        <v>2</v>
      </c>
      <c r="H350" t="n">
        <v>274</v>
      </c>
      <c r="I350" s="1" t="n"/>
      <c r="L350" s="103" t="n"/>
    </row>
    <row r="351" ht="15" customHeight="1">
      <c r="A351" s="56" t="n"/>
      <c r="B351" s="29" t="inlineStr">
        <is>
          <t>5.3</t>
        </is>
      </c>
      <c r="C351" s="46" t="inlineStr">
        <is>
          <t>Бетонови работи</t>
        </is>
      </c>
      <c r="D351" s="61" t="inlineStr">
        <is>
          <t>C20/25</t>
        </is>
      </c>
      <c r="E351" s="62" t="inlineStr">
        <is>
          <t>m3</t>
        </is>
      </c>
      <c r="F351" s="104" t="n">
        <v>1.85</v>
      </c>
      <c r="G351" t="n">
        <v>99</v>
      </c>
      <c r="H351" t="n">
        <v>183.15</v>
      </c>
      <c r="I351" s="1" t="n"/>
      <c r="L351" s="103" t="n"/>
    </row>
    <row r="352" ht="15" customHeight="1">
      <c r="A352" s="56" t="n"/>
      <c r="B352" s="85" t="inlineStr">
        <is>
          <t>6</t>
        </is>
      </c>
      <c r="C352" s="85" t="inlineStr">
        <is>
          <t>ЗОНА 6 - Стълбищна група</t>
        </is>
      </c>
      <c r="D352" s="102" t="n"/>
      <c r="E352" s="85" t="n"/>
      <c r="F352" s="105" t="n"/>
      <c r="I352" s="1" t="n"/>
      <c r="L352" s="103" t="n"/>
    </row>
    <row r="353" ht="15" customHeight="1">
      <c r="A353" s="56" t="n"/>
      <c r="B353" s="29" t="inlineStr">
        <is>
          <t>6.1</t>
        </is>
      </c>
      <c r="C353" s="46" t="inlineStr">
        <is>
          <t>Кофражни работи</t>
        </is>
      </c>
      <c r="D353" s="61" t="n"/>
      <c r="E353" s="62" t="inlineStr">
        <is>
          <t>m2</t>
        </is>
      </c>
      <c r="F353" s="104" t="n">
        <v>1.23</v>
      </c>
      <c r="G353" t="n">
        <v>35</v>
      </c>
      <c r="H353" t="n">
        <v>43.05</v>
      </c>
      <c r="I353" s="1" t="n"/>
      <c r="L353" s="103" t="n"/>
    </row>
    <row r="354" ht="15" customHeight="1">
      <c r="A354" s="56" t="n"/>
      <c r="B354" s="29" t="inlineStr">
        <is>
          <t>6.2</t>
        </is>
      </c>
      <c r="C354" s="46" t="inlineStr">
        <is>
          <t>Армировъчни работи</t>
        </is>
      </c>
      <c r="D354" s="61" t="inlineStr">
        <is>
          <t>B500 B</t>
        </is>
      </c>
      <c r="E354" s="66" t="inlineStr">
        <is>
          <t>kg</t>
        </is>
      </c>
      <c r="F354" s="104" t="n">
        <v>137</v>
      </c>
      <c r="G354" t="n">
        <v>2</v>
      </c>
      <c r="H354" t="n">
        <v>274</v>
      </c>
      <c r="I354" s="1" t="n"/>
      <c r="L354" s="103" t="n"/>
    </row>
    <row r="355" ht="15" customHeight="1">
      <c r="A355" s="56" t="n"/>
      <c r="B355" s="29" t="inlineStr">
        <is>
          <t>6.3</t>
        </is>
      </c>
      <c r="C355" s="46" t="inlineStr">
        <is>
          <t>Бетонови работи</t>
        </is>
      </c>
      <c r="D355" s="61" t="inlineStr">
        <is>
          <t>C20/25</t>
        </is>
      </c>
      <c r="E355" s="62" t="inlineStr">
        <is>
          <t>m3</t>
        </is>
      </c>
      <c r="F355" s="104" t="n">
        <v>1.85</v>
      </c>
      <c r="G355" t="n">
        <v>99</v>
      </c>
      <c r="H355" t="n">
        <v>183.15</v>
      </c>
      <c r="I355" s="1" t="n"/>
      <c r="L355" s="103" t="n"/>
    </row>
    <row r="356" ht="15" customHeight="1">
      <c r="A356" s="56" t="n"/>
      <c r="B356" s="85" t="inlineStr">
        <is>
          <t>7.</t>
        </is>
      </c>
      <c r="C356" s="85" t="inlineStr">
        <is>
          <t>ЗОНА 7 - Перголна конструкция</t>
        </is>
      </c>
      <c r="D356" s="102" t="n"/>
      <c r="E356" s="85" t="n"/>
      <c r="F356" s="105" t="n"/>
      <c r="I356" s="1" t="n"/>
      <c r="L356" s="103" t="n"/>
    </row>
    <row r="357" ht="15" customHeight="1">
      <c r="A357" s="56" t="n"/>
      <c r="B357" s="29" t="inlineStr">
        <is>
          <t>7.1</t>
        </is>
      </c>
      <c r="C357" s="46" t="inlineStr">
        <is>
          <t>Кофражни работи</t>
        </is>
      </c>
      <c r="D357" s="61" t="inlineStr">
        <is>
          <t>-</t>
        </is>
      </c>
      <c r="E357" s="62" t="inlineStr">
        <is>
          <t>m2</t>
        </is>
      </c>
      <c r="F357" s="104" t="n">
        <v>48.87</v>
      </c>
      <c r="G357" t="n">
        <v>35</v>
      </c>
      <c r="H357" t="n">
        <v>1710.45</v>
      </c>
      <c r="I357" s="1" t="n"/>
      <c r="L357" s="103" t="n"/>
    </row>
    <row r="358" ht="15" customHeight="1">
      <c r="A358" s="56" t="n"/>
      <c r="B358" s="29" t="inlineStr">
        <is>
          <t>7.2</t>
        </is>
      </c>
      <c r="C358" s="46" t="inlineStr">
        <is>
          <t>Армировъчни работи</t>
        </is>
      </c>
      <c r="D358" s="61" t="inlineStr">
        <is>
          <t>B500 B</t>
        </is>
      </c>
      <c r="E358" s="66" t="inlineStr">
        <is>
          <t>kg</t>
        </is>
      </c>
      <c r="F358" s="104" t="n">
        <v>779</v>
      </c>
      <c r="G358" t="n">
        <v>2</v>
      </c>
      <c r="H358" t="n">
        <v>1558</v>
      </c>
      <c r="I358" s="1" t="n"/>
      <c r="L358" s="103" t="n"/>
    </row>
    <row r="359" ht="15" customHeight="1">
      <c r="A359" s="56" t="n"/>
      <c r="B359" s="29" t="inlineStr">
        <is>
          <t>7.3</t>
        </is>
      </c>
      <c r="C359" s="46" t="inlineStr">
        <is>
          <t>Бетонови работи</t>
        </is>
      </c>
      <c r="D359" s="61" t="inlineStr">
        <is>
          <t>C20/25</t>
        </is>
      </c>
      <c r="E359" s="62" t="inlineStr">
        <is>
          <t>m3</t>
        </is>
      </c>
      <c r="F359" s="104" t="n">
        <v>10.9</v>
      </c>
      <c r="G359" t="n">
        <v>99</v>
      </c>
      <c r="H359" t="n">
        <v>1079.1</v>
      </c>
      <c r="I359" s="1" t="n"/>
      <c r="L359" s="103" t="n"/>
    </row>
    <row r="360" ht="15" customHeight="1">
      <c r="A360" s="56" t="n"/>
      <c r="B360" s="29" t="inlineStr">
        <is>
          <t>7.4</t>
        </is>
      </c>
      <c r="C360" s="46" t="inlineStr">
        <is>
          <t>Стоманена конструкция</t>
        </is>
      </c>
      <c r="D360" s="61" t="inlineStr">
        <is>
          <t xml:space="preserve">S235 </t>
        </is>
      </c>
      <c r="E360" s="66" t="inlineStr">
        <is>
          <t>kg</t>
        </is>
      </c>
      <c r="F360" s="104" t="n">
        <v>5021.5</v>
      </c>
      <c r="G360" t="n">
        <v>6</v>
      </c>
      <c r="H360" t="n">
        <v>30129</v>
      </c>
      <c r="I360" s="1" t="n"/>
      <c r="L360" s="103" t="n"/>
    </row>
    <row r="361" ht="15" customHeight="1">
      <c r="A361" s="56" t="n"/>
      <c r="B361" s="85" t="inlineStr">
        <is>
          <t>8.</t>
        </is>
      </c>
      <c r="C361" s="85" t="inlineStr">
        <is>
          <t>ЗОНА 8 - Перголна конструкция</t>
        </is>
      </c>
      <c r="D361" s="102" t="n"/>
      <c r="E361" s="85" t="n"/>
      <c r="F361" s="105" t="n"/>
      <c r="I361" s="1" t="n"/>
      <c r="L361" s="103" t="n"/>
    </row>
    <row r="362" ht="15" customHeight="1">
      <c r="A362" s="56" t="n"/>
      <c r="B362" s="29" t="inlineStr">
        <is>
          <t>8.1</t>
        </is>
      </c>
      <c r="C362" s="46" t="inlineStr">
        <is>
          <t>Кофражни работи</t>
        </is>
      </c>
      <c r="D362" s="29" t="inlineStr">
        <is>
          <t>-</t>
        </is>
      </c>
      <c r="E362" s="62" t="inlineStr">
        <is>
          <t>m2</t>
        </is>
      </c>
      <c r="F362" s="108" t="n">
        <v>48.87</v>
      </c>
      <c r="G362" t="n">
        <v>35</v>
      </c>
      <c r="H362" t="n">
        <v>1710.45</v>
      </c>
      <c r="I362" s="1" t="n"/>
      <c r="L362" s="103" t="n"/>
    </row>
    <row r="363" ht="15" customHeight="1">
      <c r="A363" s="56" t="n"/>
      <c r="B363" s="29" t="inlineStr">
        <is>
          <t>8.2</t>
        </is>
      </c>
      <c r="C363" s="46" t="inlineStr">
        <is>
          <t>Армировъчни работи</t>
        </is>
      </c>
      <c r="D363" s="29" t="inlineStr">
        <is>
          <t>B500 B</t>
        </is>
      </c>
      <c r="E363" s="48" t="inlineStr">
        <is>
          <t>kg</t>
        </is>
      </c>
      <c r="F363" s="108" t="n">
        <v>779</v>
      </c>
      <c r="G363" t="n">
        <v>2</v>
      </c>
      <c r="H363" t="n">
        <v>1558</v>
      </c>
      <c r="I363" s="1" t="n"/>
      <c r="L363" s="103" t="n"/>
    </row>
    <row r="364" ht="15" customHeight="1">
      <c r="A364" s="56" t="n"/>
      <c r="B364" s="29" t="inlineStr">
        <is>
          <t>8.3</t>
        </is>
      </c>
      <c r="C364" s="46" t="inlineStr">
        <is>
          <t>Бетонови работи</t>
        </is>
      </c>
      <c r="D364" s="29" t="inlineStr">
        <is>
          <t>C20/25</t>
        </is>
      </c>
      <c r="E364" s="62" t="inlineStr">
        <is>
          <t>m3</t>
        </is>
      </c>
      <c r="F364" s="108" t="n">
        <v>10.9</v>
      </c>
      <c r="G364" t="n">
        <v>99</v>
      </c>
      <c r="H364" t="n">
        <v>1079.1</v>
      </c>
      <c r="I364" s="1" t="n"/>
      <c r="L364" s="103" t="n"/>
    </row>
    <row r="365" ht="15" customHeight="1">
      <c r="A365" s="56" t="n"/>
      <c r="B365" s="29" t="inlineStr">
        <is>
          <t>8.4</t>
        </is>
      </c>
      <c r="C365" s="46" t="inlineStr">
        <is>
          <t>Стоманена конструкция</t>
        </is>
      </c>
      <c r="D365" s="29" t="inlineStr">
        <is>
          <t xml:space="preserve">S235 </t>
        </is>
      </c>
      <c r="E365" s="48" t="inlineStr">
        <is>
          <t>kg</t>
        </is>
      </c>
      <c r="F365" s="108" t="n">
        <v>5021.5</v>
      </c>
      <c r="G365" t="n">
        <v>6</v>
      </c>
      <c r="H365" t="n">
        <v>30129</v>
      </c>
      <c r="I365" s="1" t="n"/>
      <c r="L365" s="103" t="n"/>
    </row>
    <row r="366" ht="15" customHeight="1">
      <c r="A366" s="56" t="n"/>
      <c r="B366" s="85" t="inlineStr">
        <is>
          <t>9.</t>
        </is>
      </c>
      <c r="C366" s="85" t="inlineStr">
        <is>
          <t>ЗОНА 9 - Помпено помещение</t>
        </is>
      </c>
      <c r="D366" s="102" t="n"/>
      <c r="E366" s="85" t="n"/>
      <c r="F366" s="105" t="n"/>
      <c r="I366" s="1" t="n"/>
      <c r="L366" s="103" t="n"/>
    </row>
    <row r="367" ht="15" customHeight="1">
      <c r="A367" s="56" t="n"/>
      <c r="B367" s="29" t="inlineStr">
        <is>
          <t>9.1</t>
        </is>
      </c>
      <c r="C367" s="46" t="inlineStr">
        <is>
          <t>Кофражни работи</t>
        </is>
      </c>
      <c r="D367" s="29" t="inlineStr">
        <is>
          <t>-</t>
        </is>
      </c>
      <c r="E367" s="62" t="inlineStr">
        <is>
          <t>m2</t>
        </is>
      </c>
      <c r="F367" s="108" t="n">
        <v>63.36</v>
      </c>
      <c r="G367" t="n">
        <v>35</v>
      </c>
      <c r="H367" t="n">
        <v>2217.6</v>
      </c>
      <c r="I367" s="1" t="n"/>
      <c r="L367" s="103" t="n"/>
    </row>
    <row r="368" ht="15" customHeight="1">
      <c r="A368" s="56" t="n"/>
      <c r="B368" s="29" t="inlineStr">
        <is>
          <t>9.2</t>
        </is>
      </c>
      <c r="C368" s="46" t="inlineStr">
        <is>
          <t>Армировъчни работи</t>
        </is>
      </c>
      <c r="D368" s="29" t="inlineStr">
        <is>
          <t>B500 B</t>
        </is>
      </c>
      <c r="E368" s="48" t="inlineStr">
        <is>
          <t>kg</t>
        </is>
      </c>
      <c r="F368" s="108" t="n">
        <v>1042</v>
      </c>
      <c r="G368" t="n">
        <v>2</v>
      </c>
      <c r="H368" t="n">
        <v>2084</v>
      </c>
      <c r="I368" s="1" t="n"/>
      <c r="L368" s="103" t="n"/>
    </row>
    <row r="369" ht="15" customHeight="1">
      <c r="A369" s="56" t="n"/>
      <c r="B369" s="29" t="inlineStr">
        <is>
          <t>9.3</t>
        </is>
      </c>
      <c r="C369" s="46" t="inlineStr">
        <is>
          <t>Бетонови работи</t>
        </is>
      </c>
      <c r="D369" s="29" t="inlineStr">
        <is>
          <t>C20/25</t>
        </is>
      </c>
      <c r="E369" s="62" t="inlineStr">
        <is>
          <t>m3</t>
        </is>
      </c>
      <c r="F369" s="108" t="n">
        <v>15.23</v>
      </c>
      <c r="G369" t="n">
        <v>99</v>
      </c>
      <c r="H369" t="n">
        <v>1507.77</v>
      </c>
      <c r="I369" s="1" t="n"/>
      <c r="L369" s="103" t="n"/>
    </row>
    <row r="370" ht="15" customHeight="1">
      <c r="A370" s="56" t="n"/>
      <c r="B370" s="85" t="inlineStr">
        <is>
          <t>10.</t>
        </is>
      </c>
      <c r="C370" s="85" t="inlineStr">
        <is>
          <t>ЗОНА 10 - Фотоволтаична централа</t>
        </is>
      </c>
      <c r="D370" s="102" t="n"/>
      <c r="E370" s="85" t="n"/>
      <c r="F370" s="105" t="n"/>
      <c r="I370" s="1" t="n"/>
      <c r="L370" s="103" t="n"/>
    </row>
    <row r="371" ht="15" customHeight="1">
      <c r="A371" s="56" t="n"/>
      <c r="B371" s="29" t="inlineStr">
        <is>
          <t>10.1</t>
        </is>
      </c>
      <c r="C371" s="46" t="inlineStr">
        <is>
          <t>Кофражни работи</t>
        </is>
      </c>
      <c r="D371" s="29" t="inlineStr">
        <is>
          <t>-</t>
        </is>
      </c>
      <c r="E371" s="62" t="inlineStr">
        <is>
          <t>m2</t>
        </is>
      </c>
      <c r="F371" s="108" t="n">
        <v>34.72</v>
      </c>
      <c r="G371" t="n">
        <v>35</v>
      </c>
      <c r="H371" t="n">
        <v>1215.2</v>
      </c>
      <c r="I371" s="1" t="n"/>
      <c r="L371" s="103" t="n"/>
    </row>
    <row r="372" ht="15" customHeight="1">
      <c r="A372" s="56" t="n"/>
      <c r="B372" s="29" t="inlineStr">
        <is>
          <t>10.2</t>
        </is>
      </c>
      <c r="C372" s="46" t="inlineStr">
        <is>
          <t>Армировъчни работи</t>
        </is>
      </c>
      <c r="D372" s="29" t="inlineStr">
        <is>
          <t>B500 B</t>
        </is>
      </c>
      <c r="E372" s="48" t="inlineStr">
        <is>
          <t>kg</t>
        </is>
      </c>
      <c r="F372" s="108" t="n">
        <v>686</v>
      </c>
      <c r="G372" t="n">
        <v>2</v>
      </c>
      <c r="H372" t="n">
        <v>1372</v>
      </c>
      <c r="I372" s="1" t="n"/>
      <c r="L372" s="103" t="n"/>
    </row>
    <row r="373" ht="15" customHeight="1">
      <c r="A373" s="56" t="n"/>
      <c r="B373" s="29" t="inlineStr">
        <is>
          <t>10.3</t>
        </is>
      </c>
      <c r="C373" s="46" t="inlineStr">
        <is>
          <t>Бетонови работи</t>
        </is>
      </c>
      <c r="D373" s="29" t="inlineStr">
        <is>
          <t>C20/25</t>
        </is>
      </c>
      <c r="E373" s="62" t="inlineStr">
        <is>
          <t>m3</t>
        </is>
      </c>
      <c r="F373" s="108" t="n">
        <v>7.29</v>
      </c>
      <c r="G373" t="n">
        <v>99</v>
      </c>
      <c r="H373" t="n">
        <v>721.71</v>
      </c>
      <c r="I373" s="1" t="n"/>
      <c r="L373" s="103" t="n"/>
    </row>
    <row r="374" ht="15" customHeight="1">
      <c r="A374" s="56" t="n"/>
      <c r="B374" s="29" t="inlineStr">
        <is>
          <t>10.4</t>
        </is>
      </c>
      <c r="C374" s="46" t="inlineStr">
        <is>
          <t>Стоманена конструкция</t>
        </is>
      </c>
      <c r="D374" s="29" t="inlineStr">
        <is>
          <t xml:space="preserve">S235 </t>
        </is>
      </c>
      <c r="E374" s="48" t="inlineStr">
        <is>
          <t>kg</t>
        </is>
      </c>
      <c r="F374" s="108" t="n">
        <v>5162</v>
      </c>
      <c r="G374" t="n">
        <v>6</v>
      </c>
      <c r="H374" t="n">
        <v>30972</v>
      </c>
      <c r="I374" s="1" t="n"/>
      <c r="L374" s="103" t="n"/>
    </row>
    <row r="375" ht="15" customHeight="1">
      <c r="A375" s="56" t="n"/>
      <c r="B375" s="13" t="inlineStr">
        <is>
          <t>VI</t>
        </is>
      </c>
      <c r="C375" s="20" t="inlineStr">
        <is>
          <t>Част „Водоснабдяване и канализация“</t>
        </is>
      </c>
      <c r="D375" s="21" t="n"/>
      <c r="E375" s="21" t="n"/>
      <c r="F375" s="21" t="n"/>
      <c r="I375" s="1" t="n"/>
      <c r="L375" s="103" t="n"/>
    </row>
    <row r="376" ht="15" customHeight="1">
      <c r="A376" s="56" t="n"/>
      <c r="B376" s="24" t="inlineStr">
        <is>
          <t>1.</t>
        </is>
      </c>
      <c r="C376" s="84" t="inlineStr">
        <is>
          <t>Площадков водопровод</t>
        </is>
      </c>
      <c r="D376" s="102" t="n"/>
      <c r="E376" s="23" t="n"/>
      <c r="F376" s="23" t="n"/>
      <c r="I376" s="1" t="n"/>
      <c r="L376" s="103" t="n"/>
    </row>
    <row r="377" ht="45" customHeight="1">
      <c r="A377" s="56" t="n"/>
      <c r="B377" s="29" t="inlineStr">
        <is>
          <t>3.1</t>
        </is>
      </c>
      <c r="C377" s="93" t="inlineStr">
        <is>
          <t>Доставка и монтаж на полиетиленови тръби висока плътност DN20мм PN16 вкл.фитинги; Dвънш.=20мм, d=2мм, Dвътр.=16мм</t>
        </is>
      </c>
      <c r="D377" s="102" t="n"/>
      <c r="E377" s="11" t="inlineStr">
        <is>
          <t>m</t>
        </is>
      </c>
      <c r="F377" s="109" t="n">
        <v>20.5</v>
      </c>
      <c r="G377" t="n">
        <v>15</v>
      </c>
      <c r="H377" t="n">
        <v>307.5</v>
      </c>
      <c r="I377" s="1" t="n"/>
      <c r="L377" s="103" t="n"/>
    </row>
    <row r="378" ht="45" customHeight="1">
      <c r="A378" s="56" t="n"/>
      <c r="B378" s="29" t="inlineStr">
        <is>
          <t>3.2</t>
        </is>
      </c>
      <c r="C378" s="93" t="inlineStr">
        <is>
          <t>Доставка и монтаж на полиетиленови тръби висока плътност DN25мм PN10 вкл.фитинги; Dвънш.=25мм, d=2,3мм, Dвътр.=20,4мм</t>
        </is>
      </c>
      <c r="D378" s="102" t="n"/>
      <c r="E378" s="11" t="inlineStr">
        <is>
          <t>m</t>
        </is>
      </c>
      <c r="F378" s="109" t="n">
        <v>12.1</v>
      </c>
      <c r="G378" t="n">
        <v>10</v>
      </c>
      <c r="H378" t="n">
        <v>121</v>
      </c>
      <c r="I378" s="1" t="n"/>
      <c r="L378" s="103" t="n"/>
    </row>
    <row r="379" ht="45" customHeight="1">
      <c r="A379" s="56" t="n"/>
      <c r="B379" s="29" t="inlineStr">
        <is>
          <t>3.3</t>
        </is>
      </c>
      <c r="C379" s="93" t="inlineStr">
        <is>
          <t>Доставка и монтаж на полиетиленови тръби висока плътност DN32мм PN10 вкл.фитинги; Dвънш.=32мм, d=2мм, Dвътр.=28мм</t>
        </is>
      </c>
      <c r="D379" s="102" t="n"/>
      <c r="E379" s="11" t="inlineStr">
        <is>
          <t>m</t>
        </is>
      </c>
      <c r="F379" s="109" t="n">
        <v>62.7</v>
      </c>
      <c r="G379" t="n">
        <v>8</v>
      </c>
      <c r="H379" t="n">
        <v>501.6</v>
      </c>
      <c r="I379" s="1" t="n"/>
      <c r="L379" s="103" t="n"/>
    </row>
    <row r="380" ht="15" customHeight="1">
      <c r="A380" s="56" t="n"/>
      <c r="B380" s="29" t="inlineStr">
        <is>
          <t>3.4</t>
        </is>
      </c>
      <c r="C380" s="93" t="inlineStr">
        <is>
          <t>Доставка и монтаж на водовземна скоба ∅100/1"</t>
        </is>
      </c>
      <c r="D380" s="102" t="n"/>
      <c r="E380" s="11" t="inlineStr">
        <is>
          <t>бр.</t>
        </is>
      </c>
      <c r="F380" s="72" t="n">
        <v>1</v>
      </c>
      <c r="G380" t="n">
        <v>15</v>
      </c>
      <c r="H380" t="n">
        <v>15</v>
      </c>
      <c r="I380" s="1" t="n"/>
      <c r="L380" s="103" t="n"/>
    </row>
    <row r="381" ht="15" customHeight="1">
      <c r="A381" s="56" t="n"/>
      <c r="B381" s="29" t="inlineStr">
        <is>
          <t>3.5</t>
        </is>
      </c>
      <c r="C381" s="93" t="inlineStr">
        <is>
          <t>Доставка и монтаж на опорен блок</t>
        </is>
      </c>
      <c r="D381" s="102" t="n"/>
      <c r="E381" s="11" t="inlineStr">
        <is>
          <t>бр.</t>
        </is>
      </c>
      <c r="F381" s="72" t="n">
        <v>2</v>
      </c>
      <c r="G381" t="n">
        <v>200</v>
      </c>
      <c r="H381" t="n">
        <v>400</v>
      </c>
      <c r="I381" s="1" t="n"/>
      <c r="L381" s="103" t="n"/>
    </row>
    <row r="382" ht="30" customHeight="1">
      <c r="A382" s="56" t="n"/>
      <c r="B382" s="29" t="inlineStr">
        <is>
          <t>3.6</t>
        </is>
      </c>
      <c r="C382" s="93" t="inlineStr">
        <is>
          <t>Доставка и монтаж на тротоарен спирателен кран ∅1'' с охранителна гарнитура</t>
        </is>
      </c>
      <c r="D382" s="102" t="n"/>
      <c r="E382" s="11" t="inlineStr">
        <is>
          <t>бр.</t>
        </is>
      </c>
      <c r="F382" s="72" t="n">
        <v>2</v>
      </c>
      <c r="G382" t="n">
        <v>90</v>
      </c>
      <c r="H382" t="n">
        <v>180</v>
      </c>
      <c r="I382" s="1" t="n"/>
      <c r="L382" s="103" t="n"/>
    </row>
    <row r="383" ht="30" customHeight="1">
      <c r="A383" s="56" t="n"/>
      <c r="B383" s="29" t="inlineStr">
        <is>
          <t>3.7</t>
        </is>
      </c>
      <c r="C383" s="93" t="inlineStr">
        <is>
          <t>Доставка и монтаж на тротоарен спирателен кран ∅3/4" с охранителна гарнитура</t>
        </is>
      </c>
      <c r="D383" s="102" t="n"/>
      <c r="E383" s="11" t="inlineStr">
        <is>
          <t>бр.</t>
        </is>
      </c>
      <c r="F383" s="72" t="n">
        <v>2</v>
      </c>
      <c r="G383" t="n">
        <v>70</v>
      </c>
      <c r="H383" t="n">
        <v>140</v>
      </c>
      <c r="I383" s="1" t="n"/>
      <c r="L383" s="103" t="n"/>
    </row>
    <row r="384" ht="15" customHeight="1">
      <c r="A384" s="56" t="n"/>
      <c r="B384" s="29" t="inlineStr">
        <is>
          <t>3.8</t>
        </is>
      </c>
      <c r="C384" s="93" t="inlineStr">
        <is>
          <t>Направа на водомерна шахта по детайл</t>
        </is>
      </c>
      <c r="D384" s="102" t="n"/>
      <c r="E384" s="11" t="inlineStr">
        <is>
          <t>бр.</t>
        </is>
      </c>
      <c r="F384" s="72" t="n">
        <v>1</v>
      </c>
      <c r="G384" t="n">
        <v>200</v>
      </c>
      <c r="H384" t="n">
        <v>200</v>
      </c>
      <c r="I384" s="1" t="n"/>
      <c r="L384" s="103" t="n"/>
    </row>
    <row r="385" ht="30" customHeight="1">
      <c r="A385" s="56" t="n"/>
      <c r="B385" s="29" t="inlineStr">
        <is>
          <t>3.9</t>
        </is>
      </c>
      <c r="C385" s="93" t="inlineStr">
        <is>
          <t>Доставка и монтаж на коляно намалител DN32/DN25</t>
        </is>
      </c>
      <c r="D385" s="102" t="n"/>
      <c r="E385" s="11" t="inlineStr">
        <is>
          <t>бр.</t>
        </is>
      </c>
      <c r="F385" s="72" t="n">
        <v>2</v>
      </c>
      <c r="G385" t="n">
        <v>6</v>
      </c>
      <c r="H385" t="n">
        <v>12</v>
      </c>
      <c r="I385" s="1" t="n"/>
      <c r="L385" s="103" t="n"/>
    </row>
    <row r="386" ht="30" customHeight="1">
      <c r="A386" s="56" t="n"/>
      <c r="B386" s="29" t="inlineStr">
        <is>
          <t>3.10</t>
        </is>
      </c>
      <c r="C386" s="93" t="inlineStr">
        <is>
          <t>Доставка и монтаж на спирателен кран без изпразнител ∅1"</t>
        </is>
      </c>
      <c r="D386" s="102" t="n"/>
      <c r="E386" s="11" t="inlineStr">
        <is>
          <t>бр.</t>
        </is>
      </c>
      <c r="F386" s="72" t="n">
        <v>1</v>
      </c>
      <c r="G386" t="n">
        <v>15</v>
      </c>
      <c r="H386" t="n">
        <v>15</v>
      </c>
      <c r="I386" s="1" t="n"/>
      <c r="L386" s="103" t="n"/>
    </row>
    <row r="387" ht="15" customHeight="1">
      <c r="A387" s="56" t="n"/>
      <c r="B387" s="29" t="inlineStr">
        <is>
          <t>3.11</t>
        </is>
      </c>
      <c r="C387" s="93" t="inlineStr">
        <is>
          <t>Доставка и монтаж на мрежест филтър ∅1"</t>
        </is>
      </c>
      <c r="D387" s="102" t="n"/>
      <c r="E387" s="11" t="inlineStr">
        <is>
          <t>бр.</t>
        </is>
      </c>
      <c r="F387" s="72" t="n">
        <v>1</v>
      </c>
      <c r="G387" t="n">
        <v>40</v>
      </c>
      <c r="H387" t="n">
        <v>40</v>
      </c>
      <c r="I387" s="1" t="n"/>
      <c r="L387" s="103" t="n"/>
    </row>
    <row r="388" ht="30" customHeight="1">
      <c r="A388" s="56" t="n"/>
      <c r="B388" s="29" t="inlineStr">
        <is>
          <t>3.12</t>
        </is>
      </c>
      <c r="C388" s="93" t="inlineStr">
        <is>
          <t>Доставка и монтаж на водомер DN20 - Qз=4m3/h с възможност за дистанционно отчитане</t>
        </is>
      </c>
      <c r="D388" s="102" t="n"/>
      <c r="E388" s="11" t="inlineStr">
        <is>
          <t>бр.</t>
        </is>
      </c>
      <c r="F388" s="72" t="n">
        <v>1</v>
      </c>
      <c r="G388" t="n">
        <v>60</v>
      </c>
      <c r="H388" t="n">
        <v>60</v>
      </c>
      <c r="I388" s="1" t="n"/>
      <c r="L388" s="103" t="n"/>
    </row>
    <row r="389" ht="30" customHeight="1">
      <c r="A389" s="56" t="n"/>
      <c r="B389" s="29" t="inlineStr">
        <is>
          <t>3.13</t>
        </is>
      </c>
      <c r="C389" s="93" t="inlineStr">
        <is>
          <t>Доставка и монтаж на водомер DN15 - Qз=2,5m3/h с възможност за дистанционно отчитане</t>
        </is>
      </c>
      <c r="D389" s="102" t="n"/>
      <c r="E389" s="11" t="inlineStr">
        <is>
          <t>бр.</t>
        </is>
      </c>
      <c r="F389" s="72" t="n">
        <v>1</v>
      </c>
      <c r="G389" t="n">
        <v>40</v>
      </c>
      <c r="H389" t="n">
        <v>40</v>
      </c>
      <c r="I389" s="1" t="n"/>
      <c r="L389" s="103" t="n"/>
    </row>
    <row r="390" ht="30" customHeight="1">
      <c r="A390" s="56" t="n"/>
      <c r="B390" s="29" t="inlineStr">
        <is>
          <t>3.14</t>
        </is>
      </c>
      <c r="C390" s="93" t="inlineStr">
        <is>
          <t>Доставка и монтаж на водомерна шахта ф400 - готово изделие, комплект</t>
        </is>
      </c>
      <c r="D390" s="102" t="n"/>
      <c r="E390" s="11" t="inlineStr">
        <is>
          <t>бр.</t>
        </is>
      </c>
      <c r="F390" s="72" t="n">
        <v>1</v>
      </c>
      <c r="G390" t="n">
        <v>200</v>
      </c>
      <c r="H390" t="n">
        <v>200</v>
      </c>
      <c r="I390" s="1" t="n"/>
      <c r="L390" s="103" t="n"/>
    </row>
    <row r="391" ht="15" customHeight="1">
      <c r="A391" s="56" t="n"/>
      <c r="B391" s="29" t="inlineStr">
        <is>
          <t>3.15</t>
        </is>
      </c>
      <c r="C391" s="93" t="inlineStr">
        <is>
          <t>Доставка и монтаж на възвратна клапа DN20</t>
        </is>
      </c>
      <c r="D391" s="102" t="n"/>
      <c r="E391" s="11" t="inlineStr">
        <is>
          <t>бр.</t>
        </is>
      </c>
      <c r="F391" s="72" t="n">
        <v>1</v>
      </c>
      <c r="G391" t="n">
        <v>15</v>
      </c>
      <c r="H391" t="n">
        <v>15</v>
      </c>
      <c r="I391" s="1" t="n"/>
      <c r="L391" s="103" t="n"/>
    </row>
    <row r="392" ht="30" customHeight="1">
      <c r="A392" s="56" t="n"/>
      <c r="B392" s="29" t="inlineStr">
        <is>
          <t>3.16</t>
        </is>
      </c>
      <c r="C392" s="93" t="inlineStr">
        <is>
          <t>Доставка и монтаж на спирателен кран с изпразнител DN20</t>
        </is>
      </c>
      <c r="D392" s="102" t="n"/>
      <c r="E392" s="11" t="inlineStr">
        <is>
          <t>бр.</t>
        </is>
      </c>
      <c r="F392" s="72" t="n">
        <v>1</v>
      </c>
      <c r="G392" t="n">
        <v>18</v>
      </c>
      <c r="H392" t="n">
        <v>18</v>
      </c>
      <c r="I392" s="1" t="n"/>
      <c r="L392" s="103" t="n"/>
    </row>
    <row r="393" ht="15" customHeight="1">
      <c r="A393" s="56" t="n"/>
      <c r="B393" s="29" t="inlineStr">
        <is>
          <t>3.17</t>
        </is>
      </c>
      <c r="C393" s="93" t="inlineStr">
        <is>
          <t>Доставка и монтаж на възвратна клапа ∅1"</t>
        </is>
      </c>
      <c r="D393" s="102" t="n"/>
      <c r="E393" s="11" t="inlineStr">
        <is>
          <t>бр.</t>
        </is>
      </c>
      <c r="F393" s="72" t="n">
        <v>1</v>
      </c>
      <c r="G393" t="n">
        <v>20</v>
      </c>
      <c r="H393" t="n">
        <v>20</v>
      </c>
      <c r="I393" s="1" t="n"/>
      <c r="L393" s="103" t="n"/>
    </row>
    <row r="394" ht="30" customHeight="1">
      <c r="A394" s="56" t="n"/>
      <c r="B394" s="29" t="inlineStr">
        <is>
          <t>3.18</t>
        </is>
      </c>
      <c r="C394" s="93" t="inlineStr">
        <is>
          <t>Доставка и монтаж на спирателен кран с изпразнител ∅1"</t>
        </is>
      </c>
      <c r="D394" s="102" t="n"/>
      <c r="E394" s="11" t="inlineStr">
        <is>
          <t>бр.</t>
        </is>
      </c>
      <c r="F394" s="72" t="n">
        <v>1</v>
      </c>
      <c r="G394" t="n">
        <v>20</v>
      </c>
      <c r="H394" t="n">
        <v>20</v>
      </c>
      <c r="I394" s="1" t="n"/>
      <c r="L394" s="103" t="n"/>
    </row>
    <row r="395" ht="15" customHeight="1">
      <c r="A395" s="56" t="n"/>
      <c r="B395" s="29" t="inlineStr">
        <is>
          <t>3.19</t>
        </is>
      </c>
      <c r="C395" s="93" t="inlineStr">
        <is>
          <t>Пясъчна подложка 15см</t>
        </is>
      </c>
      <c r="D395" s="102" t="n"/>
      <c r="E395" s="11" t="inlineStr">
        <is>
          <t>m³</t>
        </is>
      </c>
      <c r="F395" s="6" t="n">
        <v>19.87755</v>
      </c>
      <c r="G395" t="n">
        <v>30</v>
      </c>
      <c r="H395" t="n">
        <v>596.33</v>
      </c>
      <c r="I395" s="1" t="n"/>
      <c r="L395" s="103" t="n"/>
    </row>
    <row r="396" ht="15" customHeight="1">
      <c r="A396" s="56" t="n"/>
      <c r="B396" s="29" t="inlineStr">
        <is>
          <t>3.20</t>
        </is>
      </c>
      <c r="C396" s="93" t="inlineStr">
        <is>
          <t>Обратна засипка от пясък 25см</t>
        </is>
      </c>
      <c r="D396" s="102" t="n"/>
      <c r="E396" s="11" t="inlineStr">
        <is>
          <t>m³</t>
        </is>
      </c>
      <c r="F396" s="6" t="n">
        <v>33.12925000000001</v>
      </c>
      <c r="G396" t="n">
        <v>30</v>
      </c>
      <c r="H396" t="n">
        <v>993.88</v>
      </c>
      <c r="I396" s="1" t="n"/>
      <c r="L396" s="103" t="n"/>
    </row>
    <row r="397" ht="15" customHeight="1">
      <c r="A397" s="56" t="n"/>
      <c r="B397" s="29" t="inlineStr">
        <is>
          <t>3.21</t>
        </is>
      </c>
      <c r="C397" s="96" t="inlineStr">
        <is>
          <t xml:space="preserve">Обратна засипка с баластра </t>
        </is>
      </c>
      <c r="D397" s="102" t="n"/>
      <c r="E397" s="11" t="inlineStr">
        <is>
          <t>m³</t>
        </is>
      </c>
      <c r="F397" s="6" t="n">
        <v>79.51020000000001</v>
      </c>
      <c r="G397" t="n">
        <v>28</v>
      </c>
      <c r="H397" t="n">
        <v>2226.29</v>
      </c>
      <c r="I397" s="1" t="n"/>
      <c r="L397" s="103" t="n"/>
    </row>
    <row r="398" ht="15" customHeight="1">
      <c r="A398" s="56" t="n"/>
      <c r="B398" s="29" t="inlineStr">
        <is>
          <t>3.22</t>
        </is>
      </c>
      <c r="C398" s="93" t="inlineStr">
        <is>
          <t>Изкоп с ширина 1,00м и средна дълбочина 1,40м</t>
        </is>
      </c>
      <c r="D398" s="102" t="n"/>
      <c r="E398" s="11" t="inlineStr">
        <is>
          <t>m³</t>
        </is>
      </c>
      <c r="F398" s="6" t="n">
        <v>132.517</v>
      </c>
      <c r="G398" t="n">
        <v>5</v>
      </c>
      <c r="H398" t="n">
        <v>662.59</v>
      </c>
      <c r="I398" s="1" t="n"/>
      <c r="L398" s="103" t="n"/>
    </row>
    <row r="399" ht="15" customHeight="1">
      <c r="A399" s="56" t="n"/>
      <c r="B399" s="29" t="inlineStr">
        <is>
          <t>3.23</t>
        </is>
      </c>
      <c r="C399" s="93" t="inlineStr">
        <is>
          <t>Извозване на земна маса на 15 км</t>
        </is>
      </c>
      <c r="D399" s="102" t="n"/>
      <c r="E399" s="11" t="inlineStr">
        <is>
          <t>m³</t>
        </is>
      </c>
      <c r="F399" s="6" t="n">
        <v>132.517</v>
      </c>
      <c r="G399" t="n">
        <v>5</v>
      </c>
      <c r="H399" t="n">
        <v>662.59</v>
      </c>
      <c r="I399" s="1" t="n"/>
      <c r="L399" s="103" t="n"/>
    </row>
    <row r="400" ht="15" customHeight="1">
      <c r="A400" s="56" t="n"/>
      <c r="B400" s="29" t="inlineStr">
        <is>
          <t>3.24</t>
        </is>
      </c>
      <c r="C400" s="93" t="inlineStr">
        <is>
          <t>Доставка и монтаж на сигнална лента</t>
        </is>
      </c>
      <c r="D400" s="102" t="n"/>
      <c r="E400" s="11" t="inlineStr">
        <is>
          <t>m</t>
        </is>
      </c>
      <c r="F400" s="6" t="n">
        <v>94.65500000000002</v>
      </c>
      <c r="G400" t="n">
        <v>1</v>
      </c>
      <c r="H400" t="n">
        <v>94.66</v>
      </c>
      <c r="I400" s="1" t="n"/>
      <c r="L400" s="103" t="n"/>
    </row>
    <row r="401" ht="15" customHeight="1">
      <c r="A401" s="56" t="n"/>
      <c r="B401" s="29" t="inlineStr">
        <is>
          <t>3.25</t>
        </is>
      </c>
      <c r="C401" s="93" t="inlineStr">
        <is>
          <t xml:space="preserve">Доставка и монтаж на детекторна лента </t>
        </is>
      </c>
      <c r="D401" s="102" t="n"/>
      <c r="E401" s="11" t="inlineStr">
        <is>
          <t>m</t>
        </is>
      </c>
      <c r="F401" s="6" t="n">
        <v>94.65500000000002</v>
      </c>
      <c r="G401" t="n">
        <v>3</v>
      </c>
      <c r="H401" t="n">
        <v>283.97</v>
      </c>
      <c r="I401" s="1" t="n"/>
      <c r="L401" s="103" t="n"/>
    </row>
    <row r="402" ht="15" customHeight="1">
      <c r="A402" s="56" t="n"/>
      <c r="B402" s="29" t="inlineStr">
        <is>
          <t>3.26</t>
        </is>
      </c>
      <c r="C402" s="93" t="inlineStr">
        <is>
          <t>Дезинфекция на водопровод</t>
        </is>
      </c>
      <c r="D402" s="102" t="n"/>
      <c r="E402" s="73" t="inlineStr">
        <is>
          <t>m</t>
        </is>
      </c>
      <c r="F402" s="6" t="n">
        <v>94.65500000000002</v>
      </c>
      <c r="G402" t="n">
        <v>1</v>
      </c>
      <c r="H402" t="n">
        <v>94.66</v>
      </c>
      <c r="I402" s="1" t="n"/>
      <c r="L402" s="103" t="n"/>
    </row>
    <row r="403" ht="30" customHeight="1">
      <c r="A403" s="56" t="n"/>
      <c r="B403" s="29" t="inlineStr">
        <is>
          <t>3.27</t>
        </is>
      </c>
      <c r="C403" s="93" t="inlineStr">
        <is>
          <t>Изпитване на якост и 72-часови проби на водопровода</t>
        </is>
      </c>
      <c r="D403" s="102" t="n"/>
      <c r="E403" s="73" t="inlineStr">
        <is>
          <t>m</t>
        </is>
      </c>
      <c r="F403" s="6" t="n">
        <v>94.65500000000002</v>
      </c>
      <c r="G403" t="n">
        <v>1</v>
      </c>
      <c r="H403" t="n">
        <v>94.66</v>
      </c>
      <c r="I403" s="1" t="n"/>
      <c r="L403" s="103" t="n"/>
    </row>
    <row r="404" ht="15" customHeight="1">
      <c r="A404" s="56" t="n"/>
      <c r="B404" s="24" t="inlineStr">
        <is>
          <t>2.</t>
        </is>
      </c>
      <c r="C404" s="84" t="inlineStr">
        <is>
          <t>Площадкова канализация - битова</t>
        </is>
      </c>
      <c r="D404" s="102" t="n"/>
      <c r="E404" s="23" t="n"/>
      <c r="F404" s="23" t="n"/>
      <c r="I404" s="1" t="n"/>
      <c r="L404" s="103" t="n"/>
    </row>
    <row r="405" ht="45" customHeight="1">
      <c r="A405" s="56" t="n"/>
      <c r="B405" s="29" t="inlineStr">
        <is>
          <t>4.1</t>
        </is>
      </c>
      <c r="C405" s="93" t="inlineStr">
        <is>
          <t>Доставка и монтаж на усилени PVC-U тръби DN110; SN10 вкл.фитинги; Dвънш.=110мм, d=3,2мм, Dвътр.=103,6мм</t>
        </is>
      </c>
      <c r="D405" s="102" t="n"/>
      <c r="E405" s="73" t="inlineStr">
        <is>
          <t>m</t>
        </is>
      </c>
      <c r="F405" s="109" t="n">
        <v>5.3</v>
      </c>
      <c r="G405" t="n">
        <v>15</v>
      </c>
      <c r="H405" t="n">
        <v>79.5</v>
      </c>
      <c r="I405" s="1" t="n"/>
      <c r="L405" s="103" t="n"/>
    </row>
    <row r="406" ht="45" customHeight="1">
      <c r="A406" s="56" t="n"/>
      <c r="B406" s="29" t="inlineStr">
        <is>
          <t>4.2</t>
        </is>
      </c>
      <c r="C406" s="93" t="inlineStr">
        <is>
          <t>Доставка и монтаж на усилени PVC-U тръби DN160; SN10 вкл.фитинги; Dвънш.=160мм, d=4,7мм, Dвътр.=150,6мм</t>
        </is>
      </c>
      <c r="D406" s="102" t="n"/>
      <c r="E406" s="73" t="inlineStr">
        <is>
          <t>m</t>
        </is>
      </c>
      <c r="F406" s="109" t="n">
        <v>79.59999999999999</v>
      </c>
      <c r="G406" t="n">
        <v>25</v>
      </c>
      <c r="H406" t="n">
        <v>1990</v>
      </c>
      <c r="I406" s="1" t="n"/>
      <c r="L406" s="103" t="n"/>
    </row>
    <row r="407" ht="30" customHeight="1">
      <c r="A407" s="56" t="n"/>
      <c r="B407" s="29" t="inlineStr">
        <is>
          <t>4.3</t>
        </is>
      </c>
      <c r="C407" s="93" t="inlineStr">
        <is>
          <t>Доставка и монтаж на подов сифон DN100 /във водомерната шахта/</t>
        </is>
      </c>
      <c r="D407" s="102" t="n"/>
      <c r="E407" s="11" t="inlineStr">
        <is>
          <t>бр.</t>
        </is>
      </c>
      <c r="F407" s="72" t="n">
        <v>1</v>
      </c>
      <c r="G407" t="n">
        <v>30</v>
      </c>
      <c r="H407" t="n">
        <v>30</v>
      </c>
      <c r="I407" s="1" t="n"/>
      <c r="L407" s="103" t="n"/>
    </row>
    <row r="408" ht="60" customHeight="1">
      <c r="A408" s="56" t="n"/>
      <c r="B408" s="29" t="inlineStr">
        <is>
          <t>4.4</t>
        </is>
      </c>
      <c r="C408" s="97" t="inlineStr">
        <is>
          <t>Ревизионна шахта от готови сглобяеми бетонови пръстени ∅1000 в комплект с капак за ревизионна шахта (КРШ) , бетонови сегменти и чугунен капак ∅600 с гривна, монолитно дъно /H=2-3m/</t>
        </is>
      </c>
      <c r="D408" s="102" t="n"/>
      <c r="E408" s="11" t="inlineStr">
        <is>
          <t>бр.</t>
        </is>
      </c>
      <c r="F408" s="72" t="n">
        <v>4</v>
      </c>
      <c r="G408" t="n">
        <v>230</v>
      </c>
      <c r="H408" t="n">
        <v>920</v>
      </c>
      <c r="I408" s="1" t="n"/>
      <c r="L408" s="103" t="n"/>
    </row>
    <row r="409" ht="60" customHeight="1">
      <c r="A409" s="56" t="n"/>
      <c r="B409" s="29" t="inlineStr">
        <is>
          <t>4.5</t>
        </is>
      </c>
      <c r="C409" s="97" t="inlineStr">
        <is>
          <t>Ревизионна шахта от готови сглобяеми бетонови пръстени ∅1000 в комплект с капак за ревизионна шахта (КРШ) , бетонови сегменти и чугунен капак ∅600 с гривна, монолитно дъно /H=1-2m/</t>
        </is>
      </c>
      <c r="D409" s="102" t="n"/>
      <c r="E409" s="11" t="inlineStr">
        <is>
          <t>бр.</t>
        </is>
      </c>
      <c r="F409" s="72" t="n">
        <v>1</v>
      </c>
      <c r="G409" t="n">
        <v>210</v>
      </c>
      <c r="H409" t="n">
        <v>210</v>
      </c>
      <c r="I409" s="1" t="n"/>
      <c r="L409" s="103" t="n"/>
    </row>
    <row r="410" ht="30" customHeight="1">
      <c r="A410" s="56" t="n"/>
      <c r="B410" s="29" t="inlineStr">
        <is>
          <t>4.6</t>
        </is>
      </c>
      <c r="C410" s="97" t="inlineStr">
        <is>
          <t>Изпитване на хоризонтална канализация на водоплътност</t>
        </is>
      </c>
      <c r="D410" s="102" t="n"/>
      <c r="E410" s="73" t="inlineStr">
        <is>
          <t>m</t>
        </is>
      </c>
      <c r="F410" s="6" t="n">
        <v>104.61</v>
      </c>
      <c r="G410" t="n">
        <v>2</v>
      </c>
      <c r="H410" t="n">
        <v>209.22</v>
      </c>
      <c r="I410" s="1" t="n"/>
      <c r="L410" s="103" t="n"/>
    </row>
    <row r="411" ht="15" customHeight="1">
      <c r="A411" s="56" t="n"/>
      <c r="B411" s="29" t="inlineStr">
        <is>
          <t>4.7</t>
        </is>
      </c>
      <c r="C411" s="93" t="inlineStr">
        <is>
          <t>Пясъчна подложка 15см</t>
        </is>
      </c>
      <c r="D411" s="102" t="n"/>
      <c r="E411" s="11" t="inlineStr">
        <is>
          <t>m³</t>
        </is>
      </c>
      <c r="F411" s="6" t="n">
        <v>15.6915</v>
      </c>
      <c r="G411" t="n">
        <v>30</v>
      </c>
      <c r="H411" t="n">
        <v>470.75</v>
      </c>
      <c r="I411" s="1" t="n"/>
      <c r="L411" s="103" t="n"/>
    </row>
    <row r="412" ht="15" customHeight="1">
      <c r="A412" s="56" t="n"/>
      <c r="B412" s="29" t="inlineStr">
        <is>
          <t>4.9</t>
        </is>
      </c>
      <c r="C412" s="93" t="inlineStr">
        <is>
          <t>Обратна засипка от пясък 25см</t>
        </is>
      </c>
      <c r="D412" s="102" t="n"/>
      <c r="E412" s="11" t="inlineStr">
        <is>
          <t>m³</t>
        </is>
      </c>
      <c r="F412" s="6" t="n">
        <v>26.1525</v>
      </c>
      <c r="G412" t="n">
        <v>30</v>
      </c>
      <c r="H412" t="n">
        <v>784.58</v>
      </c>
      <c r="I412" s="1" t="n"/>
      <c r="L412" s="103" t="n"/>
    </row>
    <row r="413" ht="15" customHeight="1">
      <c r="A413" s="56" t="n"/>
      <c r="B413" s="29" t="inlineStr">
        <is>
          <t>4.8</t>
        </is>
      </c>
      <c r="C413" s="93" t="inlineStr">
        <is>
          <t xml:space="preserve">Обратна засипка с баластра </t>
        </is>
      </c>
      <c r="D413" s="102" t="n"/>
      <c r="E413" s="11" t="inlineStr">
        <is>
          <t>m³</t>
        </is>
      </c>
      <c r="F413" s="6" t="n">
        <v>576.356</v>
      </c>
      <c r="G413" t="n">
        <v>28</v>
      </c>
      <c r="H413" t="n">
        <v>16137.97</v>
      </c>
      <c r="I413" s="1" t="n"/>
      <c r="L413" s="103" t="n"/>
    </row>
    <row r="414" ht="15" customHeight="1">
      <c r="A414" s="56" t="n"/>
      <c r="B414" s="29" t="inlineStr">
        <is>
          <t>4.9</t>
        </is>
      </c>
      <c r="C414" s="93" t="inlineStr">
        <is>
          <t>Изкоп с ширина 1,20м</t>
        </is>
      </c>
      <c r="D414" s="102" t="n"/>
      <c r="E414" s="11" t="inlineStr">
        <is>
          <t>m³</t>
        </is>
      </c>
      <c r="F414" s="6" t="n">
        <v>618.2</v>
      </c>
      <c r="G414" t="n">
        <v>10</v>
      </c>
      <c r="H414" t="n">
        <v>6182</v>
      </c>
      <c r="I414" s="1" t="n"/>
      <c r="L414" s="103" t="n"/>
    </row>
    <row r="415" ht="15" customHeight="1">
      <c r="A415" s="56" t="n"/>
      <c r="B415" s="29" t="inlineStr">
        <is>
          <t>4.10</t>
        </is>
      </c>
      <c r="C415" s="93" t="inlineStr">
        <is>
          <t>Извозване на земна маса на 15 км</t>
        </is>
      </c>
      <c r="D415" s="102" t="n"/>
      <c r="E415" s="11" t="inlineStr">
        <is>
          <t>m³</t>
        </is>
      </c>
      <c r="F415" s="6" t="n">
        <v>618.2</v>
      </c>
      <c r="G415" t="n">
        <v>5</v>
      </c>
      <c r="H415" t="n">
        <v>3091</v>
      </c>
      <c r="I415" s="1" t="n"/>
      <c r="L415" s="103" t="n"/>
    </row>
    <row r="416">
      <c r="A416" s="56" t="n"/>
      <c r="B416" s="13" t="inlineStr">
        <is>
          <t>VII</t>
        </is>
      </c>
      <c r="C416" s="20" t="inlineStr">
        <is>
          <t>Част „Електрическа“</t>
        </is>
      </c>
      <c r="D416" s="74" t="n"/>
      <c r="E416" s="74" t="n"/>
      <c r="F416" s="74" t="n"/>
      <c r="I416" s="1" t="n"/>
      <c r="L416" s="103" t="n"/>
    </row>
    <row r="417" ht="15" customHeight="1">
      <c r="A417" s="56" t="n"/>
      <c r="B417" s="85" t="inlineStr">
        <is>
          <t>1.</t>
        </is>
      </c>
      <c r="C417" s="86" t="inlineStr">
        <is>
          <t>Електрическа инсталация с осветление</t>
        </is>
      </c>
      <c r="D417" s="102" t="n"/>
      <c r="E417" s="41" t="n"/>
      <c r="F417" s="41" t="n"/>
      <c r="I417" s="1" t="n"/>
      <c r="L417" s="103" t="n"/>
    </row>
    <row r="418" ht="15" customHeight="1">
      <c r="A418" s="56" t="n"/>
      <c r="B418" s="29" t="inlineStr">
        <is>
          <t>1.1</t>
        </is>
      </c>
      <c r="C418" s="98" t="inlineStr">
        <is>
          <t>Трасиране на кабелна линия</t>
        </is>
      </c>
      <c r="D418" s="102" t="n"/>
      <c r="E418" s="4" t="inlineStr">
        <is>
          <t>m</t>
        </is>
      </c>
      <c r="F418" s="4" t="n">
        <v>350</v>
      </c>
      <c r="G418" t="n">
        <v>1</v>
      </c>
      <c r="H418" t="n">
        <v>350</v>
      </c>
      <c r="I418" s="1" t="n"/>
      <c r="L418" s="103" t="n"/>
    </row>
    <row r="419" ht="30" customHeight="1">
      <c r="A419" s="56" t="n"/>
      <c r="B419" s="29" t="inlineStr">
        <is>
          <t>1.2</t>
        </is>
      </c>
      <c r="C419" s="98" t="inlineStr">
        <is>
          <t>Направа на изкоп със извозване и складиране на земна маса, обратно засипване и трамбоване</t>
        </is>
      </c>
      <c r="D419" s="102" t="n"/>
      <c r="E419" s="4" t="inlineStr">
        <is>
          <t>m</t>
        </is>
      </c>
      <c r="F419" s="4" t="n">
        <v>350</v>
      </c>
      <c r="G419" t="n">
        <v>9.5</v>
      </c>
      <c r="H419" t="n">
        <v>3325</v>
      </c>
      <c r="I419" s="1" t="n"/>
      <c r="L419" s="103" t="n"/>
    </row>
    <row r="420" ht="30" customHeight="1">
      <c r="A420" s="56" t="n"/>
      <c r="B420" s="29" t="inlineStr">
        <is>
          <t>1.3</t>
        </is>
      </c>
      <c r="C420" s="98" t="inlineStr">
        <is>
          <t>Доставка и монтаж на фабрична кабелна шахта, в комплект с капак</t>
        </is>
      </c>
      <c r="D420" s="102" t="n"/>
      <c r="E420" s="4" t="inlineStr">
        <is>
          <t>бр.</t>
        </is>
      </c>
      <c r="F420" s="4" t="n">
        <v>25</v>
      </c>
      <c r="G420" t="n">
        <v>40.9</v>
      </c>
      <c r="H420" t="n">
        <v>1022.5</v>
      </c>
      <c r="I420" s="1" t="n"/>
      <c r="L420" s="103" t="n"/>
    </row>
    <row r="421" ht="15" customHeight="1">
      <c r="A421" s="56" t="n"/>
      <c r="B421" s="29" t="inlineStr">
        <is>
          <t>1.4</t>
        </is>
      </c>
      <c r="C421" s="98" t="inlineStr">
        <is>
          <t>Доставка и полагане на гофрирана тръба</t>
        </is>
      </c>
      <c r="D421" s="102" t="n"/>
      <c r="E421" s="4" t="inlineStr">
        <is>
          <t>m</t>
        </is>
      </c>
      <c r="F421" s="4" t="n">
        <v>850</v>
      </c>
      <c r="G421" t="n">
        <v>3.01</v>
      </c>
      <c r="H421" t="n">
        <v>2558.5</v>
      </c>
      <c r="I421" s="1" t="n"/>
      <c r="L421" s="103" t="n"/>
    </row>
    <row r="422" ht="15" customHeight="1">
      <c r="A422" s="56" t="n"/>
      <c r="B422" s="29" t="inlineStr">
        <is>
          <t>1.5</t>
        </is>
      </c>
      <c r="C422" s="98" t="inlineStr">
        <is>
          <t>Доставка и полагане на гофрирана тръба</t>
        </is>
      </c>
      <c r="D422" s="102" t="n"/>
      <c r="E422" s="4" t="inlineStr">
        <is>
          <t>m</t>
        </is>
      </c>
      <c r="F422" s="4" t="n">
        <v>200</v>
      </c>
      <c r="G422" t="n">
        <v>3.01</v>
      </c>
      <c r="H422" t="n">
        <v>602</v>
      </c>
      <c r="I422" s="1" t="n"/>
      <c r="L422" s="103" t="n"/>
    </row>
    <row r="423" ht="15" customHeight="1">
      <c r="A423" s="56" t="n"/>
      <c r="B423" s="29" t="inlineStr">
        <is>
          <t>1.6</t>
        </is>
      </c>
      <c r="C423" s="98" t="inlineStr">
        <is>
          <t>Доставка и полагане на PVC сигнална лента</t>
        </is>
      </c>
      <c r="D423" s="102" t="n"/>
      <c r="E423" s="4" t="inlineStr">
        <is>
          <t>m</t>
        </is>
      </c>
      <c r="F423" s="4" t="n">
        <v>400</v>
      </c>
      <c r="G423" t="n">
        <v>0.31</v>
      </c>
      <c r="H423" t="n">
        <v>124</v>
      </c>
      <c r="I423" s="1" t="n"/>
      <c r="L423" s="103" t="n"/>
    </row>
    <row r="424" ht="45" customHeight="1">
      <c r="A424" s="56" t="n"/>
      <c r="B424" s="29" t="inlineStr">
        <is>
          <t>1.7</t>
        </is>
      </c>
      <c r="C424" s="98" t="inlineStr">
        <is>
          <t>Изкопаване на земна маса и направа на фундамент за стълб за алейно осветление по изисквания на производителя</t>
        </is>
      </c>
      <c r="D424" s="102" t="n"/>
      <c r="E424" s="4" t="inlineStr">
        <is>
          <t>бр.</t>
        </is>
      </c>
      <c r="F424" s="4" t="n">
        <v>19</v>
      </c>
      <c r="G424" t="n">
        <v>76.7</v>
      </c>
      <c r="H424" t="n">
        <v>1457.3</v>
      </c>
      <c r="I424" s="1" t="n"/>
      <c r="L424" s="103" t="n"/>
    </row>
    <row r="425" ht="45" customHeight="1">
      <c r="A425" s="56" t="n"/>
      <c r="B425" s="29" t="inlineStr">
        <is>
          <t>1.8</t>
        </is>
      </c>
      <c r="C425" s="98" t="inlineStr">
        <is>
          <t>Доставка и монтаж на парково осветително тяло с LED 30W, IP44, в комплект с монтажен стълб с височина 4.00m над терена, Цвят - сив, RAL 7024</t>
        </is>
      </c>
      <c r="D425" s="102" t="n"/>
      <c r="E425" s="4" t="inlineStr">
        <is>
          <t>бр.</t>
        </is>
      </c>
      <c r="F425" s="75" t="n">
        <v>19</v>
      </c>
      <c r="G425" t="n">
        <v>470.4</v>
      </c>
      <c r="H425" t="n">
        <v>8937.6</v>
      </c>
      <c r="I425" s="1" t="n"/>
      <c r="L425" s="103" t="n"/>
    </row>
    <row r="426" ht="45" customHeight="1">
      <c r="A426" s="56" t="n"/>
      <c r="B426" s="29" t="inlineStr">
        <is>
          <t>1.9</t>
        </is>
      </c>
      <c r="C426" s="98" t="inlineStr">
        <is>
          <t>Доставка и монтаж на клемна кутия с автоматичен прекъсвач за монтаж в стълб от алейното осветление</t>
        </is>
      </c>
      <c r="D426" s="102" t="n"/>
      <c r="E426" s="4" t="inlineStr">
        <is>
          <t>бр.</t>
        </is>
      </c>
      <c r="F426" s="4" t="n">
        <v>19</v>
      </c>
      <c r="G426" t="n">
        <v>51.13</v>
      </c>
      <c r="H426" t="n">
        <v>971.47</v>
      </c>
      <c r="I426" s="1" t="n"/>
      <c r="L426" s="103" t="n"/>
    </row>
    <row r="427">
      <c r="A427" s="56" t="n"/>
      <c r="B427" s="29" t="inlineStr">
        <is>
          <t>1.10</t>
        </is>
      </c>
      <c r="C427" s="98" t="inlineStr">
        <is>
          <t>Доставка и полагане на кабел СВТ 3x1,5mm²</t>
        </is>
      </c>
      <c r="D427" s="102" t="n"/>
      <c r="E427" s="4" t="inlineStr">
        <is>
          <t>m</t>
        </is>
      </c>
      <c r="F427" s="4" t="n">
        <v>100</v>
      </c>
      <c r="G427" t="n">
        <v>2.66</v>
      </c>
      <c r="H427" t="n">
        <v>266</v>
      </c>
      <c r="I427" s="1" t="n"/>
      <c r="L427" s="103" t="n"/>
    </row>
    <row r="428" ht="15" customHeight="1">
      <c r="A428" s="56" t="n"/>
      <c r="B428" s="29" t="inlineStr">
        <is>
          <t>1.11</t>
        </is>
      </c>
      <c r="C428" s="98" t="inlineStr">
        <is>
          <t>Доставка и изтегляне на кабел САВТ 5x4mm²</t>
        </is>
      </c>
      <c r="D428" s="102" t="n"/>
      <c r="E428" s="4" t="inlineStr">
        <is>
          <t>m</t>
        </is>
      </c>
      <c r="F428" s="4" t="n">
        <v>350</v>
      </c>
      <c r="G428" t="n">
        <v>3.98</v>
      </c>
      <c r="H428" t="n">
        <v>1393</v>
      </c>
      <c r="I428" s="1" t="n"/>
      <c r="L428" s="103" t="n"/>
    </row>
    <row r="429" ht="30" customHeight="1">
      <c r="A429" s="56" t="n"/>
      <c r="B429" s="29" t="inlineStr">
        <is>
          <t>1.12</t>
        </is>
      </c>
      <c r="C429" s="98" t="inlineStr">
        <is>
          <t>Доставка и монтаж на ел. Табло Тпарк, в комплект с изготвяне на монтажен фундамент</t>
        </is>
      </c>
      <c r="D429" s="102" t="n"/>
      <c r="E429" s="4" t="inlineStr">
        <is>
          <t>бр.</t>
        </is>
      </c>
      <c r="F429" s="4" t="n">
        <v>1</v>
      </c>
      <c r="G429" t="n">
        <v>2100</v>
      </c>
      <c r="H429" t="n">
        <v>2100</v>
      </c>
      <c r="I429" s="1" t="n"/>
      <c r="L429" s="103" t="n"/>
    </row>
    <row r="430" ht="30" customHeight="1">
      <c r="A430" s="56" t="n"/>
      <c r="B430" s="29" t="inlineStr">
        <is>
          <t>1.13</t>
        </is>
      </c>
      <c r="C430" s="98" t="inlineStr">
        <is>
          <t>Доставка и монтаж на ел. Табло ТЕПО, в комплект с изготвяне на монтажен фундамент</t>
        </is>
      </c>
      <c r="D430" s="102" t="n"/>
      <c r="E430" s="4" t="inlineStr">
        <is>
          <t>бр.</t>
        </is>
      </c>
      <c r="F430" s="4" t="n">
        <v>1</v>
      </c>
      <c r="G430" t="n">
        <v>1750</v>
      </c>
      <c r="H430" t="n">
        <v>1750</v>
      </c>
      <c r="I430" s="1" t="n"/>
      <c r="L430" s="103" t="n"/>
    </row>
    <row r="431" ht="15" customHeight="1">
      <c r="A431" s="56" t="n"/>
      <c r="B431" s="29" t="inlineStr">
        <is>
          <t>1.14</t>
        </is>
      </c>
      <c r="C431" s="98" t="inlineStr">
        <is>
          <t>Доставка и полагане на неръждаема шина</t>
        </is>
      </c>
      <c r="D431" s="102" t="n"/>
      <c r="E431" s="4" t="inlineStr">
        <is>
          <t>m</t>
        </is>
      </c>
      <c r="F431" s="4" t="n">
        <v>40</v>
      </c>
      <c r="G431" t="n">
        <v>14.39</v>
      </c>
      <c r="H431" t="n">
        <v>575.6</v>
      </c>
      <c r="I431" s="1" t="n"/>
      <c r="L431" s="103" t="n"/>
    </row>
    <row r="432" ht="45" customHeight="1">
      <c r="A432" s="56" t="n"/>
      <c r="B432" s="29" t="inlineStr">
        <is>
          <t>1.15</t>
        </is>
      </c>
      <c r="C432" s="98" t="inlineStr">
        <is>
          <t>Доставка и направа на заземител от комплект заземителни колове от неръждаема стомана, забити вертикално</t>
        </is>
      </c>
      <c r="D432" s="102" t="n"/>
      <c r="E432" s="4" t="inlineStr">
        <is>
          <t>бр.</t>
        </is>
      </c>
      <c r="F432" s="4" t="n">
        <v>15</v>
      </c>
      <c r="G432" t="n">
        <v>127.82</v>
      </c>
      <c r="H432" t="n">
        <v>1917.3</v>
      </c>
      <c r="I432" s="1" t="n"/>
      <c r="L432" s="103" t="n"/>
    </row>
    <row r="433" ht="30" customHeight="1">
      <c r="A433" s="56" t="n"/>
      <c r="B433" s="29" t="inlineStr">
        <is>
          <t>1.16</t>
        </is>
      </c>
      <c r="C433" s="98" t="inlineStr">
        <is>
          <t>Доставка и монтаж на неръждаеми клеми за връзка</t>
        </is>
      </c>
      <c r="D433" s="102" t="n"/>
      <c r="E433" s="4" t="inlineStr">
        <is>
          <t>бр.</t>
        </is>
      </c>
      <c r="F433" s="4" t="n">
        <v>12</v>
      </c>
      <c r="G433" t="n">
        <v>11.25</v>
      </c>
      <c r="H433" t="n">
        <v>135</v>
      </c>
      <c r="I433" s="1" t="n"/>
      <c r="L433" s="103" t="n"/>
    </row>
    <row r="434" ht="30" customHeight="1">
      <c r="A434" s="56" t="n"/>
      <c r="B434" s="29" t="inlineStr">
        <is>
          <t>1.17</t>
        </is>
      </c>
      <c r="C434" s="98" t="inlineStr">
        <is>
          <t>Доставка и монтаж на неръждаеми клеми за връзка  шина към метална конструкция</t>
        </is>
      </c>
      <c r="D434" s="102" t="n"/>
      <c r="E434" s="4" t="inlineStr">
        <is>
          <t>бр.</t>
        </is>
      </c>
      <c r="F434" s="4" t="n">
        <v>3</v>
      </c>
      <c r="G434" t="n">
        <v>10.23</v>
      </c>
      <c r="H434" t="n">
        <v>30.69</v>
      </c>
      <c r="I434" s="1" t="n"/>
      <c r="L434" s="103" t="n"/>
    </row>
    <row r="435" ht="45" customHeight="1">
      <c r="A435" s="56" t="n"/>
      <c r="B435" s="29" t="inlineStr">
        <is>
          <t>1.18</t>
        </is>
      </c>
      <c r="C435" s="98" t="inlineStr">
        <is>
          <t>Измерване на преходното съпротивление на заземителната инсталация от акредитирана лаборатория</t>
        </is>
      </c>
      <c r="D435" s="102" t="n"/>
      <c r="E435" s="4" t="inlineStr">
        <is>
          <t>бр.</t>
        </is>
      </c>
      <c r="F435" s="4" t="n">
        <v>12</v>
      </c>
      <c r="G435" t="n">
        <v>25.56</v>
      </c>
      <c r="H435" t="n">
        <v>306.72</v>
      </c>
      <c r="I435" s="1" t="n"/>
      <c r="L435" s="103" t="n"/>
    </row>
    <row r="436" ht="45" customHeight="1">
      <c r="A436" s="56" t="n"/>
      <c r="B436" s="29" t="inlineStr">
        <is>
          <t>1.19</t>
        </is>
      </c>
      <c r="C436" s="98" t="inlineStr">
        <is>
          <t>Протокол за измерване на импеданса на контура фаза - защитен проводник от акредитирана лаборатория</t>
        </is>
      </c>
      <c r="D436" s="102" t="n"/>
      <c r="E436" s="4" t="inlineStr">
        <is>
          <t>к-т</t>
        </is>
      </c>
      <c r="F436" s="4" t="n">
        <v>1</v>
      </c>
      <c r="G436" t="n">
        <v>510</v>
      </c>
      <c r="H436" t="n">
        <v>510</v>
      </c>
      <c r="I436" s="1" t="n"/>
      <c r="L436" s="103" t="n"/>
    </row>
    <row r="437">
      <c r="A437" s="56" t="n"/>
      <c r="B437" s="85" t="inlineStr">
        <is>
          <t>2.</t>
        </is>
      </c>
      <c r="C437" s="86" t="inlineStr">
        <is>
          <t>Видеонаблюдение</t>
        </is>
      </c>
      <c r="D437" s="102" t="n"/>
      <c r="E437" s="41" t="n"/>
      <c r="F437" s="41" t="n"/>
      <c r="I437" s="1" t="n"/>
      <c r="L437" s="103" t="n"/>
    </row>
    <row r="438">
      <c r="A438" s="56" t="n"/>
      <c r="B438" s="29" t="inlineStr">
        <is>
          <t>2.1</t>
        </is>
      </c>
      <c r="C438" s="99" t="inlineStr">
        <is>
          <t xml:space="preserve">Доставка и монтаж на мегапикселова камера Ден/Нощ; 2.0 Мегапиксел (Full HD 1920×1080@25 кад/сек); 1/2.8" Progressive Scan CMOS сензор; 0.01lux; IP осв. до 50м; варифокален обектив (2.8-12 mm)/F1.2 с дистанционна настройка (Smart Focus); механичен IP филтър; H.264/MJPEG tri-stream компресия; алармен вход/изход; 120db WRD, Интелигентни функции: пресичане на линия, навлизане в зона, оставен/изчезнал предмет/детекция на лица/; слот за SD карта (до 64GB); външен монтаж IP67 от -30°С до +60°С, 12Vdc/Poe, в комплект със стойка със скрито окабеляване; </t>
        </is>
      </c>
      <c r="D438" s="102" t="n"/>
      <c r="E438" s="3" t="inlineStr">
        <is>
          <t>бр.</t>
        </is>
      </c>
      <c r="F438" s="4" t="n">
        <v>7</v>
      </c>
      <c r="G438" t="n">
        <v>412.56</v>
      </c>
      <c r="H438" t="n">
        <v>2887.92</v>
      </c>
      <c r="I438" s="1" t="n"/>
      <c r="L438" s="103" t="n"/>
    </row>
    <row r="439">
      <c r="A439" s="56" t="n"/>
      <c r="B439" s="29" t="inlineStr">
        <is>
          <t>2.2</t>
        </is>
      </c>
      <c r="C439" s="99" t="inlineStr">
        <is>
          <t>Доставка и монтаж на 8-канален мрежови рекордер/сървър; поддържа 8 IP  камери; входящ капацитет до 200Mbps; компресия H.264; USB2.0 порт; до 4xSATA твърди диска (до 4TB/диск); 16 алармени входа/4 изхода; HDMI + VGA мониторен изход; управление с мишка; регулируем обем на трафика по мрежата на всеки канал; наблюдение през Intermet/LAN/мобилен телефон; безплатен CMS софтуер, без HDD, 19"/1.5U rackmount</t>
        </is>
      </c>
      <c r="D439" s="102" t="n"/>
      <c r="E439" s="3" t="inlineStr">
        <is>
          <t>бр.</t>
        </is>
      </c>
      <c r="F439" s="4" t="n">
        <v>1</v>
      </c>
      <c r="G439" t="n">
        <v>1478</v>
      </c>
      <c r="H439" t="n">
        <v>1478</v>
      </c>
      <c r="I439" s="1" t="n"/>
      <c r="L439" s="103" t="n"/>
    </row>
    <row r="440" ht="15" customHeight="1">
      <c r="A440" s="56" t="n"/>
      <c r="B440" s="29" t="inlineStr">
        <is>
          <t>2.3</t>
        </is>
      </c>
      <c r="C440" s="98" t="inlineStr">
        <is>
          <t>Доставка и монтаж на твърд диск 4000GB</t>
        </is>
      </c>
      <c r="D440" s="102" t="n"/>
      <c r="E440" s="11" t="inlineStr">
        <is>
          <t>бр.</t>
        </is>
      </c>
      <c r="F440" s="4" t="n">
        <v>1</v>
      </c>
      <c r="G440" t="n">
        <v>175.12</v>
      </c>
      <c r="H440" t="n">
        <v>175.12</v>
      </c>
      <c r="I440" s="1" t="n"/>
      <c r="L440" s="103" t="n"/>
    </row>
    <row r="441" ht="45" customHeight="1">
      <c r="A441" s="56" t="n"/>
      <c r="B441" s="29" t="inlineStr">
        <is>
          <t>2.4</t>
        </is>
      </c>
      <c r="C441" s="98" t="inlineStr">
        <is>
          <t>Доставка и монтаж на оптичен разпределителен ODF панел 4 порта, 1U, в комплект със сплайс касета 4 влакна</t>
        </is>
      </c>
      <c r="D441" s="102" t="n"/>
      <c r="E441" s="11" t="inlineStr">
        <is>
          <t>бр.</t>
        </is>
      </c>
      <c r="F441" s="4" t="n">
        <v>1</v>
      </c>
      <c r="G441" t="n">
        <v>102.26</v>
      </c>
      <c r="H441" t="n">
        <v>102.26</v>
      </c>
      <c r="I441" s="1" t="n"/>
      <c r="L441" s="103" t="n"/>
    </row>
    <row r="442" ht="192" customHeight="1">
      <c r="A442" s="56" t="n"/>
      <c r="B442" s="29" t="inlineStr">
        <is>
          <t>2.5</t>
        </is>
      </c>
      <c r="C442" s="98" t="inlineStr">
        <is>
          <t>Доставка и монтаж на метална китуя за медия конвертор, съдържаща:
- метална кутия, IP66, с размери 600х400х250mm
- оптична кутия със сплайс касета 4 влакна
- комутатор 8-port 10/100Mbps with PoE + 1-port 100FX(SFP), industrial Ethernet Switch,  от -40°С до +75°С
- захранващ блок за монтаж на DIN шина, 48Vdc/120W/2.5A
- Автоматичен прекъсвач 6А/230Vac
- Клеморед за кабел 2.5mm2, комплект 10бр.
- Перфорирана DIN шина с дължина 0.3m</t>
        </is>
      </c>
      <c r="D442" s="102" t="n"/>
      <c r="E442" s="11" t="inlineStr">
        <is>
          <t>бр.</t>
        </is>
      </c>
      <c r="F442" s="4" t="n">
        <v>1</v>
      </c>
      <c r="G442" t="n">
        <v>434.6</v>
      </c>
      <c r="H442" t="n">
        <v>434.6</v>
      </c>
      <c r="I442" s="1" t="n"/>
      <c r="L442" s="103" t="n"/>
    </row>
    <row r="443" customFormat="1" s="76">
      <c r="A443" s="56" t="n"/>
      <c r="B443" s="29" t="inlineStr">
        <is>
          <t>2.6</t>
        </is>
      </c>
      <c r="C443" s="98" t="inlineStr">
        <is>
          <t xml:space="preserve">Доставка и монтаж на персонален компютър </t>
        </is>
      </c>
      <c r="D443" s="102" t="n"/>
      <c r="E443" s="11" t="inlineStr">
        <is>
          <t>бр.</t>
        </is>
      </c>
      <c r="F443" s="4" t="n">
        <v>1</v>
      </c>
      <c r="G443" s="14" t="n">
        <v>800</v>
      </c>
      <c r="H443" s="14" t="n">
        <v>800</v>
      </c>
      <c r="I443" s="1" t="n"/>
      <c r="J443" s="14" t="n"/>
      <c r="K443" s="14" t="n"/>
      <c r="L443" s="103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</row>
    <row r="444" ht="15" customHeight="1">
      <c r="A444" s="56" t="n"/>
      <c r="B444" s="29" t="inlineStr">
        <is>
          <t>2.7</t>
        </is>
      </c>
      <c r="C444" s="98" t="inlineStr">
        <is>
          <t xml:space="preserve">Доставка и монтаж на LCD monitor 27"  </t>
        </is>
      </c>
      <c r="D444" s="102" t="n"/>
      <c r="E444" s="11" t="inlineStr">
        <is>
          <t>бр.</t>
        </is>
      </c>
      <c r="F444" s="4" t="n">
        <v>1</v>
      </c>
      <c r="G444" t="n">
        <v>357.91</v>
      </c>
      <c r="H444" t="n">
        <v>357.91</v>
      </c>
      <c r="I444" s="1" t="n"/>
      <c r="L444" s="103" t="n"/>
    </row>
    <row r="445" ht="15" customHeight="1">
      <c r="A445" s="56" t="n"/>
      <c r="B445" s="29" t="inlineStr">
        <is>
          <t>2.8</t>
        </is>
      </c>
      <c r="C445" s="98" t="inlineStr">
        <is>
          <t>Доставка и монтаж на Кабел S/FTP cat.6</t>
        </is>
      </c>
      <c r="D445" s="102" t="n"/>
      <c r="E445" s="4" t="inlineStr">
        <is>
          <t>m</t>
        </is>
      </c>
      <c r="F445" s="4" t="n">
        <v>640</v>
      </c>
      <c r="G445" t="n">
        <v>2.34</v>
      </c>
      <c r="H445" t="n">
        <v>1497.6</v>
      </c>
      <c r="I445" s="1" t="n"/>
      <c r="L445" s="103" t="n"/>
    </row>
    <row r="446" ht="30.75" customHeight="1">
      <c r="A446" s="56" t="n"/>
      <c r="B446" s="29" t="inlineStr">
        <is>
          <t>2.9</t>
        </is>
      </c>
      <c r="C446" s="98" t="inlineStr">
        <is>
          <t xml:space="preserve">Доставка и монтаж на оптичен кабел 4 влакна, FO кабел 4 Fibers 9/125 SLT/TW </t>
        </is>
      </c>
      <c r="D446" s="102" t="n"/>
      <c r="E446" s="4" t="inlineStr">
        <is>
          <t>m</t>
        </is>
      </c>
      <c r="F446" s="4" t="n">
        <v>40</v>
      </c>
      <c r="G446" t="n">
        <v>2.07</v>
      </c>
      <c r="H446" t="n">
        <v>82.8</v>
      </c>
      <c r="I446" s="1" t="n"/>
      <c r="L446" s="103" t="n"/>
    </row>
    <row r="447" ht="15" customHeight="1">
      <c r="A447" s="56" t="n"/>
      <c r="B447" s="29" t="inlineStr">
        <is>
          <t>2.10</t>
        </is>
      </c>
      <c r="C447" s="98" t="inlineStr">
        <is>
          <t>Доставка и монтаж. Гофрирани тръби ø25</t>
        </is>
      </c>
      <c r="D447" s="102" t="n"/>
      <c r="E447" s="4" t="inlineStr">
        <is>
          <t>m</t>
        </is>
      </c>
      <c r="F447" s="4" t="n">
        <v>40</v>
      </c>
      <c r="G447" t="n">
        <v>1.78</v>
      </c>
      <c r="H447" t="n">
        <v>71.2</v>
      </c>
      <c r="I447" s="1" t="n"/>
      <c r="L447" s="103" t="n"/>
    </row>
    <row r="448" ht="30" customHeight="1">
      <c r="A448" s="56" t="n"/>
      <c r="B448" s="29" t="inlineStr">
        <is>
          <t>2.11</t>
        </is>
      </c>
      <c r="C448" s="98" t="inlineStr">
        <is>
          <t>Доставка и монтаж на крепежни елементи, щуцери и спомагателни материали, комплект</t>
        </is>
      </c>
      <c r="D448" s="102" t="n"/>
      <c r="E448" s="11" t="inlineStr">
        <is>
          <t>бр.</t>
        </is>
      </c>
      <c r="F448" s="4" t="n">
        <v>7</v>
      </c>
      <c r="G448" t="n">
        <v>15.34</v>
      </c>
      <c r="H448" t="n">
        <v>107.38</v>
      </c>
      <c r="I448" s="1" t="n"/>
      <c r="L448" s="103" t="n"/>
    </row>
    <row r="449" ht="50.1" customHeight="1">
      <c r="A449" s="56" t="n"/>
      <c r="B449" s="29" t="inlineStr">
        <is>
          <t>2.12</t>
        </is>
      </c>
      <c r="C449" s="98" t="inlineStr">
        <is>
          <t>Доставка и инсталация. Софтуер за мрежово наблюдение на станциите за видеонаблюдение. Интегриране на система към съществуващите</t>
        </is>
      </c>
      <c r="D449" s="102" t="n"/>
      <c r="E449" s="11" t="inlineStr">
        <is>
          <t>бр.</t>
        </is>
      </c>
      <c r="F449" s="4" t="n">
        <v>1</v>
      </c>
      <c r="G449" t="n">
        <v>1278.25</v>
      </c>
      <c r="H449" t="n">
        <v>1278.25</v>
      </c>
      <c r="I449" s="1" t="n"/>
      <c r="L449" s="103" t="n"/>
    </row>
    <row r="450" ht="15" customHeight="1">
      <c r="A450" s="56" t="n"/>
      <c r="B450" s="29" t="inlineStr">
        <is>
          <t>2.13</t>
        </is>
      </c>
      <c r="C450" s="98" t="inlineStr">
        <is>
          <t>Тестване и сертифициране на системата</t>
        </is>
      </c>
      <c r="D450" s="102" t="n"/>
      <c r="E450" s="11" t="inlineStr">
        <is>
          <t>бр.</t>
        </is>
      </c>
      <c r="F450" s="4" t="n">
        <v>1</v>
      </c>
      <c r="G450" t="n">
        <v>1278.25</v>
      </c>
      <c r="H450" t="n">
        <v>1278.25</v>
      </c>
      <c r="I450" s="1" t="n"/>
      <c r="L450" s="103" t="n"/>
    </row>
    <row r="451" ht="15" customHeight="1">
      <c r="A451" s="56" t="n"/>
      <c r="B451" s="29" t="inlineStr">
        <is>
          <t>2.14</t>
        </is>
      </c>
      <c r="C451" s="98" t="inlineStr">
        <is>
          <t>Пускане на системата в експлоатация</t>
        </is>
      </c>
      <c r="D451" s="102" t="n"/>
      <c r="E451" s="11" t="inlineStr">
        <is>
          <t>бр.</t>
        </is>
      </c>
      <c r="F451" s="4" t="n">
        <v>1</v>
      </c>
      <c r="G451" t="n">
        <v>255.65</v>
      </c>
      <c r="H451" t="n">
        <v>255.65</v>
      </c>
      <c r="I451" s="1" t="n"/>
      <c r="L451" s="103" t="n"/>
    </row>
    <row r="452" ht="15" customHeight="1">
      <c r="A452" s="56" t="n"/>
      <c r="B452" s="85" t="inlineStr">
        <is>
          <t>3.</t>
        </is>
      </c>
      <c r="C452" s="86" t="inlineStr">
        <is>
          <t>Фотоволтаична централа</t>
        </is>
      </c>
      <c r="D452" s="102" t="n"/>
      <c r="E452" s="41" t="n"/>
      <c r="F452" s="41" t="n"/>
      <c r="I452" s="1" t="n"/>
      <c r="L452" s="103" t="n"/>
    </row>
    <row r="453" ht="30" customHeight="1">
      <c r="A453" s="56" t="n"/>
      <c r="B453" s="29" t="inlineStr">
        <is>
          <t>3.1</t>
        </is>
      </c>
      <c r="C453" s="98" t="inlineStr">
        <is>
          <t>Доставка и монтаж на фотоволтаичнен модул, 560 Wp</t>
        </is>
      </c>
      <c r="D453" s="102" t="n"/>
      <c r="E453" s="4" t="inlineStr">
        <is>
          <t>бр.</t>
        </is>
      </c>
      <c r="F453" s="4" t="n">
        <v>24</v>
      </c>
      <c r="G453" t="n">
        <v>83.55</v>
      </c>
      <c r="H453" t="n">
        <v>2005.2</v>
      </c>
      <c r="I453" s="1" t="n"/>
      <c r="L453" s="103" t="n"/>
    </row>
    <row r="454" ht="15" customHeight="1">
      <c r="A454" s="56" t="n"/>
      <c r="B454" s="29" t="inlineStr">
        <is>
          <t>3.2</t>
        </is>
      </c>
      <c r="C454" s="98" t="inlineStr">
        <is>
          <t>Доставка и монтаж на стрингов инвертор</t>
        </is>
      </c>
      <c r="D454" s="102" t="n"/>
      <c r="E454" s="4" t="inlineStr">
        <is>
          <t>бр.</t>
        </is>
      </c>
      <c r="F454" s="4" t="n">
        <v>1</v>
      </c>
      <c r="G454" t="n">
        <v>3480</v>
      </c>
      <c r="H454" t="n">
        <v>3480</v>
      </c>
      <c r="I454" s="1" t="n"/>
      <c r="L454" s="103" t="n"/>
    </row>
    <row r="455" ht="30" customHeight="1">
      <c r="A455" s="56" t="n"/>
      <c r="B455" s="29" t="inlineStr">
        <is>
          <t>3.3</t>
        </is>
      </c>
      <c r="C455" s="98" t="inlineStr">
        <is>
          <t>Доставка и полагане на постояннотоков кабел тип PV1-F 4 mm2</t>
        </is>
      </c>
      <c r="D455" s="102" t="n"/>
      <c r="E455" s="4" t="inlineStr">
        <is>
          <t>m</t>
        </is>
      </c>
      <c r="F455" s="4" t="n">
        <v>250</v>
      </c>
      <c r="G455" t="n">
        <v>3.26</v>
      </c>
      <c r="H455" t="n">
        <v>815</v>
      </c>
      <c r="I455" s="1" t="n"/>
      <c r="L455" s="103" t="n"/>
    </row>
    <row r="456" ht="30" customHeight="1">
      <c r="A456" s="56" t="n"/>
      <c r="B456" s="29" t="inlineStr">
        <is>
          <t>3.4</t>
        </is>
      </c>
      <c r="C456" s="98" t="inlineStr">
        <is>
          <t>Доставка и монтаж на конектор MC4 – комплект (мъжки+женски)</t>
        </is>
      </c>
      <c r="D456" s="102" t="n"/>
      <c r="E456" s="4" t="inlineStr">
        <is>
          <t>к-т</t>
        </is>
      </c>
      <c r="F456" s="4" t="n">
        <v>2</v>
      </c>
      <c r="G456" t="n">
        <v>15</v>
      </c>
      <c r="H456" t="n">
        <v>30</v>
      </c>
      <c r="I456" s="1" t="n"/>
      <c r="L456" s="103" t="n"/>
    </row>
    <row r="457" ht="30" customHeight="1">
      <c r="A457" s="56" t="n"/>
      <c r="B457" s="29" t="inlineStr">
        <is>
          <t>3.5</t>
        </is>
      </c>
      <c r="C457" s="98" t="inlineStr">
        <is>
          <t>Доставка и полагане гофрирана PVC тръба, UV защита OD/ID 40/32</t>
        </is>
      </c>
      <c r="D457" s="102" t="n"/>
      <c r="E457" s="4" t="inlineStr">
        <is>
          <t>m</t>
        </is>
      </c>
      <c r="F457" s="4" t="n">
        <v>100</v>
      </c>
      <c r="G457" t="n">
        <v>3.2</v>
      </c>
      <c r="H457" t="n">
        <v>320</v>
      </c>
      <c r="I457" s="1" t="n"/>
      <c r="L457" s="103" t="n"/>
    </row>
    <row r="458" ht="30" customHeight="1">
      <c r="A458" s="56" t="n"/>
      <c r="B458" s="29" t="inlineStr">
        <is>
          <t>3.6</t>
        </is>
      </c>
      <c r="C458" s="98" t="inlineStr">
        <is>
          <t>Доставка и монтаж на силов кабел тип СВТ 4x10mm2</t>
        </is>
      </c>
      <c r="D458" s="102" t="n"/>
      <c r="E458" s="4" t="inlineStr">
        <is>
          <t>m</t>
        </is>
      </c>
      <c r="F458" s="4" t="n">
        <v>1</v>
      </c>
      <c r="G458" t="n">
        <v>10.39</v>
      </c>
      <c r="H458" t="n">
        <v>10.39</v>
      </c>
      <c r="I458" s="1" t="n"/>
      <c r="L458" s="103" t="n"/>
    </row>
    <row r="459" ht="15" customHeight="1">
      <c r="A459" s="56" t="n"/>
      <c r="B459" s="29" t="inlineStr">
        <is>
          <t>3.7</t>
        </is>
      </c>
      <c r="C459" s="98" t="inlineStr">
        <is>
          <t>Доставка и монтаж на ел. Табло ФЕЦ</t>
        </is>
      </c>
      <c r="D459" s="102" t="n"/>
      <c r="E459" s="4" t="inlineStr">
        <is>
          <t>бр.</t>
        </is>
      </c>
      <c r="F459" s="4" t="n">
        <v>1</v>
      </c>
      <c r="G459" t="n">
        <v>1200</v>
      </c>
      <c r="H459" t="n">
        <v>1200</v>
      </c>
      <c r="I459" s="1" t="n"/>
      <c r="L459" s="103" t="n"/>
    </row>
    <row r="460" ht="30" customHeight="1">
      <c r="A460" s="56" t="n"/>
      <c r="B460" s="29" t="inlineStr">
        <is>
          <t>3.8</t>
        </is>
      </c>
      <c r="C460" s="98" t="inlineStr">
        <is>
          <t>Доставка и полагане заземителен кабел H07V-K 1x16mm2</t>
        </is>
      </c>
      <c r="D460" s="102" t="n"/>
      <c r="E460" s="4" t="inlineStr">
        <is>
          <t>m</t>
        </is>
      </c>
      <c r="F460" s="4" t="n">
        <v>20</v>
      </c>
      <c r="G460" t="n">
        <v>4.54</v>
      </c>
      <c r="H460" t="n">
        <v>90.8</v>
      </c>
      <c r="I460" s="1" t="n"/>
      <c r="L460" s="103" t="n"/>
    </row>
    <row r="461" ht="30" customHeight="1">
      <c r="A461" s="56" t="n"/>
      <c r="B461" s="29" t="inlineStr">
        <is>
          <t>3.9</t>
        </is>
      </c>
      <c r="C461" s="98" t="inlineStr">
        <is>
          <t>Доставка и монтаж телескопичен заземителен кол L 1500mm, Ф20мм</t>
        </is>
      </c>
      <c r="D461" s="102" t="n"/>
      <c r="E461" s="4" t="inlineStr">
        <is>
          <t>бр.</t>
        </is>
      </c>
      <c r="F461" s="4" t="n">
        <v>2</v>
      </c>
      <c r="G461" t="n">
        <v>56</v>
      </c>
      <c r="H461" t="n">
        <v>112</v>
      </c>
      <c r="I461" s="1" t="n"/>
      <c r="L461" s="103" t="n"/>
    </row>
    <row r="462" ht="45" customHeight="1">
      <c r="A462" s="56" t="n"/>
      <c r="B462" s="29" t="inlineStr">
        <is>
          <t>3.10</t>
        </is>
      </c>
      <c r="C462" s="98" t="inlineStr">
        <is>
          <t>Доставка и монтаж мултиклема за връзка между проводник AlMgSi ø8 и горещопоцинкована шина 40/4</t>
        </is>
      </c>
      <c r="D462" s="102" t="n"/>
      <c r="E462" s="4" t="inlineStr">
        <is>
          <t>бр.</t>
        </is>
      </c>
      <c r="F462" s="4" t="n">
        <v>10</v>
      </c>
      <c r="G462" t="n">
        <v>6.65</v>
      </c>
      <c r="H462" t="n">
        <v>66.5</v>
      </c>
      <c r="I462" s="1" t="n"/>
      <c r="L462" s="103" t="n"/>
    </row>
    <row r="463" ht="30" customHeight="1">
      <c r="A463" s="56" t="n"/>
      <c r="B463" s="29" t="inlineStr">
        <is>
          <t>3.11</t>
        </is>
      </c>
      <c r="C463" s="98" t="inlineStr">
        <is>
          <t>Доставка и монтаж мултиклема за връзка между проводници AlMgSi ø8</t>
        </is>
      </c>
      <c r="D463" s="102" t="n"/>
      <c r="E463" s="4" t="inlineStr">
        <is>
          <t>бр.</t>
        </is>
      </c>
      <c r="F463" s="4" t="n">
        <v>10</v>
      </c>
      <c r="G463" t="n">
        <v>5.65</v>
      </c>
      <c r="H463" t="n">
        <v>56.5</v>
      </c>
      <c r="I463" s="1" t="n"/>
      <c r="L463" s="103" t="n"/>
    </row>
    <row r="464" ht="15" customHeight="1">
      <c r="A464" s="56" t="n"/>
      <c r="B464" s="29" t="inlineStr">
        <is>
          <t>3.12</t>
        </is>
      </c>
      <c r="C464" s="98" t="inlineStr">
        <is>
          <t>Заземителен проводник AlMgSi Ф8</t>
        </is>
      </c>
      <c r="D464" s="102" t="n"/>
      <c r="E464" s="4" t="inlineStr">
        <is>
          <t>m</t>
        </is>
      </c>
      <c r="F464" s="4" t="n">
        <v>50</v>
      </c>
      <c r="G464" t="n">
        <v>4.23</v>
      </c>
      <c r="H464" t="n">
        <v>211.5</v>
      </c>
      <c r="I464" s="1" t="n"/>
      <c r="L464" s="103" t="n"/>
    </row>
    <row r="465" ht="15" customHeight="1">
      <c r="A465" s="56" t="n"/>
      <c r="B465" s="77" t="n"/>
      <c r="C465" s="77" t="n"/>
      <c r="D465" s="77" t="n"/>
      <c r="E465" s="9" t="n"/>
      <c r="F465" s="79" t="inlineStr">
        <is>
          <t>ОБЩО СМР:</t>
        </is>
      </c>
    </row>
    <row r="466" ht="15" customHeight="1">
      <c r="A466" s="56" t="n"/>
      <c r="B466" s="77" t="n"/>
      <c r="C466" s="77" t="n"/>
      <c r="D466" s="77" t="n"/>
      <c r="E466" s="9" t="n"/>
      <c r="F466" s="80" t="inlineStr">
        <is>
          <t>ДДС 20%:</t>
        </is>
      </c>
    </row>
    <row r="467" ht="15" customHeight="1">
      <c r="A467" s="56" t="n"/>
      <c r="B467" s="77" t="n"/>
      <c r="C467" s="77" t="n"/>
      <c r="D467" s="77" t="n"/>
      <c r="E467" s="9" t="n"/>
      <c r="F467" s="81" t="inlineStr">
        <is>
          <t>ОБЩО СМР, С ДДС:</t>
        </is>
      </c>
    </row>
  </sheetData>
  <mergeCells count="314">
    <mergeCell ref="C191:D191"/>
    <mergeCell ref="C107:D107"/>
    <mergeCell ref="C378:D378"/>
    <mergeCell ref="C234:D234"/>
    <mergeCell ref="C172:D172"/>
    <mergeCell ref="C184:D184"/>
    <mergeCell ref="C171:D171"/>
    <mergeCell ref="C302:D302"/>
    <mergeCell ref="C407:D407"/>
    <mergeCell ref="C121:D121"/>
    <mergeCell ref="C173:D173"/>
    <mergeCell ref="C148:D148"/>
    <mergeCell ref="C262:D262"/>
    <mergeCell ref="C237:D237"/>
    <mergeCell ref="C326:D326"/>
    <mergeCell ref="C239:D239"/>
    <mergeCell ref="C290:D290"/>
    <mergeCell ref="C384:D384"/>
    <mergeCell ref="C413:D413"/>
    <mergeCell ref="C242:D242"/>
    <mergeCell ref="C192:D192"/>
    <mergeCell ref="C252:D252"/>
    <mergeCell ref="C379:D379"/>
    <mergeCell ref="C415:D415"/>
    <mergeCell ref="C244:D244"/>
    <mergeCell ref="C123:D123"/>
    <mergeCell ref="C194:D194"/>
    <mergeCell ref="C110:D110"/>
    <mergeCell ref="C181:D181"/>
    <mergeCell ref="C408:D408"/>
    <mergeCell ref="C423:D423"/>
    <mergeCell ref="C174:D174"/>
    <mergeCell ref="C410:D410"/>
    <mergeCell ref="C189:D189"/>
    <mergeCell ref="C34:D34"/>
    <mergeCell ref="C397:D397"/>
    <mergeCell ref="C334:D334"/>
    <mergeCell ref="C128:D128"/>
    <mergeCell ref="C426:D426"/>
    <mergeCell ref="C309:D309"/>
    <mergeCell ref="C113:D113"/>
    <mergeCell ref="C271:D271"/>
    <mergeCell ref="C205:D205"/>
    <mergeCell ref="C265:D265"/>
    <mergeCell ref="C428:D428"/>
    <mergeCell ref="C311:D311"/>
    <mergeCell ref="B1:F1"/>
    <mergeCell ref="C142:D142"/>
    <mergeCell ref="C129:D129"/>
    <mergeCell ref="C454:D454"/>
    <mergeCell ref="C131:D131"/>
    <mergeCell ref="C258:D258"/>
    <mergeCell ref="C245:D245"/>
    <mergeCell ref="C195:D195"/>
    <mergeCell ref="C266:D266"/>
    <mergeCell ref="C431:D431"/>
    <mergeCell ref="C260:D260"/>
    <mergeCell ref="C259:D259"/>
    <mergeCell ref="C126:D126"/>
    <mergeCell ref="C197:D197"/>
    <mergeCell ref="C432:D432"/>
    <mergeCell ref="C261:D261"/>
    <mergeCell ref="C117:D117"/>
    <mergeCell ref="C447:D447"/>
    <mergeCell ref="C115:D115"/>
    <mergeCell ref="C213:D213"/>
    <mergeCell ref="C273:D273"/>
    <mergeCell ref="C400:D400"/>
    <mergeCell ref="C150:D150"/>
    <mergeCell ref="C144:D144"/>
    <mergeCell ref="C442:D442"/>
    <mergeCell ref="C429:D429"/>
    <mergeCell ref="C414:D414"/>
    <mergeCell ref="C352:D352"/>
    <mergeCell ref="C208:D208"/>
    <mergeCell ref="C366:D366"/>
    <mergeCell ref="C437:D437"/>
    <mergeCell ref="C145:D145"/>
    <mergeCell ref="C406:D406"/>
    <mergeCell ref="C381:D381"/>
    <mergeCell ref="C210:D210"/>
    <mergeCell ref="C305:D305"/>
    <mergeCell ref="C134:D134"/>
    <mergeCell ref="C50:D50"/>
    <mergeCell ref="C286:D286"/>
    <mergeCell ref="C163:D163"/>
    <mergeCell ref="C138:D138"/>
    <mergeCell ref="C119:D119"/>
    <mergeCell ref="C361:D361"/>
    <mergeCell ref="C158:D158"/>
    <mergeCell ref="C425:D425"/>
    <mergeCell ref="C264:D264"/>
    <mergeCell ref="C450:D450"/>
    <mergeCell ref="C387:D387"/>
    <mergeCell ref="C216:D216"/>
    <mergeCell ref="C452:D452"/>
    <mergeCell ref="C281:D281"/>
    <mergeCell ref="A6:A119"/>
    <mergeCell ref="C451:D451"/>
    <mergeCell ref="C280:D280"/>
    <mergeCell ref="C218:D218"/>
    <mergeCell ref="C445:D445"/>
    <mergeCell ref="C274:D274"/>
    <mergeCell ref="C147:D147"/>
    <mergeCell ref="C109:D109"/>
    <mergeCell ref="C382:D382"/>
    <mergeCell ref="C211:D211"/>
    <mergeCell ref="C453:D453"/>
    <mergeCell ref="C282:D282"/>
    <mergeCell ref="C165:D165"/>
    <mergeCell ref="C308:D308"/>
    <mergeCell ref="C229:D229"/>
    <mergeCell ref="C179:D179"/>
    <mergeCell ref="C166:D166"/>
    <mergeCell ref="C464:D464"/>
    <mergeCell ref="C427:D427"/>
    <mergeCell ref="C402:D402"/>
    <mergeCell ref="C160:D160"/>
    <mergeCell ref="C141:D141"/>
    <mergeCell ref="C377:D377"/>
    <mergeCell ref="C143:D143"/>
    <mergeCell ref="C441:D441"/>
    <mergeCell ref="C255:D255"/>
    <mergeCell ref="C380:D380"/>
    <mergeCell ref="C219:D219"/>
    <mergeCell ref="C296:D296"/>
    <mergeCell ref="C125:D125"/>
    <mergeCell ref="C283:D283"/>
    <mergeCell ref="C161:D161"/>
    <mergeCell ref="C348:D348"/>
    <mergeCell ref="C298:D298"/>
    <mergeCell ref="C154:D154"/>
    <mergeCell ref="C456:D456"/>
    <mergeCell ref="C390:D390"/>
    <mergeCell ref="C285:D285"/>
    <mergeCell ref="C156:D156"/>
    <mergeCell ref="C250:D250"/>
    <mergeCell ref="C401:D401"/>
    <mergeCell ref="C230:D230"/>
    <mergeCell ref="C301:D301"/>
    <mergeCell ref="C168:D168"/>
    <mergeCell ref="C180:D180"/>
    <mergeCell ref="C118:D118"/>
    <mergeCell ref="C167:D167"/>
    <mergeCell ref="C238:D238"/>
    <mergeCell ref="C403:D403"/>
    <mergeCell ref="C232:D232"/>
    <mergeCell ref="C303:D303"/>
    <mergeCell ref="C207:D207"/>
    <mergeCell ref="C182:D182"/>
    <mergeCell ref="C169:D169"/>
    <mergeCell ref="C233:D233"/>
    <mergeCell ref="C421:D421"/>
    <mergeCell ref="C396:D396"/>
    <mergeCell ref="C116:D116"/>
    <mergeCell ref="C187:D187"/>
    <mergeCell ref="C306:D306"/>
    <mergeCell ref="C162:D162"/>
    <mergeCell ref="C460:D460"/>
    <mergeCell ref="C398:D398"/>
    <mergeCell ref="B2:F2"/>
    <mergeCell ref="C177:D177"/>
    <mergeCell ref="C226:D226"/>
    <mergeCell ref="C164:D164"/>
    <mergeCell ref="C462:D462"/>
    <mergeCell ref="C222:D222"/>
    <mergeCell ref="C251:D251"/>
    <mergeCell ref="C253:D253"/>
    <mergeCell ref="C411:D411"/>
    <mergeCell ref="C240:D240"/>
    <mergeCell ref="C190:D190"/>
    <mergeCell ref="C111:D111"/>
    <mergeCell ref="C304:D304"/>
    <mergeCell ref="C254:D254"/>
    <mergeCell ref="C419:D419"/>
    <mergeCell ref="C248:D248"/>
    <mergeCell ref="C175:D175"/>
    <mergeCell ref="C235:D235"/>
    <mergeCell ref="C185:D185"/>
    <mergeCell ref="C393:D393"/>
    <mergeCell ref="C137:D137"/>
    <mergeCell ref="C124:D124"/>
    <mergeCell ref="C422:D422"/>
    <mergeCell ref="C201:D201"/>
    <mergeCell ref="C139:D139"/>
    <mergeCell ref="C388:D388"/>
    <mergeCell ref="C188:D188"/>
    <mergeCell ref="C424:D424"/>
    <mergeCell ref="C132:D132"/>
    <mergeCell ref="C399:D399"/>
    <mergeCell ref="C203:D203"/>
    <mergeCell ref="B5:F5"/>
    <mergeCell ref="C279:D279"/>
    <mergeCell ref="C108:D108"/>
    <mergeCell ref="C417:D417"/>
    <mergeCell ref="C389:D389"/>
    <mergeCell ref="C256:D256"/>
    <mergeCell ref="C112:D112"/>
    <mergeCell ref="C383:D383"/>
    <mergeCell ref="C183:D183"/>
    <mergeCell ref="C133:D133"/>
    <mergeCell ref="C193:D193"/>
    <mergeCell ref="C127:D127"/>
    <mergeCell ref="C176:D176"/>
    <mergeCell ref="C418:D418"/>
    <mergeCell ref="C247:D247"/>
    <mergeCell ref="C356:D356"/>
    <mergeCell ref="C412:D412"/>
    <mergeCell ref="C114:D114"/>
    <mergeCell ref="C257:D257"/>
    <mergeCell ref="C178:D178"/>
    <mergeCell ref="C443:D443"/>
    <mergeCell ref="C272:D272"/>
    <mergeCell ref="C209:D209"/>
    <mergeCell ref="C140:D140"/>
    <mergeCell ref="C438:D438"/>
    <mergeCell ref="C267:D267"/>
    <mergeCell ref="C338:D338"/>
    <mergeCell ref="C204:D204"/>
    <mergeCell ref="C446:D446"/>
    <mergeCell ref="C275:D275"/>
    <mergeCell ref="C104:D104"/>
    <mergeCell ref="C440:D440"/>
    <mergeCell ref="C269:D269"/>
    <mergeCell ref="C231:D231"/>
    <mergeCell ref="C206:D206"/>
    <mergeCell ref="C270:D270"/>
    <mergeCell ref="C130:D130"/>
    <mergeCell ref="C295:D295"/>
    <mergeCell ref="C409:D409"/>
    <mergeCell ref="C135:D135"/>
    <mergeCell ref="C328:D328"/>
    <mergeCell ref="C433:D433"/>
    <mergeCell ref="C159:D159"/>
    <mergeCell ref="C430:D430"/>
    <mergeCell ref="C122:D122"/>
    <mergeCell ref="C153:D153"/>
    <mergeCell ref="C420:D420"/>
    <mergeCell ref="C395:D395"/>
    <mergeCell ref="C224:D224"/>
    <mergeCell ref="C199:D199"/>
    <mergeCell ref="C435:D435"/>
    <mergeCell ref="C186:D186"/>
    <mergeCell ref="C217:D217"/>
    <mergeCell ref="C136:D136"/>
    <mergeCell ref="C434:D434"/>
    <mergeCell ref="C263:D263"/>
    <mergeCell ref="C212:D212"/>
    <mergeCell ref="C146:D146"/>
    <mergeCell ref="C448:D448"/>
    <mergeCell ref="C277:D277"/>
    <mergeCell ref="C404:D404"/>
    <mergeCell ref="C276:D276"/>
    <mergeCell ref="C105:D105"/>
    <mergeCell ref="C214:D214"/>
    <mergeCell ref="C43:D43"/>
    <mergeCell ref="C439:D439"/>
    <mergeCell ref="C120:D120"/>
    <mergeCell ref="C278:D278"/>
    <mergeCell ref="C405:D405"/>
    <mergeCell ref="C370:D370"/>
    <mergeCell ref="C149:D149"/>
    <mergeCell ref="C385:D385"/>
    <mergeCell ref="C459:D459"/>
    <mergeCell ref="C288:D288"/>
    <mergeCell ref="C225:D225"/>
    <mergeCell ref="C461:D461"/>
    <mergeCell ref="C200:D200"/>
    <mergeCell ref="C436:D436"/>
    <mergeCell ref="C227:D227"/>
    <mergeCell ref="C202:D202"/>
    <mergeCell ref="C444:D444"/>
    <mergeCell ref="C291:D291"/>
    <mergeCell ref="C268:D268"/>
    <mergeCell ref="C155:D155"/>
    <mergeCell ref="C293:D293"/>
    <mergeCell ref="C391:D391"/>
    <mergeCell ref="C220:D220"/>
    <mergeCell ref="C157:D157"/>
    <mergeCell ref="C151:D151"/>
    <mergeCell ref="C284:D284"/>
    <mergeCell ref="C344:D344"/>
    <mergeCell ref="C449:D449"/>
    <mergeCell ref="C455:D455"/>
    <mergeCell ref="C294:D294"/>
    <mergeCell ref="C386:D386"/>
    <mergeCell ref="C215:D215"/>
    <mergeCell ref="C152:D152"/>
    <mergeCell ref="C297:D297"/>
    <mergeCell ref="C241:D241"/>
    <mergeCell ref="C228:D228"/>
    <mergeCell ref="C106:D106"/>
    <mergeCell ref="C299:D299"/>
    <mergeCell ref="C7:D7"/>
    <mergeCell ref="C243:D243"/>
    <mergeCell ref="C292:D292"/>
    <mergeCell ref="C170:D170"/>
    <mergeCell ref="C307:D307"/>
    <mergeCell ref="C246:D246"/>
    <mergeCell ref="C392:D392"/>
    <mergeCell ref="C196:D196"/>
    <mergeCell ref="C221:D221"/>
    <mergeCell ref="C463:D463"/>
    <mergeCell ref="C457:D457"/>
    <mergeCell ref="C236:D236"/>
    <mergeCell ref="C394:D394"/>
    <mergeCell ref="C223:D223"/>
    <mergeCell ref="C198:D198"/>
    <mergeCell ref="C300:D300"/>
    <mergeCell ref="C458:D458"/>
    <mergeCell ref="C287:D287"/>
    <mergeCell ref="C289:D289"/>
    <mergeCell ref="C249:D249"/>
    <mergeCell ref="C376:D376"/>
  </mergeCells>
  <pageMargins left="0.25" right="0.25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Мирела</dc:creator>
  <dcterms:created xmlns:dcterms="http://purl.org/dc/terms/" xmlns:xsi="http://www.w3.org/2001/XMLSchema-instance" xsi:type="dcterms:W3CDTF">2021-02-25T10:10:45Z</dcterms:created>
  <dcterms:modified xmlns:dcterms="http://purl.org/dc/terms/" xmlns:xsi="http://www.w3.org/2001/XMLSchema-instance" xsi:type="dcterms:W3CDTF">2026-10-08T23:22:26Z</dcterms:modified>
  <cp:lastModifiedBy>Ognyan Chakarov</cp:lastModifiedBy>
  <cp:lastPrinted>2023-04-20T14:38:44Z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0x010100F83BD09951CF204BA1C799E3B5F8A840</vt:lpwstr>
  </property>
</Properties>
</file>