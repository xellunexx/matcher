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lab\tenderops\prices\"/>
    </mc:Choice>
  </mc:AlternateContent>
  <xr:revisionPtr revIDLastSave="0" documentId="8_{5D0E0C4A-56CA-49C5-BC12-899B71551E9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КСС" sheetId="4" r:id="rId1"/>
  </sheets>
  <definedNames>
    <definedName name="_xlnm.Print_Titles" localSheetId="0">КСС!$4:$4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8" i="4" l="1"/>
  <c r="F66" i="4"/>
  <c r="F59" i="4"/>
  <c r="F58" i="4" l="1"/>
</calcChain>
</file>

<file path=xl/sharedStrings.xml><?xml version="1.0" encoding="utf-8"?>
<sst xmlns="http://schemas.openxmlformats.org/spreadsheetml/2006/main" count="1467" uniqueCount="856">
  <si>
    <t>Наименование</t>
  </si>
  <si>
    <t>Част „Архитектура“</t>
  </si>
  <si>
    <t>I</t>
  </si>
  <si>
    <t>II</t>
  </si>
  <si>
    <t>III</t>
  </si>
  <si>
    <t>IV</t>
  </si>
  <si>
    <t>VI</t>
  </si>
  <si>
    <t>VII</t>
  </si>
  <si>
    <t>Част „Водоснабдяване и канализация“</t>
  </si>
  <si>
    <t>1.1</t>
  </si>
  <si>
    <t>1.2</t>
  </si>
  <si>
    <t>1.3</t>
  </si>
  <si>
    <t>Ед. мярка</t>
  </si>
  <si>
    <t>К-во</t>
  </si>
  <si>
    <t>№ подч.</t>
  </si>
  <si>
    <t>Характеристика</t>
  </si>
  <si>
    <t>Настилки</t>
  </si>
  <si>
    <t>бр.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</si>
  <si>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</si>
  <si>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</si>
  <si>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</si>
  <si>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</si>
  <si>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</si>
  <si>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</si>
  <si>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</si>
  <si>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</si>
  <si>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</si>
  <si>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Пейки</t>
  </si>
  <si>
    <t>Алеи</t>
  </si>
  <si>
    <t>Стълбищни групи</t>
  </si>
  <si>
    <t>Почвоподготовка</t>
  </si>
  <si>
    <t>Засаждане и укрепване на едроразмерна иглолистна растителност</t>
  </si>
  <si>
    <t>Иглолистни дървета</t>
  </si>
  <si>
    <t>Широколистни дървета</t>
  </si>
  <si>
    <t>ДДС 20%:</t>
  </si>
  <si>
    <t>Част „Конструкции“</t>
  </si>
  <si>
    <t>Труд и засаждане на растителен материал</t>
  </si>
  <si>
    <t>1.13</t>
  </si>
  <si>
    <t>Част „Паркоустройство и Благоустройство“</t>
  </si>
  <si>
    <t>Част „Автоматизирана поливна система“ и Технология - Фонтан</t>
  </si>
  <si>
    <t>Част „Електрическа“</t>
  </si>
  <si>
    <t>1.</t>
  </si>
  <si>
    <t>2.</t>
  </si>
  <si>
    <t>Рехабилитационна площадка</t>
  </si>
  <si>
    <t>2.1</t>
  </si>
  <si>
    <t>2.2</t>
  </si>
  <si>
    <t>2.3</t>
  </si>
  <si>
    <t>3.</t>
  </si>
  <si>
    <t>3.1</t>
  </si>
  <si>
    <t>3.2</t>
  </si>
  <si>
    <t>3.3</t>
  </si>
  <si>
    <t>4.</t>
  </si>
  <si>
    <t>Ударопоглъщаща настилка</t>
  </si>
  <si>
    <t>4.1</t>
  </si>
  <si>
    <t>Затревяване</t>
  </si>
  <si>
    <t>4.2</t>
  </si>
  <si>
    <t>4.3</t>
  </si>
  <si>
    <t>Засаждане и укрепване на едроразмерна широколистна растителност</t>
  </si>
  <si>
    <t>4.4</t>
  </si>
  <si>
    <t>Засаждане на храсти, декоративни треви и увивна растителност</t>
  </si>
  <si>
    <t>4.5</t>
  </si>
  <si>
    <t>Растителен материал</t>
  </si>
  <si>
    <t>Храсти, декоративни треви и увивна растителност</t>
  </si>
  <si>
    <t>Паркова мебел</t>
  </si>
  <si>
    <t>1.1.1</t>
  </si>
  <si>
    <t>1.1.2</t>
  </si>
  <si>
    <t>Пейки върху подпорна стена</t>
  </si>
  <si>
    <t>Фонтан-чешма с включена доставка и монаж</t>
  </si>
  <si>
    <t>Метално кошче за отпадъци с включена доставка и монтаж</t>
  </si>
  <si>
    <t>Автоматизирана поливна система</t>
  </si>
  <si>
    <t>Фонтан</t>
  </si>
  <si>
    <t>Земни работи</t>
  </si>
  <si>
    <t>Армировъчни работи</t>
  </si>
  <si>
    <t>5.</t>
  </si>
  <si>
    <t>Кофражни работи</t>
  </si>
  <si>
    <t>Бетонови работи</t>
  </si>
  <si>
    <t>Стоманена конструкция</t>
  </si>
  <si>
    <t>Площадкова канализация - битова</t>
  </si>
  <si>
    <t>Площадков водопровод</t>
  </si>
  <si>
    <t>m</t>
  </si>
  <si>
    <t>Фотоволтаична централа</t>
  </si>
  <si>
    <t>Видеонаблюдение</t>
  </si>
  <si>
    <t>Електрическа инсталация с осветление</t>
  </si>
  <si>
    <t>Трасиране на кабелна линия</t>
  </si>
  <si>
    <t>Направа на изкоп със извозване и складиране на земна маса, обратно засипване и трамбоване</t>
  </si>
  <si>
    <t>Доставка и монтаж на фабрична кабелна шахта, в комплект с капак</t>
  </si>
  <si>
    <t>Доставка и полагане на гофрирана тръба</t>
  </si>
  <si>
    <t>Доставка и полагане на PVC сигнална лента</t>
  </si>
  <si>
    <t>Изкопаване на земна маса и направа на фундамент за стълб за алейно осветление по изисквания на производителя</t>
  </si>
  <si>
    <t>Доставка и монтаж на клемна кутия с автоматичен прекъсвач за монтаж в стълб от алейното осветление</t>
  </si>
  <si>
    <t>Доставка и полагане на кабел СВТ 3x1,5mm²</t>
  </si>
  <si>
    <t>Доставка и изтегляне на кабел САВТ 5x4mm²</t>
  </si>
  <si>
    <t>Доставка и монтаж на ел. Табло Тпарк, в комплект с изготвяне на монтажен фундамент</t>
  </si>
  <si>
    <t>Доставка и монтаж на ел. Табло ТЕПО, в комплект с изготвяне на монтажен фундамент</t>
  </si>
  <si>
    <t>Доставка и полагане на неръждаема шина</t>
  </si>
  <si>
    <t>Доставка и направа на заземител от комплект заземителни колове от неръждаема стомана, забити вертикално</t>
  </si>
  <si>
    <t>Доставка и монтаж на неръждаеми клеми за връзка</t>
  </si>
  <si>
    <t>Доставка и монтаж на неръждаеми клеми за връзка  шина към метална конструкция</t>
  </si>
  <si>
    <t>Измерване на преходното съпротивление на заземителната инсталация от акредитирана лаборатория</t>
  </si>
  <si>
    <t>Протокол за измерване на импеданса на контура фаза - защитен проводник от акредитирана лаборатория</t>
  </si>
  <si>
    <t>1.14</t>
  </si>
  <si>
    <t>1.15</t>
  </si>
  <si>
    <t>1.16</t>
  </si>
  <si>
    <t>1.17</t>
  </si>
  <si>
    <t>1.18</t>
  </si>
  <si>
    <t>1.19</t>
  </si>
  <si>
    <t xml:space="preserve">Доставка и монтаж на мегапикселова камера Ден/Нощ; 2.0 Мегапиксел (Full HD 1920×1080@25 кад/сек); 1/2.8" Progressive Scan CMOS сензор; 0.01lux; IP осв. до 50м; варифокален обектив (2.8-12 mm)/F1.2 с дистанционна настройка (Smart Focus); механичен IP филтър; H.264/MJPEG tri-stream компресия; алармен вход/изход; 120db WRD, Интелигентни функции: пресичане на линия, навлизане в зона, оставен/изчезнал предмет/детекция на лица/; слот за SD карта (до 64GB); външен монтаж IP67 от -30°С до +60°С, 12Vdc/Poe, в комплект със стойка със скрито окабеляване; </t>
  </si>
  <si>
    <t>Доставка и монтаж на 8-канален мрежови рекордер/сървър; поддържа 8 IP  камери; входящ капацитет до 200Mbps; компресия H.264; USB2.0 порт; до 4xSATA твърди диска (до 4TB/диск); 16 алармени входа/4 изхода; HDMI + VGA мониторен изход; управление с мишка; регулируем обем на трафика по мрежата на всеки канал; наблюдение през Intermet/LAN/мобилен телефон; безплатен CMS софтуер, без HDD, 19"/1.5U rackmount</t>
  </si>
  <si>
    <t>Доставка и монтаж на твърд диск 4000GB</t>
  </si>
  <si>
    <t>Доставка и монтаж на оптичен разпределителен ODF панел 4 порта, 1U, в комплект със сплайс касета 4 влакна</t>
  </si>
  <si>
    <t>Доставка и монтаж на метална китуя за медия конвертор, съдържаща:
- метална кутия, IP66, с размери 600х400х250mm
- оптична кутия със сплайс касета 4 влакна
- комутатор 8-port 10/100Mbps with PoE + 1-port 100FX(SFP), industrial Ethernet Switch,  от -40°С до +75°С
- захранващ блок за монтаж на DIN шина, 48Vdc/120W/2.5A
- Автоматичен прекъсвач 6А/230Vac
- Клеморед за кабел 2.5mm2, комплект 10бр.
- Перфорирана DIN шина с дължина 0.3m</t>
  </si>
  <si>
    <t xml:space="preserve">Доставка и монтаж на LCD monitor 27"  </t>
  </si>
  <si>
    <t>Доставка и монтаж на Кабел S/FTP cat.6</t>
  </si>
  <si>
    <t>Доставка и монтаж. Гофрирани тръби ø25</t>
  </si>
  <si>
    <t>Доставка и монтаж на крепежни елементи, щуцери и спомагателни материали, комплект</t>
  </si>
  <si>
    <t>Доставка и инсталация. Софтуер за мрежово наблюдение на станциите за видеонаблюдение. Интегриране на система към съществуващите</t>
  </si>
  <si>
    <t>Тестване и сертифициране на системата</t>
  </si>
  <si>
    <t>Пускане на системата в експлоатация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</si>
  <si>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</si>
  <si>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</si>
  <si>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</si>
  <si>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</si>
  <si>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</si>
  <si>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</si>
  <si>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</si>
  <si>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</si>
  <si>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</si>
  <si>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</si>
  <si>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</si>
  <si>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к-т</t>
  </si>
  <si>
    <t>Доставка и монтаж на фотоволтаичнен модул, 560 Wp</t>
  </si>
  <si>
    <t>Доставка и монтаж на стрингов инвертор</t>
  </si>
  <si>
    <t>Доставка и полагане на постояннотоков кабел тип PV1-F 4 mm2</t>
  </si>
  <si>
    <t>Доставка и монтаж на конектор MC4 – комплект (мъжки+женски)</t>
  </si>
  <si>
    <t>Доставка и полагане гофрирана PVC тръба, UV защита OD/ID 40/32</t>
  </si>
  <si>
    <t>Доставка и монтаж на силов кабел тип СВТ 4x10mm2</t>
  </si>
  <si>
    <t>Доставка и монтаж на ел. Табло ФЕЦ</t>
  </si>
  <si>
    <t>Доставка и полагане заземителен кабел H07V-K 1x16mm2</t>
  </si>
  <si>
    <t>Доставка и монтаж телескопичен заземителен кол L 1500mm, Ф20мм</t>
  </si>
  <si>
    <t>Доставка и монтаж мултиклема за връзка между проводник AlMgSi ø8 и горещопоцинкована шина 40/4</t>
  </si>
  <si>
    <t>Доставка и монтаж мултиклема за връзка между проводници AlMgSi ø8</t>
  </si>
  <si>
    <t>Заземителен проводник AlMgSi Ф8</t>
  </si>
  <si>
    <t>ОБЩА КОЛИЧЕСТВЕНО-СТОЙНОСТНА СМЕТКА</t>
  </si>
  <si>
    <t>Обект: Градска градина "Слънце", находяща се в ПИ 56126.600.205, гр. Петрич</t>
  </si>
  <si>
    <t>Дезинфекция на водопровод</t>
  </si>
  <si>
    <t>Изпитване на якост и 72-часови проби на водопровода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</si>
  <si>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</si>
  <si>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</si>
  <si>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</si>
  <si>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</si>
  <si>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</si>
  <si>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</si>
  <si>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</si>
  <si>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</si>
  <si>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</si>
  <si>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</si>
  <si>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</si>
  <si>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</si>
  <si>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</si>
  <si>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</si>
  <si>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</si>
  <si>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</si>
  <si>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</si>
  <si>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</si>
  <si>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</si>
  <si>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</si>
  <si>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</si>
  <si>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</si>
  <si>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</si>
  <si>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</si>
  <si>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m³</t>
  </si>
  <si>
    <t>m²</t>
  </si>
  <si>
    <t>Доставка и монтаж на полиетиленови тръби висока плътност DN20мм PN16 вкл.фитинги; Dвънш.=20мм, d=2мм, Dвътр.=16мм</t>
  </si>
  <si>
    <t>Доставка и монтаж на полиетиленови тръби висока плътност DN25мм PN10 вкл.фитинги; Dвънш.=25мм, d=2,3мм, Dвътр.=20,4мм</t>
  </si>
  <si>
    <t>Доставка и монтаж на полиетиленови тръби висока плътност DN32мм PN10 вкл.фитинги; Dвънш.=32мм, d=2мм, Dвътр.=28мм</t>
  </si>
  <si>
    <t>Доставка и монтаж на водовземна скоба ∅100/1"</t>
  </si>
  <si>
    <t>Доставка и монтаж на опорен блок</t>
  </si>
  <si>
    <t>Доставка и монтаж на тротоарен спирателен кран ∅1'' с охранителна гарнитура</t>
  </si>
  <si>
    <t>Доставка и монтаж на тротоарен спирателен кран ∅3/4" с охранителна гарнитура</t>
  </si>
  <si>
    <t>Направа на водомерна шахта по детайл</t>
  </si>
  <si>
    <t>Доставка и монтаж на коляно намалител DN32/DN25</t>
  </si>
  <si>
    <t>Доставка и монтаж на спирателен кран без изпразнител ∅1"</t>
  </si>
  <si>
    <t>Доставка и монтаж на мрежест филтър ∅1"</t>
  </si>
  <si>
    <t>Доставка и монтаж на водомер DN20 - Qз=4m3/h с възможност за дистанционно отчитане</t>
  </si>
  <si>
    <t>Доставка и монтаж на водомер DN15 - Qз=2,5m3/h с възможност за дистанционно отчитане</t>
  </si>
  <si>
    <t>Доставка и монтаж на водомерна шахта ф400 - готово изделие, комплект</t>
  </si>
  <si>
    <t>Доставка и монтаж на възвратна клапа DN20</t>
  </si>
  <si>
    <t>Доставка и монтаж на спирателен кран с изпразнител DN20</t>
  </si>
  <si>
    <t>Доставка и монтаж на възвратна клапа ∅1"</t>
  </si>
  <si>
    <t>Доставка и монтаж на спирателен кран с изпразнител ∅1"</t>
  </si>
  <si>
    <t>Пясъчна подложка 15см</t>
  </si>
  <si>
    <t>Обратна засипка от пясък 25см</t>
  </si>
  <si>
    <t xml:space="preserve">Обратна засипка с баластра </t>
  </si>
  <si>
    <t>Изкоп с ширина 1,00м и средна дълбочина 1,40м</t>
  </si>
  <si>
    <t>Извозване на земна маса на 15 км</t>
  </si>
  <si>
    <t>Доставка и монтаж на сигнална лента</t>
  </si>
  <si>
    <t xml:space="preserve">Доставка и монтаж на детекторна лента </t>
  </si>
  <si>
    <t>4.6</t>
  </si>
  <si>
    <t>4.7</t>
  </si>
  <si>
    <t>4.8</t>
  </si>
  <si>
    <t>4.9</t>
  </si>
  <si>
    <t>4.10</t>
  </si>
  <si>
    <t>Доставка и монтаж на усилени PVC-U тръби DN110; SN10 вкл.фитинги; Dвънш.=110мм, d=3,2мм, Dвътр.=103,6мм</t>
  </si>
  <si>
    <t>Доставка и монтаж на усилени PVC-U тръби DN160; SN10 вкл.фитинги; Dвънш.=160мм, d=4,7мм, Dвътр.=150,6мм</t>
  </si>
  <si>
    <t>Доставка и монтаж на подов сифон DN100 /във водомерната шахта/</t>
  </si>
  <si>
    <t>Ревизионна шахта от готови сглобяеми бетонови пръстени ∅1000 в комплект с капак за ревизионна шахта (КРШ) , бетонови сегменти и чугунен капак ∅600 с гривна, монолитно дъно /H=2-3m/</t>
  </si>
  <si>
    <t>Ревизионна шахта от готови сглобяеми бетонови пръстени ∅1000 в комплект с капак за ревизионна шахта (КРШ) , бетонови сегменти и чугунен капак ∅600 с гривна, монолитно дъно /H=1-2m/</t>
  </si>
  <si>
    <t>Изпитване на хоризонтална канализация на водоплътност</t>
  </si>
  <si>
    <t>Изкоп с ширина 1,20м</t>
  </si>
  <si>
    <t>2.1.1</t>
  </si>
  <si>
    <t>Воден ефект и осветление - специализирано оборудване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</si>
  <si>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</si>
  <si>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</si>
  <si>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</si>
  <si>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</si>
  <si>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</si>
  <si>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</si>
  <si>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</si>
  <si>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</si>
  <si>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</si>
  <si>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</si>
  <si>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</si>
  <si>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</si>
  <si>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</si>
  <si>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</si>
  <si>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</si>
  <si>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</si>
  <si>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</si>
  <si>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</si>
  <si>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</si>
  <si>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</si>
  <si>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</si>
  <si>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</si>
  <si>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</si>
  <si>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</si>
  <si>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</si>
  <si>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</si>
  <si>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</si>
  <si>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</si>
  <si>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</si>
  <si>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</si>
  <si>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</si>
  <si>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</si>
  <si>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</si>
  <si>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</si>
  <si>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</si>
  <si>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</si>
  <si>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</si>
  <si>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</si>
  <si>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</si>
  <si>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</si>
  <si>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</si>
  <si>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</si>
  <si>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</si>
  <si>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</si>
  <si>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</si>
  <si>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</si>
  <si>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</si>
  <si>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</si>
  <si>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</si>
  <si>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Пясък кварцов (торба 25 kg)</t>
  </si>
  <si>
    <t>Стерилизатор работещ с UV светлина, Захранване 1 x 220-240V 50/60Hz, Мощност 72 W, Moщност на осветяване: 72W, Размери: Дължина:730мм, Ширина:215мм, Височина:200мм; Връзки: вход: 1x 2" изход: 2 x 1 1/2"; Минимален дебит 12000л, Максимален дебит 40000 литра, тегло: 6.44кг., Максимално работно налягане 1 bar.</t>
  </si>
  <si>
    <t xml:space="preserve">Вливна дюза за филтрация,  размери (Ф х H) 101 х 31 мм, присъединителен размер 1 1/2", тегло 0.3 кг, материал: Stainless Steel </t>
  </si>
  <si>
    <t>Скимер стенен за филтрация, размери (L x W x H) 350 х 150 х 336 мм, DN 100/2", тегло 5.10 кг., материал: Stainless Steel</t>
  </si>
  <si>
    <t>Комбинирана арматура за вграждане в стени (бетон), Изпълнява  функциите на преливник, допълваща арматура, стойка за монтаж на датчик за ниво, Връзки: 1 x DN100 + 2 x 1"м., Размери: Дължина 340мм, Ширина:271мм, Височина:153мм; материал: неръждаема стомана 1.4571 (AISI 316Ti), тегло: 6.1кг.</t>
  </si>
  <si>
    <t xml:space="preserve">Електронен ниво регулатор, размери (L x W x H) 180 х 180 х 124 мм, защитен клас IP54, входящо работно напрежение 100-240V/ 50-60Hz, 5.0А, изходящо напрежение към електромагнитен клапан 24V/DC, 0.5А, 1 бутон за включване, 1 светлинен индикатор, 3 слота за свързване на датчик за ниво, тегло 2.1 кг, </t>
  </si>
  <si>
    <t>Клапан електромагнитен 1", 24V/DC, нормално затворен, размери (L x W x H) 96 х 70 х 108 мм, посока 2/2, защитен клас IP65, работно налягане: 0.4 - 10.00 bar, материал: месинг, тегло 1.3 кг.</t>
  </si>
  <si>
    <t>Датчик за ниво, размери (L x W x H) 115 х 80 х 46 мм, защитен клас IP68, 3 електрода:  1 маса, 1 долно ниво, 1 горно ниво, денивелация 20 мм, дължина на кабел: 10 метра, тегло: 2.2 кг</t>
  </si>
  <si>
    <t>Потопяема дренажна помпа за замърсени води. Максимален дебит 14500 л/ч, Максимално налягане 1,1 bar. Мощност 0.95kW, Захранване 1 x 230V / 50Hz. Максимална дълбочина на потапяне 7м, Поплавък за следене на нивото, връзка 1 1/2", Максимален размер на частиците 30мм, Размери: Дължина 193мм, Ширина 247мм, Височина 422мм; тегло: 6.8кг.</t>
  </si>
  <si>
    <t>Ел. табло за филтрацията (включително и дефектно-токова защита, таймери и др.)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</si>
  <si>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</si>
  <si>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</si>
  <si>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</si>
  <si>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</si>
  <si>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</si>
  <si>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</si>
  <si>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</si>
  <si>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</si>
  <si>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</si>
  <si>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</si>
  <si>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</si>
  <si>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</si>
  <si>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Помпа с RDM/DMX управление с фабрично присъединени 1 метър комуникационен кабел с DMX кутия и 1 метър захранващ кабел 24V с кабелна кутия, двигател 24V DC EC, Hmax = 2.6 м., Qmax = 95 l/min, максимална мощност 60W, 3А,  време за достигане на максимално мощност 0-100 % за 0.6 сек., Qmin (при DMX стойност - 0): 26 l/min,  максимална дълбочина на потапяне: 4 м, защитен клас IP68, размери (L x W x H) 268 х 142 х 170 мм, тегло: 3.7 кг., 2 DMX канала за управление (канал за пускане и канал за скорост на оборотите), температура на водата: от 4 до 35 градуса, смукател 1 1/2", нагнетател 1", материал филтър на помпа: Plastic/ Stainless steel 1.4301 (AISI 304)</t>
  </si>
  <si>
    <t>Дюза фонтанна, двойно покритие месинг, размери Ф28 мм х H=87 мм,  ширина на върха 14мм,фонтанна височина 0.5 - 4.0 метра, разход 9.5 - 30.7 l/min, налягане 0.07 - 0.54 bar, тегло 0.13 кг., присъединителна резба 1/2", вътрешен размер на отвора Ф8 мм, ъгъл на настройване на водната струя 15 градуса.</t>
  </si>
  <si>
    <t>Адаптор с резба 1", височина 42.3 мм, диаметър 38.0 мм, тегло 0.09 кг., материал: stainless steel</t>
  </si>
  <si>
    <t>Тръба INOX 1", 30cm.</t>
  </si>
  <si>
    <t>Осветително тяло със ринг от неръждаема стомана за вграждане в ниши от камък или метал, със отвор в средата за поставяне върху дюза с ширина до 22мм. Възможност за сух и подводен монтаж (IP68), Цветно осветяване, Сила на общия светлинен поток 837 lm( червен цвят - 240 lm, зелен цвят - 460 lm, син цвят 137 lm), ъгъл на осветеност 16 градуса,  енергийна категория А, волтаж 24V/DC, мощност 21W, 0.95А, с фабрична дължина на кабела 1 метър, защитен клас IP68, размери Ф180 мм х 30 мм височина, материал: Stainless steel 1.4404 (AISI 316L), стъкло, тегло 1.60 кг, възможност за управление с DMX протокол на управление чрез контролер и подводен LED Драйвър</t>
  </si>
  <si>
    <t>Трансформатор подводен 250 24V/01, размери (L x W x H) 260 x 162 x 77 мм, входящо напрежение 100-240V/АС, изходящо напрежение 24V/DC, 10.5 А, слотове: 4 х 24V/DC, дължина на кабел: 10 м., максимална дълбочина на потапяне 4 метра, температура на водата: от 4 до 35 градуса,  защитен клас IP68, тегло: 5.1 кг.</t>
  </si>
  <si>
    <t xml:space="preserve">Подводен LED Драйвър 24V DC/DMX/02, 2 връзки на 24V/DC (вход и изход), 2 връзки за DMX/RDM управление (вход и изход),7.5А, максимална изходяща мощност 180W. 4 броя изходи за хибридни кабели осигуряващи индивидуално управление, защитен клас IP68, размери (L x W x H) 151 х 140 х 70 мм, тегло 1.45 кг </t>
  </si>
  <si>
    <t>Програматор 512 канала RDM /DMX управление, размери (L x W x H) 158 x 94 x 58 мм, тегло: 0.33 кг., защитен клас IP20, захранване: 24V DC/8W, сертификат СЕ, 8 х Digital изхода (24V/DC 1А максимум), 8 х Digital входа, памет MicroSD-Card, други връзки: Ethernet RJ45 10/100Mbit, настройки чрез 2 х 16 Segment LCD Display с 6 бутона, Софтуер WEPS за Windows 7 или по нов., интегриран webserver</t>
  </si>
  <si>
    <t>Комуникационен кабел захранващ DMX, дължина 1.5 метра, диаметър 2 х 0.34 мм2, тегло 0.2 кг, IP68, мъжка-женска резба</t>
  </si>
  <si>
    <t>Комуникационен кабел захранващ DMX, дължина 3.0 метра, диаметър 2 х 0.34 мм2, тегло 0.3 кг, IP68, мъжка-женска резба</t>
  </si>
  <si>
    <t>Комуникационен кабел захранващ DMX, дължина 20.0 метра, диаметър 2 х 0.34 мм2, тегло 1.1 кг, IP68, мъжка-женска резба</t>
  </si>
  <si>
    <t>Краен куплунг за BUS-System DMX, тегло 0.1 кг.</t>
  </si>
  <si>
    <t>Кабел захранващ 24V DC, дължина 1.5 метра, диаметър 2 х 2.5 мм2, тегло 0.38 кг, защитен клас IP68</t>
  </si>
  <si>
    <t>Кабел захранващ 24V DC, дължина 3.0 метра, диаметър 2 х 2.5 мм2, тегло 0.75 кг, защитен клас IP68</t>
  </si>
  <si>
    <t>Кабел захранващ 24V DC, дължина 15.0 метра, диаметър 2 х 2.5 мм2, тегло 2.6 кг, защитен клас IP68</t>
  </si>
  <si>
    <t>Кабел  RV-K 2x2,5mm2</t>
  </si>
  <si>
    <t>Кабел захранващ - хибриден (захранване и управление), 24V/DMX, 1.5 метра, диаметър 4 x 0.34 мм2, тегло 0.25кг, защитен клас IP68</t>
  </si>
  <si>
    <t>Кабел захранващ - хибриден (захранване и управление), 24V/DMX, 1.5 метра, диаметър 4 x 0.34 мм2, тегло 0.37кг, защитен клас IP68</t>
  </si>
  <si>
    <t>Регулируема подпора със самонивелираща се глава H= 315-500 mm</t>
  </si>
  <si>
    <t>LGH Гумена подложка 2мм.</t>
  </si>
  <si>
    <t>Крепежи на оборудване и окабеляване</t>
  </si>
  <si>
    <t>Доставка и монтаж на оборудване за воден ефект</t>
  </si>
  <si>
    <t>Трансформатор 85/265V AC/24V DC 48W/2 A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</si>
  <si>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</si>
  <si>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</si>
  <si>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</si>
  <si>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</si>
  <si>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</si>
  <si>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</si>
  <si>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</si>
  <si>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</si>
  <si>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</si>
  <si>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</si>
  <si>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</si>
  <si>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</si>
  <si>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</si>
  <si>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Филтрация, пълнене и автоматично допълване - специализирани материали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</si>
  <si>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</si>
  <si>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</si>
  <si>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</si>
  <si>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</si>
  <si>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</si>
  <si>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</si>
  <si>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</si>
  <si>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</si>
  <si>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</si>
  <si>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</si>
  <si>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</si>
  <si>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</si>
  <si>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</si>
  <si>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</si>
  <si>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</si>
  <si>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</si>
  <si>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</si>
  <si>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</si>
  <si>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</si>
  <si>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</si>
  <si>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</si>
  <si>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2.4.12</t>
  </si>
  <si>
    <t>2.4.13</t>
  </si>
  <si>
    <t>2.4.14</t>
  </si>
  <si>
    <t>2.5.2</t>
  </si>
  <si>
    <t>2.5.1</t>
  </si>
  <si>
    <t>2.5.3</t>
  </si>
  <si>
    <t>2.5.4</t>
  </si>
  <si>
    <t>2.5.5</t>
  </si>
  <si>
    <t>2.5.6</t>
  </si>
  <si>
    <t>2.5.7</t>
  </si>
  <si>
    <t>2.5.8</t>
  </si>
  <si>
    <t>2.5.9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</si>
  <si>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</si>
  <si>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</si>
  <si>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</si>
  <si>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</si>
  <si>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</si>
  <si>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</si>
  <si>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</si>
  <si>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</si>
  <si>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</si>
  <si>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2.6.10</t>
  </si>
  <si>
    <t>2.6.11</t>
  </si>
  <si>
    <t>2.6.12</t>
  </si>
  <si>
    <t>2.6.13</t>
  </si>
  <si>
    <t>2.6.14</t>
  </si>
  <si>
    <t>2.6.15</t>
  </si>
  <si>
    <t>2.7.1</t>
  </si>
  <si>
    <t>2.7.2</t>
  </si>
  <si>
    <t>2.7.3</t>
  </si>
  <si>
    <t>2.7.4</t>
  </si>
  <si>
    <t>2.7.5</t>
  </si>
  <si>
    <t>2.7.6</t>
  </si>
  <si>
    <t>2.7.7</t>
  </si>
  <si>
    <t>2.7.8</t>
  </si>
  <si>
    <t>2.7.9</t>
  </si>
  <si>
    <t>2.7.10</t>
  </si>
  <si>
    <t>2.8.1</t>
  </si>
  <si>
    <t>2.8.2</t>
  </si>
  <si>
    <t>Тръбна разводка на смукателна част</t>
  </si>
  <si>
    <t>PVC Тръба PN10 Ø63mm.</t>
  </si>
  <si>
    <t>PVC-U коляно - 90° - лепене Ø 63</t>
  </si>
  <si>
    <t>PVC-U тройник - 90°- лепене Ø 63</t>
  </si>
  <si>
    <t>PVC-U муфа - лепене Ø 63</t>
  </si>
  <si>
    <t>PVC-U нипел редуциращ - лепене/външ. резба Ø 50 – 63 – 2 "</t>
  </si>
  <si>
    <t>PVC-U нипел - лепене/външ. резба Ø 63 – 2"</t>
  </si>
  <si>
    <t>PVC-U сферичен кран - PE лепене Ø 63</t>
  </si>
  <si>
    <t>ПЕВП Тръба Ф63 SDR17 / PN10 - 100m-ролка</t>
  </si>
  <si>
    <t xml:space="preserve"> РЕ Адаптор женски PN10 63 x 2”</t>
  </si>
  <si>
    <t xml:space="preserve"> РЕ Коляно женско PN10 63 x 2”</t>
  </si>
  <si>
    <t>Тръбна разводка на нагнетателна част</t>
  </si>
  <si>
    <t>PVC Тръба PN10 Ø50mm.</t>
  </si>
  <si>
    <t>PVC-U коляно - 90° - лепене Ø 50</t>
  </si>
  <si>
    <t>PVC-U коляно - 90° - лепене/вътр. резба Ø 50 - 1 1/2"</t>
  </si>
  <si>
    <t>PVC-U тройник - 90°- лепене Ø 50</t>
  </si>
  <si>
    <t>PVC-U муфа - лепене Ø 50</t>
  </si>
  <si>
    <t>PVC-U редуцираща муфа - лепене Ø 63/50</t>
  </si>
  <si>
    <t>PVC-U холендер - лепене/вътр. резба Ø 63 – 2"</t>
  </si>
  <si>
    <t>PVC-U холендер - лепене/вътр. резба Ø 50 – 1 1/2"</t>
  </si>
  <si>
    <t>PVC-U холендер - лепене/външ. резба Ø 50 - 1 1/2"</t>
  </si>
  <si>
    <t>PVC-U сферичен кран - PE лепене Ø 50</t>
  </si>
  <si>
    <t>ПЕВП Тръба Ф50 SDR17 / PN10 - 100m-ролка</t>
  </si>
  <si>
    <t xml:space="preserve"> РЕ Адаптор женски PN10 50 x 1½”</t>
  </si>
  <si>
    <t xml:space="preserve"> РЕ Коляно женско PN10 50 x 1½”</t>
  </si>
  <si>
    <t>Тръбна разводка  - част промивен и преливен тръбопроводи</t>
  </si>
  <si>
    <t>PVC Тръба SN4 Ø110mm</t>
  </si>
  <si>
    <t>PVC Муфа за канализация с уплътнител Ø110</t>
  </si>
  <si>
    <t>PVC Коляно за канализация с уплътнител Ø110/87.5°</t>
  </si>
  <si>
    <t>PVC-U възвр. клапан с пружина - лепене Ø 50</t>
  </si>
  <si>
    <t>PVC тръби и фитинги за канализация/лепене за свързване с канализационните мрежи</t>
  </si>
  <si>
    <t>Тръбна разводка  - част автоматично допълване</t>
  </si>
  <si>
    <t>PVC Тръба PN16 Ø32mm.</t>
  </si>
  <si>
    <t>PVC-U коляно - 90° - лепене Ø 32</t>
  </si>
  <si>
    <t>PVC-U коляно - 45° - лепене Ø 32</t>
  </si>
  <si>
    <t>PVC-U тройник - 90°- лепене Ø 32</t>
  </si>
  <si>
    <t xml:space="preserve">PVC-U нипел редуциращ - лепене/външ. резба Ø 25 – 32 – 1"   </t>
  </si>
  <si>
    <t>PVC-U коляно - 90° - лепене/вътр. резба Ø 32 - 1"</t>
  </si>
  <si>
    <t>PVC-U коляно - 45° - лепене/ вътр. резба Ø 32 - 1"</t>
  </si>
  <si>
    <t>PVC-U муфа - лепене Ø 32</t>
  </si>
  <si>
    <t>PVC-U холендер - лепене/външ. резба Ø 32 - 1 "</t>
  </si>
  <si>
    <t>PVC-U муфа - лепене/вътр. резба Ø 32  –  1"</t>
  </si>
  <si>
    <t>PVC-U сферичен кран - PE лепене Ø 32</t>
  </si>
  <si>
    <t>PVC  тръби и фитинги за лепене за свързване на системата за допълване с ВиК</t>
  </si>
  <si>
    <t>ПЕВП Тръба Ф32 SDR17 / PN10 - 100m-ролка</t>
  </si>
  <si>
    <t xml:space="preserve"> РЕ Адаптор женски PN10 32 x 1”</t>
  </si>
  <si>
    <t xml:space="preserve"> РЕ Коляно женско PN10 32 x 1”</t>
  </si>
  <si>
    <t>Тръбна разводка  - част кабелен преход</t>
  </si>
  <si>
    <t>Строително монтажни работи</t>
  </si>
  <si>
    <t>Материали: крепежни елементи и др. по помпена станция</t>
  </si>
  <si>
    <t>Доставка и монтаж оборудване филтрация</t>
  </si>
  <si>
    <t>Специализиран продукт</t>
  </si>
  <si>
    <t>1.1.27</t>
  </si>
  <si>
    <t>1.1.28</t>
  </si>
  <si>
    <t>1.1.29</t>
  </si>
  <si>
    <t>1.1.30</t>
  </si>
  <si>
    <t>1.1.31</t>
  </si>
  <si>
    <t>1.1.32</t>
  </si>
  <si>
    <t>1.1.33</t>
  </si>
  <si>
    <t>1.1.34</t>
  </si>
  <si>
    <t>1.1.35</t>
  </si>
  <si>
    <t>1.1.36</t>
  </si>
  <si>
    <t>1.1.37</t>
  </si>
  <si>
    <t>1.1.38</t>
  </si>
  <si>
    <t>1.1.39</t>
  </si>
  <si>
    <t>1.1.40</t>
  </si>
  <si>
    <t>1.1.41</t>
  </si>
  <si>
    <t>1.1.42</t>
  </si>
  <si>
    <t>1.1.43</t>
  </si>
  <si>
    <t>1.1.44</t>
  </si>
  <si>
    <t>1.1.45</t>
  </si>
  <si>
    <t>1.1.46</t>
  </si>
  <si>
    <t>1.1.47</t>
  </si>
  <si>
    <t>1.1.48</t>
  </si>
  <si>
    <t>1.1.49</t>
  </si>
  <si>
    <t>1.1.50</t>
  </si>
  <si>
    <t>1.1.51</t>
  </si>
  <si>
    <t>1.1.52</t>
  </si>
  <si>
    <t>1.1.53</t>
  </si>
  <si>
    <t>Разпръсквач, височина на изкачане 10см, обща височина 15.5см, размер на входната резба 1/2"</t>
  </si>
  <si>
    <t>Дюза за разпръсквач, дефлекторна, регулируема 0-360° - R= 1.8 m</t>
  </si>
  <si>
    <t>Дюза за разпръсквач, дефлекторна, регулируема 0-360° - R= 2.4 m</t>
  </si>
  <si>
    <t>Дюза за разпръсквач, дефлекторна, регулируема 0-360° - R= 3.0 m</t>
  </si>
  <si>
    <t>Дюза за разпръсквач, дефлекторна, регулируема 0-360° - R= 3.7 m</t>
  </si>
  <si>
    <t>Дюза за разпръсквач, дефлекторна, регулируема 0-360° - R= 4.6 m</t>
  </si>
  <si>
    <t>Дюза "МР 800", радиус 1.5 - 3.7 м., рег. сектор (90~210 º), оранжева</t>
  </si>
  <si>
    <t>Дюза "МР 800", радиус 1.5 - 3.7 м., фикс. сектор 360 º, лайм зеленa</t>
  </si>
  <si>
    <t>Дюза, ротаторна, радиус 2.5 - 4.9 м., рег. сектор (90~210 º), тъмночервена</t>
  </si>
  <si>
    <t>Дюза, ротаторна, радиус 2.5 - 4.6 м., рег. сектор (90~210 º), тъмночервена</t>
  </si>
  <si>
    <t>Дюза, ротаторна, радиус 2.5 - 4.6 м., рег. сектор (210~270 º), светлосиня</t>
  </si>
  <si>
    <t>Дюза, ротаторна, радиус 2.5 - 4.6 м., фикс. сектор 360 º, маслинено зелена</t>
  </si>
  <si>
    <t>Дюза, ротаторна, радиус 4 - 6.4 м., рег. сектор (90~210 º), черна</t>
  </si>
  <si>
    <t>Дюза, ротаторна, радиус 4 - 6.4 м., рег. сектор (210~270 º), зелена</t>
  </si>
  <si>
    <t>Дюза, ротаторна, радиус 4 - 6.4 м., фикс. сектор 360 º, червена</t>
  </si>
  <si>
    <t>Дюза, ротаторна, радиус 6.7 - 9.1 м., рег. сектор (90~210 º), синя</t>
  </si>
  <si>
    <t>Дюза, ротаторна, радиус 3.6 - 4.5 м., рег. сектор (45~105 º), светлосиня</t>
  </si>
  <si>
    <t>Дюза, ротаторна, 1.5 - 4.5 м., слонова кост</t>
  </si>
  <si>
    <t>Дюза, ротаторна, 1.5 - 4.5 м., мед</t>
  </si>
  <si>
    <t>Инструмент за настройка, радиус/сектор за ротаторни дюзи</t>
  </si>
  <si>
    <t>Професионална тръба Ф16 мм. - 30 метра ролка, вътрешен диаметър 12мм, работно налягане 5.5бар.</t>
  </si>
  <si>
    <t>Коляно 1/2"-коничен накрайник, спираловина резба, работно налягане до 5.5 бар.</t>
  </si>
  <si>
    <t>Коляно 3/4"-коничен накрайник, спираловидна резба, работно налягане до 5.5бар.</t>
  </si>
  <si>
    <t>Клапан електромагнитен - 1"Ж, без рег.на дебита със соленоид на 24V/AC, работен дебит 0.05-9 м3/ч, работно налягане 1,5-10 bar., височина 13см, дължина 11см, ширина 6см.</t>
  </si>
  <si>
    <t>Клапан електромагнитен  1"M, с  рег.на дебита със соленоид на 24V/AC,  работен дебит 0.05-9 м3/ч, работно налягане 1,5-10 bar., височина 13см, дължина 11см, ширина 6см.</t>
  </si>
  <si>
    <t>Хидроизолираща връзка, за ел. кабел 3 х 1.5mm2, запълнена с електрически непроводим силикон, защитаваща от среди с висока влажност</t>
  </si>
  <si>
    <t>Програматор за напоителни системи, 8 станции, модулен с възможност за разширение до 38, пластмасова кутия, Wi-Fi connection-интернет комуникация, Софтуер за дистанционно управление и възможности за допълнителни настройки според атмосферните условия и данни от метеорологични станции, трансф. 24 ~ 230V EU стандарт, с възможност за работа на 2 програми едновременно, с вграден датчик за следене на напрежението в комуникационните кабели.</t>
  </si>
  <si>
    <t>Модул разширител 8 станции за модулен програматор</t>
  </si>
  <si>
    <t>Датчик за дъжд, нормално затворен, 7,6 m дължина на кабела</t>
  </si>
  <si>
    <t>Шахта за клапани  12" B/G, правоъгълна / 28 x 41 x h=33 cm, със  закл. дръжка</t>
  </si>
  <si>
    <t>Шахта за клапани  20" B/G, правоъгълна / 67 x 49 x h=33 cm, със  закл. дръжка</t>
  </si>
  <si>
    <t xml:space="preserve">Шахта с кран , овална със сферичен кран 3/4" </t>
  </si>
  <si>
    <t>Колектор за клапани 2-пътен / холендров 1"Ж</t>
  </si>
  <si>
    <t>Колектор за клапани 3-пътен / холендров 1"Ж</t>
  </si>
  <si>
    <t>Колектор за клапани 4-пътен / холендров 1"Ж</t>
  </si>
  <si>
    <t>Нипел с уплътнение 1"</t>
  </si>
  <si>
    <t>Коляно / холендър 1" х 1"М</t>
  </si>
  <si>
    <t>Тапа / холендър 1"Ж</t>
  </si>
  <si>
    <t>Спирателен кран сферичен PP/метал 1" М х 1" холендър</t>
  </si>
  <si>
    <t>Филтър дисков "YDT" 1" 120 mesh</t>
  </si>
  <si>
    <t>Филтър 1" м. х 3/4" ж., 150 mesh, метална мрежа с рег. на налягане 1.7 bar.</t>
  </si>
  <si>
    <t>Капков маркуч  Ø16 mm/ 0,33 cm / 2 l/h / 100 m ролка / кафяв</t>
  </si>
  <si>
    <t>Тръба LDPE Ø 16mm / 4 atm./ 100m ролка</t>
  </si>
  <si>
    <t>Тръба LDPE Ø 16mm / 4 atm./ 50m ролка</t>
  </si>
  <si>
    <t>Спирателен кран РЕ Ø16 х 16</t>
  </si>
  <si>
    <t>Адаптор с гайка РЕ Ø16 х 3/4"М</t>
  </si>
  <si>
    <t>Муфа РЕ Ø16 x 16 (100бр.)</t>
  </si>
  <si>
    <t>Коляно РЕ Ø16 x 16 (100бр.)</t>
  </si>
  <si>
    <t>Тройник РЕ Ø16 x 16 x 16 (100бр.)</t>
  </si>
  <si>
    <t>Скоба двойна РЕ Ø16 х 16 (100бр.)</t>
  </si>
  <si>
    <t>Колче фиксиращо РЕ Ø16(20) (100бр.)</t>
  </si>
  <si>
    <t>Тръби, фитинги и кабели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</si>
  <si>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</si>
  <si>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</si>
  <si>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</si>
  <si>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</si>
  <si>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</si>
  <si>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</si>
  <si>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</si>
  <si>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</si>
  <si>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ПВЦ ТРЪБА МУФИРАНА ВЪНШ. КАНАЛ 5m, Ф110мм/3.2мм/ SN4</t>
  </si>
  <si>
    <t>ПЕВП Тръба Ф40 SDR17 / PN10 - 100m-ролка</t>
  </si>
  <si>
    <t>РЕ Муфа PN10 40 X 40</t>
  </si>
  <si>
    <t>РЕ Тройник PN10 40 x 40 x 40</t>
  </si>
  <si>
    <t>РЕ Коляно PN10 40 x 40</t>
  </si>
  <si>
    <t>РЕ Адаптор женски PN10 40 x 1”</t>
  </si>
  <si>
    <t>РЕ Водовземна скоба  PN10  40 X ¾”</t>
  </si>
  <si>
    <t>РЕ Муфа PN10 32 X 32</t>
  </si>
  <si>
    <t>РЕ Тройник PN10 32 x 32 x 32</t>
  </si>
  <si>
    <t>РЕ Коляно PN10 32 x 32</t>
  </si>
  <si>
    <t>РЕ Коляно женско PN10 32 x ¾”</t>
  </si>
  <si>
    <t>РЕ Коляно мъжко PN10 32 x ¾”</t>
  </si>
  <si>
    <t>PE Адаптор женски PN10 32  х 1" холендър ( с О пръстен)</t>
  </si>
  <si>
    <t>РЕ Адаптор мъжки PN10 32 x ¾”</t>
  </si>
  <si>
    <t>РЕ Водовземна скоба  PN10  32 X ¾”</t>
  </si>
  <si>
    <t>Тефлон профи лента</t>
  </si>
  <si>
    <t>Ел. кабел "ШВПС" 3х1.5 мм2</t>
  </si>
  <si>
    <t>Ел. кабел "ШВПС" 4х1.5 мм2</t>
  </si>
  <si>
    <t>Ел. кабел "ШВПС" 5х1.5 мм2</t>
  </si>
  <si>
    <t>1.3.1</t>
  </si>
  <si>
    <t>1.3.2</t>
  </si>
  <si>
    <t>1.3.3</t>
  </si>
  <si>
    <t>Трасировъчни работи</t>
  </si>
  <si>
    <t xml:space="preserve">Изкоп - насип </t>
  </si>
  <si>
    <t>СМР, други разходи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</si>
  <si>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</si>
  <si>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</si>
  <si>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</si>
  <si>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</si>
  <si>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</si>
  <si>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</si>
  <si>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</si>
  <si>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</si>
  <si>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</si>
  <si>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</si>
  <si>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</si>
  <si>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</si>
  <si>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1.4.13</t>
  </si>
  <si>
    <t>1.4.14</t>
  </si>
  <si>
    <t>1.4.15</t>
  </si>
  <si>
    <t>1.4.16</t>
  </si>
  <si>
    <t>1.4.17</t>
  </si>
  <si>
    <t>3" многостъпална потопяема помпа, Qр=3,55 м3/ч. при Hр=45м. P2=1.1 kW, 8,4А, с възможност за честотно управление чрез контролер. Помпата притежава "плуващи" работни колела, всяко с отделен лагер от волфрамов карбид/керамика. Помпата предлага функции за плавен старт и защита от работа на сухо, повдигане, пренапрежение, поднапрежение, претоварване и прегряване. 
Двигателят е монофазен с ротор с постоянен магнит, обезпечаващ оптимална ефективност в широки граници на товара. Двигателят е оборудван със сваляем капак с куплунг.</t>
  </si>
  <si>
    <t>Комплект от мантел, смукателна цедка и стойки за монтаж</t>
  </si>
  <si>
    <t>Контролер  за 3" сондажни помпи осигуряващ постоянно налягане в границите на максималната производителност на помпата, независимо от променливата консумация на вода. Двупосочна комуникация с помпата, възможност за настройка на налягането, индикация за аларма при работа на помапата, защита от работа на сухо, 1 x 100-240V, 50/60Hz.</t>
  </si>
  <si>
    <t>Датчик за налягане 1-6 бар., 2м кабел. 1/2" резба</t>
  </si>
  <si>
    <t>Разширителен съд , 35л, 10 bar, 1", с крачета</t>
  </si>
  <si>
    <t>Манометър, глицеринов, INOX, 25bar</t>
  </si>
  <si>
    <t>Възвратен клапан 1 1/4" месинг</t>
  </si>
  <si>
    <t>Електрически поплавък с кабел 10м</t>
  </si>
  <si>
    <t>Ел. Табло за управление (автоматика, моторзащита, контактори, релета и др.)</t>
  </si>
  <si>
    <t>Спирателен кран сферичен PP/метал 1" Ж х 1" Ж</t>
  </si>
  <si>
    <t>Кран сферичен метален 1 1/4", резба Ж &lt;&gt; резба Ж, KPS</t>
  </si>
  <si>
    <t>Тръбна разводка</t>
  </si>
  <si>
    <t>Крепежни елементи</t>
  </si>
  <si>
    <t>Доставка и монтаж на помпено оборудване</t>
  </si>
  <si>
    <t>Хоризонтален резервоар за подземен монтаж за вода с 2 капака, V=16 000l, L=4.80m, W=2.60m, H=2.30m, тегло 567кг.</t>
  </si>
  <si>
    <t>Транспортни разходи по доставка на резервоар</t>
  </si>
  <si>
    <t>Помпено оборудване и резервоар</t>
  </si>
  <si>
    <t>Тръба гофрирана със сонда за изтегляне на кабел /monoflex/, Ø16/10.7mm</t>
  </si>
  <si>
    <t>Монтажни разходи (при наличие на високи подпочвени води изискващи основа от бетон и опасване с колани против изплаване).</t>
  </si>
  <si>
    <t>Валиране на земна основа за настилки</t>
  </si>
  <si>
    <t>Доставка и полагане на бетонови павета - тъмно сиви</t>
  </si>
  <si>
    <t>Доставка и полагане на бетонови павета - светло сиви</t>
  </si>
  <si>
    <t>Доставка и монтаж на бетонови плочи (плочопътеки)</t>
  </si>
  <si>
    <t>Фракция 0-18мм</t>
  </si>
  <si>
    <t>Н = 20-25 см</t>
  </si>
  <si>
    <t xml:space="preserve">Механизиран изкоп на хумусен пласт за направа на настилки     </t>
  </si>
  <si>
    <t>Фракция 0-63мм</t>
  </si>
  <si>
    <t>Фракция 2/5 или 4/7 mm</t>
  </si>
  <si>
    <t>Доставка и полагане на клинове за бордюри (ограничаващ и фиксиращ PVC профил) чрез полагане 1бр./25сm</t>
  </si>
  <si>
    <t>25x25х50 mm          Широката страна с размер 25 mm се монтира под тревата или чакъла.
Високата разделяща линия с размер 25 mm отделя настилката от тревата/ чакъла</t>
  </si>
  <si>
    <t>Доставка и полагане на бетонови плочи</t>
  </si>
  <si>
    <t>Доставка и полагане на настилка за сух фонтан - бетонни  плочи</t>
  </si>
  <si>
    <t>Перголи</t>
  </si>
  <si>
    <t>Дъсчена обшивка</t>
  </si>
  <si>
    <t xml:space="preserve">Доставка и монтаж на дъсчена обшивка </t>
  </si>
  <si>
    <t>100х40х80 мм</t>
  </si>
  <si>
    <t xml:space="preserve">Доставка и монтаж на кух метален профил </t>
  </si>
  <si>
    <t>Дебелина/Ширина 2х10 см</t>
  </si>
  <si>
    <t>Доставка и монтаж на кростренажор за фитнес на открито</t>
  </si>
  <si>
    <t>Доставка и полагане на горен слой EPDM гранулирана фракция</t>
  </si>
  <si>
    <t xml:space="preserve">Доставка и полагане на горен слой EPDM гранулирана фракция </t>
  </si>
  <si>
    <t xml:space="preserve">Доставка и полагане на долен слой от каучук </t>
  </si>
  <si>
    <t xml:space="preserve">Доставка и монтаж на врати - летящи за рехабилитационна и фитнес площадка </t>
  </si>
  <si>
    <t xml:space="preserve">Доставка и монтаж на ограден стълб </t>
  </si>
  <si>
    <t xml:space="preserve">Доставка и монтаж на оградно пано </t>
  </si>
  <si>
    <t>Премахване/отсичане на дървета в лошо състояние с изваждане на пънове и извозване</t>
  </si>
  <si>
    <t>Насип от хумусен слой               ~ 3792.1 м2</t>
  </si>
  <si>
    <t>H=10см</t>
  </si>
  <si>
    <t>380</t>
  </si>
  <si>
    <t>Минерални торове - комбиниран NPK ~ 2644.8 м2</t>
  </si>
  <si>
    <t>Норма 2,5кг/100м2</t>
  </si>
  <si>
    <t>Укрепване с 3бр. обелени кола, 3 летви-разпънки и колани за привързване</t>
  </si>
  <si>
    <t>Мулч от борова кора                   ~ 1147.3 м2</t>
  </si>
  <si>
    <t>Засаждане на средноразмерна иглолистна растителност</t>
  </si>
  <si>
    <t>Засаждане на средноразмерна широколистна растителност</t>
  </si>
  <si>
    <t>4.2.1</t>
  </si>
  <si>
    <t>4.2.2</t>
  </si>
  <si>
    <t>4.2.3</t>
  </si>
  <si>
    <t>4.1.1</t>
  </si>
  <si>
    <t>4.1.2</t>
  </si>
  <si>
    <t>4.1.3</t>
  </si>
  <si>
    <t>4.1.4</t>
  </si>
  <si>
    <t>4.1.5</t>
  </si>
  <si>
    <t>4.1.6</t>
  </si>
  <si>
    <t>4</t>
  </si>
  <si>
    <t>5</t>
  </si>
  <si>
    <t>4'</t>
  </si>
  <si>
    <t>Abies pinsapo</t>
  </si>
  <si>
    <t>Cupressus arizonica</t>
  </si>
  <si>
    <t>Cupressus sempervirens</t>
  </si>
  <si>
    <t>Pinus maritima / Pinus pinea</t>
  </si>
  <si>
    <t>Pinus mugo pumilio</t>
  </si>
  <si>
    <t>Aesculus carnea</t>
  </si>
  <si>
    <t>Albizia julibrissin</t>
  </si>
  <si>
    <t>Callistemon laevis</t>
  </si>
  <si>
    <t>Celtis australis</t>
  </si>
  <si>
    <t>Diospyros kaki</t>
  </si>
  <si>
    <t xml:space="preserve">Fraxinus ornus </t>
  </si>
  <si>
    <t>Lagerstroemia indica</t>
  </si>
  <si>
    <t>Magnolia grandiflora</t>
  </si>
  <si>
    <t>Platanus orientalis</t>
  </si>
  <si>
    <t>Punica granatum</t>
  </si>
  <si>
    <t xml:space="preserve">Quercus ilex </t>
  </si>
  <si>
    <t>10</t>
  </si>
  <si>
    <t>1</t>
  </si>
  <si>
    <t>2</t>
  </si>
  <si>
    <t>3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</si>
  <si>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</si>
  <si>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</si>
  <si>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</si>
  <si>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</si>
  <si>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</si>
  <si>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</si>
  <si>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</si>
  <si>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</si>
  <si>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</si>
  <si>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</si>
  <si>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Cotoneaster dammeri</t>
  </si>
  <si>
    <t>Erica carnea</t>
  </si>
  <si>
    <t>Lavandula angustifolia</t>
  </si>
  <si>
    <t>Lonicera nitida</t>
  </si>
  <si>
    <t>Potentilla fruticosa</t>
  </si>
  <si>
    <t xml:space="preserve">Prunus laurocerasus </t>
  </si>
  <si>
    <t>Rhododendron ponticum</t>
  </si>
  <si>
    <t>Rosmarinus officinalis</t>
  </si>
  <si>
    <t>Santolina chamaecyparissus</t>
  </si>
  <si>
    <t>Santolina viridis</t>
  </si>
  <si>
    <t>Thymus officinalis</t>
  </si>
  <si>
    <t>Muhlenbergia capillaris</t>
  </si>
  <si>
    <t>Hedera helix</t>
  </si>
  <si>
    <t>Испанска ела               H=220-250     единично/ групи</t>
  </si>
  <si>
    <t>Aризонски кипарис H=100-125          единично/ групи</t>
  </si>
  <si>
    <t>Oбикновен кипарис H=200-250     единично/ групи</t>
  </si>
  <si>
    <t>Морски бор / Пиния H=200-250     единично/ групи</t>
  </si>
  <si>
    <t>Планински бор джудже H=50-100 единично/ акцент</t>
  </si>
  <si>
    <t>Кълбовидна западна туя H=50-60  единично/ групи</t>
  </si>
  <si>
    <t>Червен конски кестен H=250-300     единично/ групи</t>
  </si>
  <si>
    <t>Калистемон                  H=125-150     единично/ анцент</t>
  </si>
  <si>
    <t>Юлибрисинова албиция                          H=250-300     единично/ акцент</t>
  </si>
  <si>
    <t>Южна копривка          H=250-300     единично/ групи</t>
  </si>
  <si>
    <t>Райска ябълка              H=150-180     единично/ акцент</t>
  </si>
  <si>
    <t>Мъждрян                       H=250-300     единично/ групи</t>
  </si>
  <si>
    <t>Индийски люляк         H=120-150     единично/ акцент</t>
  </si>
  <si>
    <t>Вечнозелена магнолия                       H=150-175        единично/ акцент</t>
  </si>
  <si>
    <t>Източен платан          H=220-250     единично/ групи</t>
  </si>
  <si>
    <t>Каменен дъб                H=150-180     единично/ групи</t>
  </si>
  <si>
    <t>Нар                                    H=125-150 единично/ групи</t>
  </si>
  <si>
    <t>Японски чашкодрян H=15-20                              7 бр./m2</t>
  </si>
  <si>
    <t xml:space="preserve">Лъскав нокът                H=20-30                              5 бр./m' ; 9 бр./m2 </t>
  </si>
  <si>
    <t>Цветуща вайгела       H=50-60                              3 бр./m2</t>
  </si>
  <si>
    <t>Бръшлян                        H=20-30                              1 бр./m', 1 бр./m2</t>
  </si>
  <si>
    <t>Доставка и монтаж на метална пейка</t>
  </si>
  <si>
    <t>Полагане на найлоново покритие</t>
  </si>
  <si>
    <t xml:space="preserve">Доставка и полагане на подложен бетон за монтиране на метален профил </t>
  </si>
  <si>
    <t>Доставка и монтаж на дървена греда (чело) 20х6х3см</t>
  </si>
  <si>
    <t>3х5 см</t>
  </si>
  <si>
    <t xml:space="preserve">Доставка и монтаж на електрозаварен габион </t>
  </si>
  <si>
    <t xml:space="preserve">Размери - 50х50х50 см    </t>
  </si>
  <si>
    <t>Доставка и монтаж на кух метален профил с дебелина 2мм</t>
  </si>
  <si>
    <t xml:space="preserve">Доставка и монтаж на дървена греда </t>
  </si>
  <si>
    <t>20х6х3 см</t>
  </si>
  <si>
    <t>Кастрене на счупени, повредени или заболели клони на съществуващи дървета; обработване на отрези, хралупи и повреди по кората и запечатването им.</t>
  </si>
  <si>
    <t>Почистване на терени за затревяване; премахване на храсталачна растителност; заравняване на терена и почвоподготовка.</t>
  </si>
  <si>
    <t>Укрепване на стръмни откоси посредством биоразградими, армирани био рогозки от кокосови влакна.</t>
  </si>
  <si>
    <t>Антидренажен клапан за разпръсвач</t>
  </si>
  <si>
    <t xml:space="preserve">Доставка и полагане на подложен бетон  </t>
  </si>
  <si>
    <t xml:space="preserve">С12/15 </t>
  </si>
  <si>
    <t>H = 6 см</t>
  </si>
  <si>
    <t>2644,8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</si>
  <si>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</si>
  <si>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</si>
  <si>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</si>
  <si>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</si>
  <si>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</si>
  <si>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</si>
  <si>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</si>
  <si>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</si>
  <si>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</si>
  <si>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</si>
  <si>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</si>
  <si>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</si>
  <si>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</si>
  <si>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</si>
  <si>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</si>
  <si>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</si>
  <si>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</si>
  <si>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</si>
  <si>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</si>
  <si>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</si>
  <si>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</si>
  <si>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</si>
  <si>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</si>
  <si>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</si>
  <si>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kg</t>
  </si>
  <si>
    <t>Доставка и полагане на изравнителен слой сипица, ситна фракция с дебелина       5 см</t>
  </si>
  <si>
    <t>Вибропресовани бетонови плочи с мита повърхност, растерни размери (ДхШхВ) 50 x 50 x 6 cm                           Цвят - светло сив</t>
  </si>
  <si>
    <t>Вибропресовани бетонови плочи с мита повърхност, растерни размери (ДхШхВ) 90 x 30 x 6 cm                           Цвят - светло сив</t>
  </si>
  <si>
    <t>Импрегнирани и лакирани дървени дъски 17 х 2 cm, дължина 5 m</t>
  </si>
  <si>
    <t>Метални струни с PVC покритие и държачи</t>
  </si>
  <si>
    <t>Врати от импрегнирана дървесина, Височина/Ширина 90х100 cm</t>
  </si>
  <si>
    <t>Ограни пана от импрегнирана дървесина, Н = 100 см</t>
  </si>
  <si>
    <t>Aдаптиран за хора в неравностойно положение и деца; произведен от стоманена рамка и умивалник от неръждаема стомана, с двe кранчета с бутони, като единият е пригоден за хора с увреждания. Цвят - сиво, RAL 7024</t>
  </si>
  <si>
    <t>L: 191 см B: 56 см H: 82 см, 42 кг                Захващане към настилката - чрез анкериране , Цвят на металната част - сив, RAL 7024</t>
  </si>
  <si>
    <t>L: 39 см B: 39 см H: 90 см                                           35 L  (вкл. бетонна тежест)                        Металните компоненти са покрити с естерно-епоксиден цинков грунд и са прахово боядисани               Цвят - сив, RAL 7024</t>
  </si>
  <si>
    <t>Импрегнирано дърво с размери 8х52х6 см</t>
  </si>
  <si>
    <t>Доставка и монтаж на парково осветително тяло с LED 30W, IP44, в комплект с монтажен стълб с височина 4.00m над терена, Цвят - сив, RAL 7024</t>
  </si>
  <si>
    <t>Дебелина - 0,5 см Цвят - светло син, RAL 5012</t>
  </si>
  <si>
    <t>Дебелина -  0,5 см Цвят - тъмно син, RAL 5002</t>
  </si>
  <si>
    <t>Дебелина - 0,5 см Цвят - оранжев, RAL 2008</t>
  </si>
  <si>
    <t>Метален ограден стълб от импрегнирано дърво, Н = 100 см, Цвят - сив, RAL 7024</t>
  </si>
  <si>
    <t>Дебелина -  2,5см</t>
  </si>
  <si>
    <t>Прахово боядисване на металните профили с антикорозионна боя</t>
  </si>
  <si>
    <t>Цвят - сив, RAL 7024</t>
  </si>
  <si>
    <t>Доставка и пълнене на габионите с речен камък</t>
  </si>
  <si>
    <t>Размери 8 - 13 cm и 13 - 25 cm. Да се използва и наличния на терен речен камък.</t>
  </si>
  <si>
    <t>Вибропресовани бетонови блокчета с трапецовидна форма в комбинация от 5 размера, настилка с мит покривен слой върху лицевата повърхнина Натуро с дебелина 6см. и размери 10,4х8,5х9,4; 9,4х8,5х8,4; 8,4х8,5х7,4; 7,4х8,5х6,4; 6,4х8,5х5,4см; цвят антрацит. Изделията са с вълнообразни кантове без фаска. </t>
  </si>
  <si>
    <t>Вибропресовани бетонови блокчета с правоъгълна форма, настилка с мит покривен слой върху лицевата повърхнина Натуро с дебелина 6см. и размери 10х20; светло сив цвят. Изделията са с вълнообразни кантове без фаска. </t>
  </si>
  <si>
    <t>Изкопни работи</t>
  </si>
  <si>
    <t>-</t>
  </si>
  <si>
    <t>5.1</t>
  </si>
  <si>
    <t>5.2</t>
  </si>
  <si>
    <t>5.3</t>
  </si>
  <si>
    <t>6.1</t>
  </si>
  <si>
    <t>6.2</t>
  </si>
  <si>
    <t>6.3</t>
  </si>
  <si>
    <t>7.</t>
  </si>
  <si>
    <t>7.1</t>
  </si>
  <si>
    <t>7.2</t>
  </si>
  <si>
    <t>7.3</t>
  </si>
  <si>
    <t>7.4</t>
  </si>
  <si>
    <t>8.</t>
  </si>
  <si>
    <t>8.1</t>
  </si>
  <si>
    <t>8.2</t>
  </si>
  <si>
    <t>8.3</t>
  </si>
  <si>
    <t>8.4</t>
  </si>
  <si>
    <t>9.</t>
  </si>
  <si>
    <t>9.1</t>
  </si>
  <si>
    <t>9.2</t>
  </si>
  <si>
    <t>9.3</t>
  </si>
  <si>
    <t>10.</t>
  </si>
  <si>
    <t>10.1</t>
  </si>
  <si>
    <t>10.2</t>
  </si>
  <si>
    <t>10.3</t>
  </si>
  <si>
    <t>10.4</t>
  </si>
  <si>
    <t>B500 B</t>
  </si>
  <si>
    <t>C20/25</t>
  </si>
  <si>
    <t>Трошен камък</t>
  </si>
  <si>
    <t>ПЕ фолио</t>
  </si>
  <si>
    <t xml:space="preserve">S235 </t>
  </si>
  <si>
    <t>ЗОНА 1 - Рехабилитационна площадка</t>
  </si>
  <si>
    <t>ЗОНА 2 - Фонтан</t>
  </si>
  <si>
    <t>ЗОНА 4 - Стълбищна група</t>
  </si>
  <si>
    <t>ЗОНА 5 - Стълбищна група</t>
  </si>
  <si>
    <t>ЗОНА 6 - Стълбищна група</t>
  </si>
  <si>
    <t>ЗОНА 7 - Перголна конструкция</t>
  </si>
  <si>
    <t>ЗОНА 8 - Перголна конструкция</t>
  </si>
  <si>
    <t>ЗОНА 9 - Помпено помещение</t>
  </si>
  <si>
    <t>ЗОНА 10 - Фотоволтаична централа</t>
  </si>
  <si>
    <t>Кисел трън H=20-30      5 бр./m2</t>
  </si>
  <si>
    <t>Дамеров котонеастър H=20-30                                 5 бр./m2</t>
  </si>
  <si>
    <t>Грапава дойция           H=20-30                              5 бр./m2</t>
  </si>
  <si>
    <t>Пирен, Червена ерика H=15-30                            9 бр./m2</t>
  </si>
  <si>
    <t>Фортунов чашкодрян H=15-20                              5 бр./m2</t>
  </si>
  <si>
    <t>Лавандула                     H=10-20                            9 бр./m2</t>
  </si>
  <si>
    <t>Златист физокарпус H=30-40                                    3 бр./m2</t>
  </si>
  <si>
    <t>Храстовиден очиболец                         H=20-30                              5 бр./m2</t>
  </si>
  <si>
    <t xml:space="preserve">Лавровишна                 H=40-50                              3 бр./m' </t>
  </si>
  <si>
    <t>Рододендрон             H=60-80                                    3 бр./m2</t>
  </si>
  <si>
    <t>Розмарин                        H=15-25                             9 бр./m2</t>
  </si>
  <si>
    <t>Сантолина                       H=15-25                            9 бр./m2</t>
  </si>
  <si>
    <t>Сантолина                     H=15-25                            9 бр./m2</t>
  </si>
  <si>
    <t>Японска спирея, златиста форма           H=30-40                              5 бр./m2</t>
  </si>
  <si>
    <t>Японска спирея          H=30-40                              5 бр./m2</t>
  </si>
  <si>
    <t>Мащерка                        H=15-25                            9 бр./m2</t>
  </si>
  <si>
    <t>Цветуща вайгела       H=50-60                               5 бр./m2</t>
  </si>
  <si>
    <t>Японска тръстика       H=30-40                              5 бр./m2</t>
  </si>
  <si>
    <t>Мюленбергия капиларис                     H=30-40                              5 бр./m2</t>
  </si>
  <si>
    <t>Доставка и монтаж на мултифункционална пейка за трениране</t>
  </si>
  <si>
    <t>Размер: Ш/Д/В - 2000/400/600</t>
  </si>
  <si>
    <t>Доставка и монтаж на комбинирано съоръжение за стрийт фитнес</t>
  </si>
  <si>
    <t>Комбинирано съоръжение състоящо се от: 2 бр. лостове на различна височина, 2-на успоредка, шведска стена</t>
  </si>
  <si>
    <t xml:space="preserve">Кростренажор – външен фитнес уред – подпомага дейността на сърцето и тренира комплексно мускулатурата на цялото тяло. </t>
  </si>
  <si>
    <t>Доставка и монтаж тренажор за раздвижване на хора с увреждания</t>
  </si>
  <si>
    <t>Размер: 1,37х0,95х1,032м</t>
  </si>
  <si>
    <t xml:space="preserve">Доставка и монтаж на велоергометър </t>
  </si>
  <si>
    <t>Размер: 0,90х0,68м</t>
  </si>
  <si>
    <t>Транспортни и доставки на материали, вкл. монтажни работи на  тръби, фитинги и специализиран продукт</t>
  </si>
  <si>
    <t xml:space="preserve">Доставка и монтаж на персонален компютър </t>
  </si>
  <si>
    <t xml:space="preserve">Доставка и монтаж на оптичен кабел 4 влакна, FO кабел 4 Fibers 9/125 SLT/TW </t>
  </si>
  <si>
    <t xml:space="preserve">Декинг </t>
  </si>
  <si>
    <t xml:space="preserve">ЗОНА 3 - Декинг площадка </t>
  </si>
  <si>
    <t>Вибропресовани бетонови плочи с мита повърхност, растерни размери (ДхШхВ) 90 x 30 x 5 cm. Цвят - антрацит</t>
  </si>
  <si>
    <t>Вибропресовани бетонови плочи с мита повърхност, растерни размери (ДхШхВ) 90 x 30 x 5 cm. Цвят - светло сив</t>
  </si>
  <si>
    <t>Доставка и полагане на основа от трошен камък с дебелина 20 см</t>
  </si>
  <si>
    <t>Доставка и полагане на основа от трошен камък с дебелина 10 см</t>
  </si>
  <si>
    <t>ОБЩО СМР:</t>
  </si>
  <si>
    <t>ОБЩО СМР, С ДДС:</t>
  </si>
  <si>
    <t>Дюза за разпръсквач, дефлекторна, регулируема 0-360° - R= 1.2 m</t>
  </si>
  <si>
    <t>Кабелна арматура , за директен монтаж върху сифон за вграждане DN100, 7бр хидроизолиращи прохода за кабели, материал: томбак, размери: Ø170мм, височина 50мм, тегло 1.9 кг.</t>
  </si>
  <si>
    <t>Сифон за вграждане в бетон, DN100, размери: Ø100мм, височина 141мм, материал: томбак, тегло 3.2кг.</t>
  </si>
  <si>
    <t>Сифон за вграждане в бетон, DN70, размери: Ø70мм, височина 110мм, материал: томбак, тегло 2.1кг.</t>
  </si>
  <si>
    <t>Решетка за сифон, Ø150мм, DN70, материал: неръждаема стомана 1.4301 (AISI 304), тегло: 0.6кг.</t>
  </si>
  <si>
    <r>
      <t>Thuja occidentalis '</t>
    </r>
    <r>
      <rPr>
        <sz val="12"/>
        <color theme="1"/>
        <rFont val="Times New Roman"/>
        <family val="1"/>
        <charset val="204"/>
      </rPr>
      <t>Danica</t>
    </r>
    <r>
      <rPr>
        <i/>
        <sz val="12"/>
        <color theme="1"/>
        <rFont val="Times New Roman"/>
        <family val="1"/>
        <charset val="204"/>
      </rPr>
      <t>'</t>
    </r>
  </si>
  <si>
    <r>
      <t>Berberis thunbergii</t>
    </r>
    <r>
      <rPr>
        <sz val="12"/>
        <color theme="1"/>
        <rFont val="Times New Roman"/>
        <family val="1"/>
        <charset val="204"/>
      </rPr>
      <t xml:space="preserve"> 'Atropurpurea Nana'</t>
    </r>
  </si>
  <si>
    <r>
      <t>Deutzia crenata</t>
    </r>
    <r>
      <rPr>
        <sz val="12"/>
        <color theme="1"/>
        <rFont val="Times New Roman"/>
        <family val="1"/>
        <charset val="204"/>
      </rPr>
      <t xml:space="preserve"> 'Nikko'</t>
    </r>
  </si>
  <si>
    <r>
      <t xml:space="preserve">Euonymus fortunei </t>
    </r>
    <r>
      <rPr>
        <sz val="12"/>
        <color theme="1"/>
        <rFont val="Times New Roman"/>
        <family val="1"/>
        <charset val="204"/>
      </rPr>
      <t>'Emerald &amp; Gold'</t>
    </r>
  </si>
  <si>
    <r>
      <t xml:space="preserve">Euonymus fortunei </t>
    </r>
    <r>
      <rPr>
        <sz val="12"/>
        <color theme="1"/>
        <rFont val="Times New Roman"/>
        <family val="1"/>
        <charset val="204"/>
      </rPr>
      <t>'Emerald Gaiety'</t>
    </r>
  </si>
  <si>
    <r>
      <rPr>
        <i/>
        <sz val="12"/>
        <color theme="1"/>
        <rFont val="Times New Roman"/>
        <family val="1"/>
        <charset val="204"/>
      </rPr>
      <t>Euonymus japonicus</t>
    </r>
    <r>
      <rPr>
        <sz val="12"/>
        <color theme="1"/>
        <rFont val="Times New Roman"/>
        <family val="1"/>
        <charset val="204"/>
      </rPr>
      <t xml:space="preserve"> 'Microphyllus'</t>
    </r>
  </si>
  <si>
    <r>
      <t>Physocarpus opulifolius '</t>
    </r>
    <r>
      <rPr>
        <sz val="12"/>
        <color theme="1"/>
        <rFont val="Times New Roman"/>
        <family val="1"/>
        <charset val="204"/>
      </rPr>
      <t>D’Arts Gold'</t>
    </r>
  </si>
  <si>
    <r>
      <t xml:space="preserve">Spiraea japonica </t>
    </r>
    <r>
      <rPr>
        <sz val="12"/>
        <color theme="1"/>
        <rFont val="Times New Roman"/>
        <family val="1"/>
        <charset val="204"/>
      </rPr>
      <t>'Golden Princess'</t>
    </r>
  </si>
  <si>
    <r>
      <t xml:space="preserve">Spiraea japonica </t>
    </r>
    <r>
      <rPr>
        <sz val="12"/>
        <color theme="1"/>
        <rFont val="Times New Roman"/>
        <family val="1"/>
        <charset val="204"/>
      </rPr>
      <t>'Little Princess'</t>
    </r>
  </si>
  <si>
    <r>
      <t xml:space="preserve">Weigela florida </t>
    </r>
    <r>
      <rPr>
        <sz val="12"/>
        <color theme="1"/>
        <rFont val="Times New Roman"/>
        <family val="1"/>
        <charset val="204"/>
      </rPr>
      <t>'Red Prince'</t>
    </r>
  </si>
  <si>
    <r>
      <t xml:space="preserve">Weigela florida </t>
    </r>
    <r>
      <rPr>
        <sz val="12"/>
        <color theme="1"/>
        <rFont val="Times New Roman"/>
        <family val="1"/>
        <charset val="204"/>
      </rPr>
      <t>'Alexandra'</t>
    </r>
  </si>
  <si>
    <r>
      <t xml:space="preserve">Carex morrowii </t>
    </r>
    <r>
      <rPr>
        <sz val="12"/>
        <color theme="1"/>
        <rFont val="Times New Roman"/>
        <family val="1"/>
        <charset val="204"/>
      </rPr>
      <t>'Ice Dance'</t>
    </r>
  </si>
  <si>
    <r>
      <t>m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</si>
  <si>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m</t>
    </r>
    <r>
      <rPr>
        <vertAlign val="superscript"/>
        <sz val="12"/>
        <color theme="1"/>
        <rFont val="Times New Roman"/>
        <family val="1"/>
        <charset val="20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</si>
</sst>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лв.&quot;"/>
    <numFmt numFmtId="165" formatCode="0.0"/>
    <numFmt numFmtId="166" formatCode="_-* #,##0.00\ _л_в_-;\-* #,##0.00\ _л_в_-;_-* &quot;-&quot;??\ _л_в_-;_-@_-"/>
  </numFmts>
  <fonts count="15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ok"/>
    </font>
    <font>
      <sz val="10"/>
      <name val="MS Sans Serif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22222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49" fontId="4" fillId="0" borderId="0"/>
    <xf numFmtId="0" fontId="3" fillId="0" borderId="0"/>
  </cellStyleXfs>
  <cellXfs count="100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9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9" fontId="8" fillId="2" borderId="1" xfId="0" applyNumberFormat="1" applyFont="1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10" fillId="7" borderId="1" xfId="0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49" fontId="9" fillId="7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7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left"/>
    </xf>
    <xf numFmtId="0" fontId="7" fillId="7" borderId="5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/>
    </xf>
    <xf numFmtId="165" fontId="8" fillId="4" borderId="1" xfId="0" applyNumberFormat="1" applyFont="1" applyFill="1" applyBorder="1" applyAlignment="1">
      <alignment horizontal="left" vertical="center"/>
    </xf>
    <xf numFmtId="164" fontId="7" fillId="0" borderId="0" xfId="0" applyNumberFormat="1" applyFont="1"/>
    <xf numFmtId="49" fontId="9" fillId="0" borderId="1" xfId="0" applyNumberFormat="1" applyFont="1" applyBorder="1" applyAlignment="1">
      <alignment horizontal="center"/>
    </xf>
    <xf numFmtId="0" fontId="12" fillId="7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horizontal="left" vertical="center"/>
    </xf>
    <xf numFmtId="165" fontId="7" fillId="0" borderId="5" xfId="0" applyNumberFormat="1" applyFont="1" applyBorder="1" applyAlignment="1">
      <alignment vertical="center"/>
    </xf>
    <xf numFmtId="165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8" fillId="4" borderId="4" xfId="0" applyNumberFormat="1" applyFont="1" applyFill="1" applyBorder="1" applyAlignment="1">
      <alignment horizontal="left" vertical="center"/>
    </xf>
    <xf numFmtId="49" fontId="8" fillId="4" borderId="6" xfId="0" applyNumberFormat="1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vertical="center" wrapText="1"/>
    </xf>
    <xf numFmtId="49" fontId="7" fillId="7" borderId="1" xfId="0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4" fontId="9" fillId="0" borderId="1" xfId="0" applyNumberFormat="1" applyFont="1" applyBorder="1" applyAlignment="1">
      <alignment horizontal="left" vertical="center" wrapText="1"/>
    </xf>
  </cellXfs>
  <cellStyles count="13">
    <cellStyle name="Comma 2" xfId="3" xr:uid="{00000000-0005-0000-0000-000000000000}"/>
    <cellStyle name="Normal" xfId="0" builtinId="0"/>
    <cellStyle name="Normal 2" xfId="1" xr:uid="{00000000-0005-0000-0000-000003000000}"/>
    <cellStyle name="Normal 2 2" xfId="5" xr:uid="{00000000-0005-0000-0000-000004000000}"/>
    <cellStyle name="Normal 2 2 2" xfId="6" xr:uid="{00000000-0005-0000-0000-000005000000}"/>
    <cellStyle name="Normal 2 2 2 2" xfId="7" xr:uid="{00000000-0005-0000-0000-000006000000}"/>
    <cellStyle name="Normal 2 2 3" xfId="8" xr:uid="{00000000-0005-0000-0000-000007000000}"/>
    <cellStyle name="Normal 2 3" xfId="9" xr:uid="{00000000-0005-0000-0000-000008000000}"/>
    <cellStyle name="Normal 2 4" xfId="10" xr:uid="{00000000-0005-0000-0000-000009000000}"/>
    <cellStyle name="Normal 2 5" xfId="4" xr:uid="{00000000-0005-0000-0000-00000A000000}"/>
    <cellStyle name="Normal 3" xfId="11" xr:uid="{00000000-0005-0000-0000-00000B000000}"/>
    <cellStyle name="Normal 3 2" xfId="12" xr:uid="{00000000-0005-0000-0000-00000C000000}"/>
    <cellStyle name="Нормален 2" xfId="2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67"/>
  <sheetViews>
    <sheetView tabSelected="1" workbookViewId="0">
      <pane ySplit="4" topLeftCell="A5" activePane="bottomLeft" state="frozen"/>
      <selection pane="bottomLeft" activeCell="G3" sqref="G1:G1048576"/>
    </sheetView>
  </sheetViews>
  <sheetFormatPr defaultColWidth="9.1015625" defaultRowHeight="15.3"/>
  <cols>
    <col min="1" max="1" width="3.89453125" style="14" customWidth="1"/>
    <col min="2" max="2" width="6.1015625" style="15" customWidth="1"/>
    <col min="3" max="3" width="27.1015625" style="16" customWidth="1"/>
    <col min="4" max="4" width="19.89453125" style="14" customWidth="1"/>
    <col min="5" max="5" width="5.7890625" style="2" customWidth="1"/>
    <col min="6" max="6" width="7" style="2" customWidth="1"/>
    <col min="7" max="7" width="10.41796875" style="14" customWidth="1"/>
    <col min="8" max="8" width="17.7890625" style="14" customWidth="1"/>
    <col min="9" max="11" width="9.1015625" style="14"/>
    <col min="12" max="12" width="13.89453125" style="14" customWidth="1"/>
    <col min="13" max="16384" width="9.1015625" style="14"/>
  </cols>
  <sheetData>
    <row r="1" spans="1:12" ht="30" customHeight="1">
      <c r="A1" s="12"/>
      <c r="B1" s="88" t="s">
        <v>143</v>
      </c>
      <c r="C1" s="88"/>
      <c r="D1" s="88"/>
      <c r="E1" s="88"/>
      <c r="F1" s="88"/>
    </row>
    <row r="2" spans="1:12" ht="30" customHeight="1">
      <c r="A2" s="12"/>
      <c r="B2" s="88" t="s">
        <v>142</v>
      </c>
      <c r="C2" s="88"/>
      <c r="D2" s="88"/>
      <c r="E2" s="88"/>
      <c r="F2" s="88"/>
    </row>
    <row r="3" spans="1:12" ht="15" customHeight="1" thickBot="1"/>
    <row r="4" spans="1:12" s="1" customFormat="1" ht="30" customHeight="1" thickBot="1">
      <c r="A4" s="17"/>
      <c r="B4" s="18" t="s">
        <v>14</v>
      </c>
      <c r="C4" s="19" t="s">
        <v>0</v>
      </c>
      <c r="D4" s="19" t="s">
        <v>15</v>
      </c>
      <c r="E4" s="19" t="s">
        <v>12</v>
      </c>
      <c r="F4" s="19" t="s">
        <v>13</v>
      </c>
    </row>
    <row r="5" spans="1:12" s="1" customFormat="1" ht="15" customHeight="1">
      <c r="B5" s="89"/>
      <c r="C5" s="89"/>
      <c r="D5" s="89"/>
      <c r="E5" s="89"/>
      <c r="F5" s="89"/>
    </row>
    <row r="6" spans="1:12" s="1" customFormat="1" ht="15" customHeight="1">
      <c r="A6" s="83" t="s">
        <v>2</v>
      </c>
      <c r="B6" s="13" t="s">
        <v>2</v>
      </c>
      <c r="C6" s="20" t="s">
        <v>38</v>
      </c>
      <c r="D6" s="21"/>
      <c r="E6" s="21"/>
      <c r="F6" s="21"/>
    </row>
    <row r="7" spans="1:12" s="1" customFormat="1" ht="15" customHeight="1">
      <c r="A7" s="83"/>
      <c r="B7" s="22" t="s">
        <v>41</v>
      </c>
      <c r="C7" s="84" t="s">
        <v>16</v>
      </c>
      <c r="D7" s="84"/>
      <c r="E7" s="23"/>
      <c r="F7" s="23"/>
    </row>
    <row r="8" spans="1:12" s="1" customFormat="1" ht="15" customHeight="1">
      <c r="A8" s="83"/>
      <c r="B8" s="24" t="s">
        <v>9</v>
      </c>
      <c r="C8" s="25" t="s">
        <v>28</v>
      </c>
      <c r="D8" s="26"/>
      <c r="E8" s="27" t="s">
        <v>171</v>
      </c>
      <c r="F8" s="10">
        <v>1210.8</v>
      </c>
    </row>
    <row r="9" spans="1:12" s="1" customFormat="1" ht="47.25" customHeight="1">
      <c r="A9" s="83"/>
      <c r="B9" s="29" t="s">
        <v>64</v>
      </c>
      <c r="C9" s="30" t="s">
        <v>585</v>
      </c>
      <c r="D9" s="31" t="s">
        <v>584</v>
      </c>
      <c r="E9" s="11" t="s">
        <v>170</v>
      </c>
      <c r="F9" s="9">
        <v>302.7</v>
      </c>
      <c r="L9" s="78"/>
    </row>
    <row r="10" spans="1:12" s="1" customFormat="1" ht="33.75" customHeight="1">
      <c r="A10" s="83"/>
      <c r="B10" s="29" t="s">
        <v>65</v>
      </c>
      <c r="C10" s="30" t="s">
        <v>579</v>
      </c>
      <c r="D10" s="31"/>
      <c r="E10" s="11" t="s">
        <v>171</v>
      </c>
      <c r="F10" s="9">
        <v>1210.8</v>
      </c>
      <c r="L10" s="78"/>
    </row>
    <row r="11" spans="1:12" s="1" customFormat="1" ht="60" customHeight="1">
      <c r="A11" s="83"/>
      <c r="B11" s="29" t="s">
        <v>211</v>
      </c>
      <c r="C11" s="30" t="s">
        <v>833</v>
      </c>
      <c r="D11" s="31" t="s">
        <v>586</v>
      </c>
      <c r="E11" s="11" t="s">
        <v>170</v>
      </c>
      <c r="F11" s="9">
        <v>243</v>
      </c>
      <c r="L11" s="78"/>
    </row>
    <row r="12" spans="1:12" s="1" customFormat="1" ht="60" customHeight="1">
      <c r="A12" s="83"/>
      <c r="B12" s="29" t="s">
        <v>212</v>
      </c>
      <c r="C12" s="30" t="s">
        <v>834</v>
      </c>
      <c r="D12" s="31" t="s">
        <v>583</v>
      </c>
      <c r="E12" s="11" t="s">
        <v>170</v>
      </c>
      <c r="F12" s="9">
        <v>121</v>
      </c>
      <c r="L12" s="78"/>
    </row>
    <row r="13" spans="1:12" s="1" customFormat="1" ht="61.5" customHeight="1">
      <c r="A13" s="83"/>
      <c r="B13" s="29" t="s">
        <v>213</v>
      </c>
      <c r="C13" s="30" t="s">
        <v>734</v>
      </c>
      <c r="D13" s="30" t="s">
        <v>587</v>
      </c>
      <c r="E13" s="11" t="s">
        <v>170</v>
      </c>
      <c r="F13" s="9">
        <v>73</v>
      </c>
      <c r="L13" s="78"/>
    </row>
    <row r="14" spans="1:12" s="1" customFormat="1" ht="149.25" customHeight="1">
      <c r="A14" s="83"/>
      <c r="B14" s="29" t="s">
        <v>214</v>
      </c>
      <c r="C14" s="30" t="s">
        <v>588</v>
      </c>
      <c r="D14" s="32" t="s">
        <v>589</v>
      </c>
      <c r="E14" s="9" t="s">
        <v>79</v>
      </c>
      <c r="F14" s="9">
        <v>605.6</v>
      </c>
      <c r="L14" s="78"/>
    </row>
    <row r="15" spans="1:12" s="1" customFormat="1" ht="285" customHeight="1">
      <c r="A15" s="83"/>
      <c r="B15" s="29" t="s">
        <v>215</v>
      </c>
      <c r="C15" s="30" t="s">
        <v>580</v>
      </c>
      <c r="D15" s="33" t="s">
        <v>755</v>
      </c>
      <c r="E15" s="11" t="s">
        <v>171</v>
      </c>
      <c r="F15" s="9">
        <v>552</v>
      </c>
      <c r="L15" s="78"/>
    </row>
    <row r="16" spans="1:12" s="1" customFormat="1" ht="195" customHeight="1">
      <c r="A16" s="83"/>
      <c r="B16" s="29" t="s">
        <v>216</v>
      </c>
      <c r="C16" s="30" t="s">
        <v>581</v>
      </c>
      <c r="D16" s="33" t="s">
        <v>756</v>
      </c>
      <c r="E16" s="11" t="s">
        <v>171</v>
      </c>
      <c r="F16" s="9">
        <v>563</v>
      </c>
      <c r="L16" s="78"/>
    </row>
    <row r="17" spans="1:12" s="1" customFormat="1" ht="105" customHeight="1">
      <c r="A17" s="83"/>
      <c r="B17" s="29" t="s">
        <v>217</v>
      </c>
      <c r="C17" s="30" t="s">
        <v>591</v>
      </c>
      <c r="D17" s="33" t="s">
        <v>735</v>
      </c>
      <c r="E17" s="11" t="s">
        <v>171</v>
      </c>
      <c r="F17" s="9">
        <v>58</v>
      </c>
      <c r="L17" s="78"/>
    </row>
    <row r="18" spans="1:12" s="1" customFormat="1" ht="107.1">
      <c r="A18" s="83"/>
      <c r="B18" s="29" t="s">
        <v>218</v>
      </c>
      <c r="C18" s="30" t="s">
        <v>582</v>
      </c>
      <c r="D18" s="33" t="s">
        <v>736</v>
      </c>
      <c r="E18" s="9" t="s">
        <v>17</v>
      </c>
      <c r="F18" s="9">
        <v>154</v>
      </c>
      <c r="L18" s="78"/>
    </row>
    <row r="19" spans="1:12" s="1" customFormat="1">
      <c r="A19" s="83"/>
      <c r="B19" s="24" t="s">
        <v>10</v>
      </c>
      <c r="C19" s="25" t="s">
        <v>29</v>
      </c>
      <c r="D19" s="26"/>
      <c r="E19" s="27" t="s">
        <v>171</v>
      </c>
      <c r="F19" s="10">
        <v>13.5</v>
      </c>
      <c r="L19" s="78"/>
    </row>
    <row r="20" spans="1:12" s="1" customFormat="1" ht="91.8">
      <c r="A20" s="83"/>
      <c r="B20" s="29" t="s">
        <v>235</v>
      </c>
      <c r="C20" s="30" t="s">
        <v>590</v>
      </c>
      <c r="D20" s="33" t="s">
        <v>831</v>
      </c>
      <c r="E20" s="11" t="s">
        <v>171</v>
      </c>
      <c r="F20" s="9">
        <v>18</v>
      </c>
      <c r="L20" s="78"/>
    </row>
    <row r="21" spans="1:12" s="1" customFormat="1" ht="91.8">
      <c r="A21" s="83"/>
      <c r="B21" s="29" t="s">
        <v>236</v>
      </c>
      <c r="C21" s="30" t="s">
        <v>590</v>
      </c>
      <c r="D21" s="33" t="s">
        <v>832</v>
      </c>
      <c r="E21" s="11" t="s">
        <v>171</v>
      </c>
      <c r="F21" s="9">
        <v>15</v>
      </c>
      <c r="L21" s="78"/>
    </row>
    <row r="22" spans="1:12" s="1" customFormat="1">
      <c r="A22" s="83"/>
      <c r="B22" s="34" t="s">
        <v>11</v>
      </c>
      <c r="C22" s="35" t="s">
        <v>592</v>
      </c>
      <c r="D22" s="36"/>
      <c r="E22" s="37"/>
      <c r="F22" s="37"/>
      <c r="L22" s="78"/>
    </row>
    <row r="23" spans="1:12" s="1" customFormat="1" ht="60" customHeight="1">
      <c r="A23" s="83"/>
      <c r="B23" s="29" t="s">
        <v>537</v>
      </c>
      <c r="C23" s="30" t="s">
        <v>593</v>
      </c>
      <c r="D23" s="38" t="s">
        <v>737</v>
      </c>
      <c r="E23" s="11" t="s">
        <v>170</v>
      </c>
      <c r="F23" s="9">
        <v>15</v>
      </c>
      <c r="L23" s="78"/>
    </row>
    <row r="24" spans="1:12" s="1" customFormat="1" ht="30.6">
      <c r="A24" s="83"/>
      <c r="B24" s="29" t="s">
        <v>538</v>
      </c>
      <c r="C24" s="30" t="s">
        <v>738</v>
      </c>
      <c r="D24" s="39"/>
      <c r="E24" s="9" t="s">
        <v>79</v>
      </c>
      <c r="F24" s="9">
        <v>192</v>
      </c>
      <c r="L24" s="78"/>
    </row>
    <row r="25" spans="1:12" s="1" customFormat="1" ht="45.9">
      <c r="A25" s="83"/>
      <c r="B25" s="29" t="s">
        <v>539</v>
      </c>
      <c r="C25" s="30" t="s">
        <v>751</v>
      </c>
      <c r="D25" s="39" t="s">
        <v>752</v>
      </c>
      <c r="E25" s="11" t="s">
        <v>171</v>
      </c>
      <c r="F25" s="9">
        <v>640</v>
      </c>
      <c r="L25" s="78"/>
    </row>
    <row r="26" spans="1:12" s="1" customFormat="1">
      <c r="A26" s="83"/>
      <c r="B26" s="24" t="s">
        <v>18</v>
      </c>
      <c r="C26" s="25" t="s">
        <v>829</v>
      </c>
      <c r="D26" s="26"/>
      <c r="E26" s="27" t="s">
        <v>171</v>
      </c>
      <c r="F26" s="10">
        <v>106.5</v>
      </c>
      <c r="L26" s="78"/>
    </row>
    <row r="27" spans="1:12" s="1" customFormat="1" ht="56.25" customHeight="1">
      <c r="A27" s="83"/>
      <c r="B27" s="29" t="s">
        <v>543</v>
      </c>
      <c r="C27" s="30" t="s">
        <v>596</v>
      </c>
      <c r="D27" s="31" t="s">
        <v>595</v>
      </c>
      <c r="E27" s="9" t="s">
        <v>79</v>
      </c>
      <c r="F27" s="9">
        <v>40</v>
      </c>
      <c r="L27" s="78"/>
    </row>
    <row r="28" spans="1:12" s="1" customFormat="1" ht="30.6">
      <c r="A28" s="83"/>
      <c r="B28" s="29" t="s">
        <v>544</v>
      </c>
      <c r="C28" s="30" t="s">
        <v>594</v>
      </c>
      <c r="D28" s="30" t="s">
        <v>597</v>
      </c>
      <c r="E28" s="11" t="s">
        <v>171</v>
      </c>
      <c r="F28" s="9">
        <v>106.5</v>
      </c>
      <c r="L28" s="78"/>
    </row>
    <row r="29" spans="1:12" s="1" customFormat="1" ht="30">
      <c r="A29" s="83"/>
      <c r="B29" s="24" t="s">
        <v>19</v>
      </c>
      <c r="C29" s="25" t="s">
        <v>52</v>
      </c>
      <c r="D29" s="26"/>
      <c r="E29" s="27" t="s">
        <v>171</v>
      </c>
      <c r="F29" s="10">
        <v>130</v>
      </c>
      <c r="L29" s="78"/>
    </row>
    <row r="30" spans="1:12" s="1" customFormat="1" ht="30.6">
      <c r="A30" s="83"/>
      <c r="B30" s="29" t="s">
        <v>44</v>
      </c>
      <c r="C30" s="30" t="s">
        <v>601</v>
      </c>
      <c r="D30" s="40" t="s">
        <v>750</v>
      </c>
      <c r="E30" s="11" t="s">
        <v>171</v>
      </c>
      <c r="F30" s="9">
        <v>130</v>
      </c>
      <c r="L30" s="78"/>
    </row>
    <row r="31" spans="1:12" s="1" customFormat="1" ht="45.9">
      <c r="A31" s="83"/>
      <c r="B31" s="29" t="s">
        <v>209</v>
      </c>
      <c r="C31" s="30" t="s">
        <v>600</v>
      </c>
      <c r="D31" s="30" t="s">
        <v>746</v>
      </c>
      <c r="E31" s="11" t="s">
        <v>171</v>
      </c>
      <c r="F31" s="9">
        <v>56.7</v>
      </c>
      <c r="L31" s="78"/>
    </row>
    <row r="32" spans="1:12" s="1" customFormat="1" ht="45.9">
      <c r="A32" s="83"/>
      <c r="B32" s="29" t="s">
        <v>248</v>
      </c>
      <c r="C32" s="30" t="s">
        <v>600</v>
      </c>
      <c r="D32" s="30" t="s">
        <v>747</v>
      </c>
      <c r="E32" s="11" t="s">
        <v>171</v>
      </c>
      <c r="F32" s="9">
        <v>37.200000000000003</v>
      </c>
      <c r="L32" s="78"/>
    </row>
    <row r="33" spans="1:12" s="1" customFormat="1" ht="45.9">
      <c r="A33" s="83"/>
      <c r="B33" s="29" t="s">
        <v>249</v>
      </c>
      <c r="C33" s="30" t="s">
        <v>599</v>
      </c>
      <c r="D33" s="30" t="s">
        <v>748</v>
      </c>
      <c r="E33" s="11" t="s">
        <v>171</v>
      </c>
      <c r="F33" s="9">
        <v>36</v>
      </c>
      <c r="L33" s="78"/>
    </row>
    <row r="34" spans="1:12" s="1" customFormat="1">
      <c r="A34" s="83"/>
      <c r="B34" s="22" t="s">
        <v>42</v>
      </c>
      <c r="C34" s="85" t="s">
        <v>43</v>
      </c>
      <c r="D34" s="85"/>
      <c r="E34" s="41" t="s">
        <v>171</v>
      </c>
      <c r="F34" s="42">
        <v>130</v>
      </c>
      <c r="L34" s="78"/>
    </row>
    <row r="35" spans="1:12" s="1" customFormat="1" ht="76.5">
      <c r="A35" s="83"/>
      <c r="B35" s="29" t="s">
        <v>250</v>
      </c>
      <c r="C35" s="30" t="s">
        <v>602</v>
      </c>
      <c r="D35" s="38" t="s">
        <v>739</v>
      </c>
      <c r="E35" s="9" t="s">
        <v>17</v>
      </c>
      <c r="F35" s="9">
        <v>4</v>
      </c>
      <c r="L35" s="78"/>
    </row>
    <row r="36" spans="1:12" s="1" customFormat="1" ht="75" customHeight="1">
      <c r="A36" s="83"/>
      <c r="B36" s="29" t="s">
        <v>251</v>
      </c>
      <c r="C36" s="30" t="s">
        <v>603</v>
      </c>
      <c r="D36" s="38" t="s">
        <v>749</v>
      </c>
      <c r="E36" s="9" t="s">
        <v>17</v>
      </c>
      <c r="F36" s="9">
        <v>46</v>
      </c>
      <c r="L36" s="78"/>
    </row>
    <row r="37" spans="1:12" s="1" customFormat="1" ht="44.25" customHeight="1">
      <c r="A37" s="83"/>
      <c r="B37" s="29" t="s">
        <v>252</v>
      </c>
      <c r="C37" s="30" t="s">
        <v>604</v>
      </c>
      <c r="D37" s="38" t="s">
        <v>740</v>
      </c>
      <c r="E37" s="9" t="s">
        <v>17</v>
      </c>
      <c r="F37" s="9">
        <v>44</v>
      </c>
      <c r="L37" s="78"/>
    </row>
    <row r="38" spans="1:12" s="1" customFormat="1" ht="45.9">
      <c r="A38" s="83"/>
      <c r="B38" s="29" t="s">
        <v>253</v>
      </c>
      <c r="C38" s="30" t="s">
        <v>817</v>
      </c>
      <c r="D38" s="30" t="s">
        <v>818</v>
      </c>
      <c r="E38" s="9" t="s">
        <v>17</v>
      </c>
      <c r="F38" s="9">
        <v>1</v>
      </c>
      <c r="L38" s="78"/>
    </row>
    <row r="39" spans="1:12" s="1" customFormat="1" ht="107.1">
      <c r="A39" s="83"/>
      <c r="B39" s="29" t="s">
        <v>254</v>
      </c>
      <c r="C39" s="30" t="s">
        <v>819</v>
      </c>
      <c r="D39" s="30" t="s">
        <v>820</v>
      </c>
      <c r="E39" s="9" t="s">
        <v>17</v>
      </c>
      <c r="F39" s="9">
        <v>1</v>
      </c>
      <c r="L39" s="78"/>
    </row>
    <row r="40" spans="1:12" s="1" customFormat="1" ht="122.4">
      <c r="A40" s="83"/>
      <c r="B40" s="29" t="s">
        <v>255</v>
      </c>
      <c r="C40" s="30" t="s">
        <v>598</v>
      </c>
      <c r="D40" s="30" t="s">
        <v>821</v>
      </c>
      <c r="E40" s="9" t="s">
        <v>17</v>
      </c>
      <c r="F40" s="9">
        <v>1</v>
      </c>
      <c r="L40" s="78"/>
    </row>
    <row r="41" spans="1:12" s="1" customFormat="1" ht="45.9">
      <c r="A41" s="83"/>
      <c r="B41" s="29" t="s">
        <v>256</v>
      </c>
      <c r="C41" s="30" t="s">
        <v>822</v>
      </c>
      <c r="D41" s="30" t="s">
        <v>823</v>
      </c>
      <c r="E41" s="9" t="s">
        <v>17</v>
      </c>
      <c r="F41" s="9">
        <v>1</v>
      </c>
      <c r="L41" s="78"/>
    </row>
    <row r="42" spans="1:12" s="1" customFormat="1" ht="30.6">
      <c r="A42" s="83"/>
      <c r="B42" s="29" t="s">
        <v>257</v>
      </c>
      <c r="C42" s="30" t="s">
        <v>824</v>
      </c>
      <c r="D42" s="30" t="s">
        <v>825</v>
      </c>
      <c r="E42" s="9" t="s">
        <v>17</v>
      </c>
      <c r="F42" s="9">
        <v>1</v>
      </c>
      <c r="L42" s="78"/>
    </row>
    <row r="43" spans="1:12" s="1" customFormat="1" ht="15" customHeight="1">
      <c r="A43" s="83"/>
      <c r="B43" s="22" t="s">
        <v>47</v>
      </c>
      <c r="C43" s="85" t="s">
        <v>30</v>
      </c>
      <c r="D43" s="85"/>
      <c r="E43" s="43"/>
      <c r="F43" s="43"/>
      <c r="L43" s="78"/>
    </row>
    <row r="44" spans="1:12" s="1" customFormat="1" ht="66.75" customHeight="1">
      <c r="A44" s="83"/>
      <c r="B44" s="29" t="s">
        <v>48</v>
      </c>
      <c r="C44" s="30" t="s">
        <v>605</v>
      </c>
      <c r="D44" s="9"/>
      <c r="E44" s="9" t="s">
        <v>17</v>
      </c>
      <c r="F44" s="9">
        <v>1</v>
      </c>
      <c r="L44" s="78"/>
    </row>
    <row r="45" spans="1:12" s="1" customFormat="1" ht="104.25" customHeight="1">
      <c r="A45" s="83"/>
      <c r="B45" s="29" t="s">
        <v>49</v>
      </c>
      <c r="C45" s="30" t="s">
        <v>701</v>
      </c>
      <c r="D45" s="9"/>
      <c r="E45" s="9" t="s">
        <v>17</v>
      </c>
      <c r="F45" s="9">
        <v>15</v>
      </c>
      <c r="L45" s="78"/>
    </row>
    <row r="46" spans="1:12" s="1" customFormat="1" ht="82.5" customHeight="1">
      <c r="A46" s="83"/>
      <c r="B46" s="29" t="s">
        <v>50</v>
      </c>
      <c r="C46" s="30" t="s">
        <v>703</v>
      </c>
      <c r="D46" s="9"/>
      <c r="E46" s="11" t="s">
        <v>171</v>
      </c>
      <c r="F46" s="9">
        <v>201</v>
      </c>
      <c r="L46" s="78"/>
    </row>
    <row r="47" spans="1:12" s="1" customFormat="1" ht="76.5">
      <c r="A47" s="83"/>
      <c r="B47" s="29" t="s">
        <v>146</v>
      </c>
      <c r="C47" s="30" t="s">
        <v>702</v>
      </c>
      <c r="D47" s="30"/>
      <c r="E47" s="11" t="s">
        <v>171</v>
      </c>
      <c r="F47" s="44">
        <v>3792.1</v>
      </c>
      <c r="L47" s="78"/>
    </row>
    <row r="48" spans="1:12" s="1" customFormat="1" ht="30.6">
      <c r="A48" s="83"/>
      <c r="B48" s="29" t="s">
        <v>147</v>
      </c>
      <c r="C48" s="30" t="s">
        <v>606</v>
      </c>
      <c r="D48" s="30" t="s">
        <v>607</v>
      </c>
      <c r="E48" s="11" t="s">
        <v>170</v>
      </c>
      <c r="F48" s="45" t="s">
        <v>608</v>
      </c>
      <c r="L48" s="78"/>
    </row>
    <row r="49" spans="1:12" s="1" customFormat="1" ht="94.5" customHeight="1">
      <c r="A49" s="83"/>
      <c r="B49" s="29" t="s">
        <v>148</v>
      </c>
      <c r="C49" s="30" t="s">
        <v>609</v>
      </c>
      <c r="D49" s="30" t="s">
        <v>610</v>
      </c>
      <c r="E49" s="9" t="s">
        <v>733</v>
      </c>
      <c r="F49" s="44">
        <v>66.5</v>
      </c>
      <c r="L49" s="78"/>
    </row>
    <row r="50" spans="1:12" s="1" customFormat="1" ht="15" customHeight="1">
      <c r="A50" s="83"/>
      <c r="B50" s="22" t="s">
        <v>51</v>
      </c>
      <c r="C50" s="85" t="s">
        <v>36</v>
      </c>
      <c r="D50" s="85"/>
      <c r="E50" s="43"/>
      <c r="F50" s="43"/>
      <c r="L50" s="78"/>
    </row>
    <row r="51" spans="1:12" s="1" customFormat="1" ht="15" customHeight="1">
      <c r="A51" s="83"/>
      <c r="B51" s="29" t="s">
        <v>53</v>
      </c>
      <c r="C51" s="46" t="s">
        <v>54</v>
      </c>
      <c r="D51" s="47"/>
      <c r="E51" s="11" t="s">
        <v>171</v>
      </c>
      <c r="F51" s="48" t="s">
        <v>708</v>
      </c>
      <c r="L51" s="78"/>
    </row>
    <row r="52" spans="1:12" s="1" customFormat="1" ht="76.5">
      <c r="A52" s="83"/>
      <c r="B52" s="29" t="s">
        <v>618</v>
      </c>
      <c r="C52" s="46" t="s">
        <v>31</v>
      </c>
      <c r="D52" s="30" t="s">
        <v>611</v>
      </c>
      <c r="E52" s="9" t="s">
        <v>17</v>
      </c>
      <c r="F52" s="9">
        <v>22</v>
      </c>
      <c r="L52" s="78"/>
    </row>
    <row r="53" spans="1:12" s="1" customFormat="1" ht="45.9">
      <c r="A53" s="83"/>
      <c r="B53" s="29" t="s">
        <v>619</v>
      </c>
      <c r="C53" s="30" t="s">
        <v>613</v>
      </c>
      <c r="D53" s="29"/>
      <c r="E53" s="9" t="s">
        <v>17</v>
      </c>
      <c r="F53" s="9">
        <v>25</v>
      </c>
      <c r="L53" s="78"/>
    </row>
    <row r="54" spans="1:12" s="1" customFormat="1" ht="76.5">
      <c r="A54" s="83"/>
      <c r="B54" s="29" t="s">
        <v>620</v>
      </c>
      <c r="C54" s="46" t="s">
        <v>57</v>
      </c>
      <c r="D54" s="46" t="s">
        <v>611</v>
      </c>
      <c r="E54" s="9" t="s">
        <v>17</v>
      </c>
      <c r="F54" s="9">
        <v>23</v>
      </c>
      <c r="L54" s="78"/>
    </row>
    <row r="55" spans="1:12" s="1" customFormat="1" ht="45" customHeight="1">
      <c r="A55" s="83"/>
      <c r="B55" s="29" t="s">
        <v>621</v>
      </c>
      <c r="C55" s="46" t="s">
        <v>614</v>
      </c>
      <c r="D55" s="29"/>
      <c r="E55" s="9" t="s">
        <v>17</v>
      </c>
      <c r="F55" s="9">
        <v>102</v>
      </c>
      <c r="L55" s="78"/>
    </row>
    <row r="56" spans="1:12" s="1" customFormat="1" ht="45.9">
      <c r="A56" s="83"/>
      <c r="B56" s="29" t="s">
        <v>622</v>
      </c>
      <c r="C56" s="46" t="s">
        <v>59</v>
      </c>
      <c r="D56" s="29"/>
      <c r="E56" s="9" t="s">
        <v>17</v>
      </c>
      <c r="F56" s="9">
        <v>4996</v>
      </c>
      <c r="L56" s="78"/>
    </row>
    <row r="57" spans="1:12" s="1" customFormat="1" ht="30.6">
      <c r="A57" s="83"/>
      <c r="B57" s="29" t="s">
        <v>623</v>
      </c>
      <c r="C57" s="30" t="s">
        <v>612</v>
      </c>
      <c r="D57" s="31" t="s">
        <v>707</v>
      </c>
      <c r="E57" s="11" t="s">
        <v>170</v>
      </c>
      <c r="F57" s="9">
        <v>69</v>
      </c>
      <c r="L57" s="78"/>
    </row>
    <row r="58" spans="1:12" s="1" customFormat="1">
      <c r="A58" s="83"/>
      <c r="B58" s="24" t="s">
        <v>55</v>
      </c>
      <c r="C58" s="49" t="s">
        <v>61</v>
      </c>
      <c r="D58" s="24"/>
      <c r="E58" s="50" t="s">
        <v>17</v>
      </c>
      <c r="F58" s="10">
        <f>SUM(F59+F66+F78)</f>
        <v>5245</v>
      </c>
      <c r="L58" s="78"/>
    </row>
    <row r="59" spans="1:12" s="1" customFormat="1">
      <c r="A59" s="83"/>
      <c r="B59" s="24" t="s">
        <v>615</v>
      </c>
      <c r="C59" s="49" t="s">
        <v>32</v>
      </c>
      <c r="D59" s="24"/>
      <c r="E59" s="50" t="s">
        <v>17</v>
      </c>
      <c r="F59" s="10">
        <f>SUM(F60:F65)</f>
        <v>113</v>
      </c>
      <c r="L59" s="78"/>
    </row>
    <row r="60" spans="1:12" s="1" customFormat="1" ht="45.9">
      <c r="A60" s="83"/>
      <c r="B60" s="29" t="s">
        <v>644</v>
      </c>
      <c r="C60" s="51" t="s">
        <v>627</v>
      </c>
      <c r="D60" s="30" t="s">
        <v>670</v>
      </c>
      <c r="E60" s="48" t="s">
        <v>17</v>
      </c>
      <c r="F60" s="9">
        <v>12</v>
      </c>
      <c r="L60" s="78"/>
    </row>
    <row r="61" spans="1:12" s="1" customFormat="1" ht="45.9">
      <c r="A61" s="83"/>
      <c r="B61" s="29" t="s">
        <v>645</v>
      </c>
      <c r="C61" s="51" t="s">
        <v>628</v>
      </c>
      <c r="D61" s="30" t="s">
        <v>671</v>
      </c>
      <c r="E61" s="48" t="s">
        <v>17</v>
      </c>
      <c r="F61" s="9">
        <v>9</v>
      </c>
      <c r="L61" s="78"/>
    </row>
    <row r="62" spans="1:12" s="1" customFormat="1" ht="45.9">
      <c r="A62" s="83"/>
      <c r="B62" s="29" t="s">
        <v>646</v>
      </c>
      <c r="C62" s="51" t="s">
        <v>629</v>
      </c>
      <c r="D62" s="30" t="s">
        <v>672</v>
      </c>
      <c r="E62" s="48" t="s">
        <v>17</v>
      </c>
      <c r="F62" s="9">
        <v>15</v>
      </c>
      <c r="L62" s="78"/>
    </row>
    <row r="63" spans="1:12" s="1" customFormat="1" ht="45.9">
      <c r="A63" s="83"/>
      <c r="B63" s="29" t="s">
        <v>624</v>
      </c>
      <c r="C63" s="51" t="s">
        <v>630</v>
      </c>
      <c r="D63" s="30" t="s">
        <v>673</v>
      </c>
      <c r="E63" s="48" t="s">
        <v>17</v>
      </c>
      <c r="F63" s="9">
        <v>9</v>
      </c>
      <c r="L63" s="78"/>
    </row>
    <row r="64" spans="1:12" s="1" customFormat="1" ht="45.9">
      <c r="A64" s="83"/>
      <c r="B64" s="40" t="s">
        <v>626</v>
      </c>
      <c r="C64" s="52" t="s">
        <v>631</v>
      </c>
      <c r="D64" s="8" t="s">
        <v>674</v>
      </c>
      <c r="E64" s="48" t="s">
        <v>17</v>
      </c>
      <c r="F64" s="9">
        <v>27</v>
      </c>
      <c r="L64" s="78"/>
    </row>
    <row r="65" spans="1:12" s="1" customFormat="1" ht="45.9">
      <c r="A65" s="83"/>
      <c r="B65" s="29" t="s">
        <v>625</v>
      </c>
      <c r="C65" s="51" t="s">
        <v>842</v>
      </c>
      <c r="D65" s="30" t="s">
        <v>675</v>
      </c>
      <c r="E65" s="48" t="s">
        <v>17</v>
      </c>
      <c r="F65" s="44">
        <v>41</v>
      </c>
      <c r="L65" s="78"/>
    </row>
    <row r="66" spans="1:12" s="1" customFormat="1">
      <c r="A66" s="83"/>
      <c r="B66" s="24" t="s">
        <v>616</v>
      </c>
      <c r="C66" s="49" t="s">
        <v>33</v>
      </c>
      <c r="D66" s="24"/>
      <c r="E66" s="50" t="s">
        <v>17</v>
      </c>
      <c r="F66" s="10">
        <f>SUM(F67:F77)</f>
        <v>136</v>
      </c>
      <c r="L66" s="78"/>
    </row>
    <row r="67" spans="1:12" s="1" customFormat="1" ht="45.9">
      <c r="A67" s="83"/>
      <c r="B67" s="29" t="s">
        <v>647</v>
      </c>
      <c r="C67" s="51" t="s">
        <v>632</v>
      </c>
      <c r="D67" s="30" t="s">
        <v>676</v>
      </c>
      <c r="E67" s="48" t="s">
        <v>17</v>
      </c>
      <c r="F67" s="44">
        <v>15</v>
      </c>
      <c r="L67" s="78"/>
    </row>
    <row r="68" spans="1:12" s="1" customFormat="1" ht="61.2">
      <c r="A68" s="83"/>
      <c r="B68" s="29" t="s">
        <v>648</v>
      </c>
      <c r="C68" s="51" t="s">
        <v>633</v>
      </c>
      <c r="D68" s="30" t="s">
        <v>678</v>
      </c>
      <c r="E68" s="48" t="s">
        <v>17</v>
      </c>
      <c r="F68" s="9">
        <v>3</v>
      </c>
      <c r="L68" s="78"/>
    </row>
    <row r="69" spans="1:12" s="1" customFormat="1" ht="45.9">
      <c r="A69" s="83"/>
      <c r="B69" s="29" t="s">
        <v>649</v>
      </c>
      <c r="C69" s="51" t="s">
        <v>634</v>
      </c>
      <c r="D69" s="30" t="s">
        <v>677</v>
      </c>
      <c r="E69" s="48" t="s">
        <v>17</v>
      </c>
      <c r="F69" s="44">
        <v>2</v>
      </c>
      <c r="L69" s="78"/>
    </row>
    <row r="70" spans="1:12" s="1" customFormat="1" ht="45.9">
      <c r="A70" s="83"/>
      <c r="B70" s="29" t="s">
        <v>650</v>
      </c>
      <c r="C70" s="51" t="s">
        <v>635</v>
      </c>
      <c r="D70" s="30" t="s">
        <v>679</v>
      </c>
      <c r="E70" s="48" t="s">
        <v>17</v>
      </c>
      <c r="F70" s="44">
        <v>54</v>
      </c>
      <c r="L70" s="78"/>
    </row>
    <row r="71" spans="1:12" s="1" customFormat="1" ht="45.9">
      <c r="A71" s="83"/>
      <c r="B71" s="29" t="s">
        <v>643</v>
      </c>
      <c r="C71" s="51" t="s">
        <v>636</v>
      </c>
      <c r="D71" s="30" t="s">
        <v>680</v>
      </c>
      <c r="E71" s="48" t="s">
        <v>17</v>
      </c>
      <c r="F71" s="9">
        <v>7</v>
      </c>
      <c r="L71" s="78"/>
    </row>
    <row r="72" spans="1:12" s="1" customFormat="1" ht="45.9">
      <c r="A72" s="83"/>
      <c r="B72" s="29" t="s">
        <v>651</v>
      </c>
      <c r="C72" s="51" t="s">
        <v>637</v>
      </c>
      <c r="D72" s="30" t="s">
        <v>681</v>
      </c>
      <c r="E72" s="48" t="s">
        <v>17</v>
      </c>
      <c r="F72" s="44">
        <v>20</v>
      </c>
      <c r="L72" s="78"/>
    </row>
    <row r="73" spans="1:12" s="1" customFormat="1" ht="45.9">
      <c r="A73" s="83"/>
      <c r="B73" s="29" t="s">
        <v>652</v>
      </c>
      <c r="C73" s="51" t="s">
        <v>638</v>
      </c>
      <c r="D73" s="30" t="s">
        <v>682</v>
      </c>
      <c r="E73" s="48" t="s">
        <v>17</v>
      </c>
      <c r="F73" s="9">
        <v>4</v>
      </c>
      <c r="L73" s="78"/>
    </row>
    <row r="74" spans="1:12" s="1" customFormat="1" ht="61.2">
      <c r="A74" s="83"/>
      <c r="B74" s="29" t="s">
        <v>653</v>
      </c>
      <c r="C74" s="51" t="s">
        <v>639</v>
      </c>
      <c r="D74" s="30" t="s">
        <v>683</v>
      </c>
      <c r="E74" s="48" t="s">
        <v>17</v>
      </c>
      <c r="F74" s="9">
        <v>5</v>
      </c>
      <c r="L74" s="78"/>
    </row>
    <row r="75" spans="1:12" s="1" customFormat="1" ht="45.9">
      <c r="A75" s="83"/>
      <c r="B75" s="29" t="s">
        <v>654</v>
      </c>
      <c r="C75" s="51" t="s">
        <v>640</v>
      </c>
      <c r="D75" s="30" t="s">
        <v>684</v>
      </c>
      <c r="E75" s="48" t="s">
        <v>17</v>
      </c>
      <c r="F75" s="9">
        <v>15</v>
      </c>
      <c r="L75" s="78"/>
    </row>
    <row r="76" spans="1:12" s="1" customFormat="1" ht="45.9">
      <c r="A76" s="83"/>
      <c r="B76" s="29" t="s">
        <v>655</v>
      </c>
      <c r="C76" s="51" t="s">
        <v>641</v>
      </c>
      <c r="D76" s="30" t="s">
        <v>686</v>
      </c>
      <c r="E76" s="48" t="s">
        <v>17</v>
      </c>
      <c r="F76" s="44">
        <v>3</v>
      </c>
      <c r="L76" s="78"/>
    </row>
    <row r="77" spans="1:12" s="1" customFormat="1" ht="45.9">
      <c r="A77" s="83"/>
      <c r="B77" s="29" t="s">
        <v>656</v>
      </c>
      <c r="C77" s="51" t="s">
        <v>642</v>
      </c>
      <c r="D77" s="30" t="s">
        <v>685</v>
      </c>
      <c r="E77" s="48" t="s">
        <v>17</v>
      </c>
      <c r="F77" s="44">
        <v>8</v>
      </c>
      <c r="L77" s="78"/>
    </row>
    <row r="78" spans="1:12" s="1" customFormat="1" ht="45">
      <c r="A78" s="83"/>
      <c r="B78" s="24" t="s">
        <v>617</v>
      </c>
      <c r="C78" s="49" t="s">
        <v>62</v>
      </c>
      <c r="D78" s="24"/>
      <c r="E78" s="50" t="s">
        <v>17</v>
      </c>
      <c r="F78" s="10">
        <f>SUM(F79:F102)</f>
        <v>4996</v>
      </c>
      <c r="L78" s="78"/>
    </row>
    <row r="79" spans="1:12" s="1" customFormat="1" ht="30.6">
      <c r="A79" s="83"/>
      <c r="B79" s="29" t="s">
        <v>709</v>
      </c>
      <c r="C79" s="51" t="s">
        <v>843</v>
      </c>
      <c r="D79" s="30" t="s">
        <v>798</v>
      </c>
      <c r="E79" s="48" t="s">
        <v>17</v>
      </c>
      <c r="F79" s="9">
        <v>68</v>
      </c>
      <c r="L79" s="78"/>
    </row>
    <row r="80" spans="1:12" s="1" customFormat="1" ht="45.9">
      <c r="A80" s="83"/>
      <c r="B80" s="29" t="s">
        <v>710</v>
      </c>
      <c r="C80" s="51" t="s">
        <v>657</v>
      </c>
      <c r="D80" s="5" t="s">
        <v>799</v>
      </c>
      <c r="E80" s="48" t="s">
        <v>17</v>
      </c>
      <c r="F80" s="44">
        <v>1327</v>
      </c>
      <c r="L80" s="78"/>
    </row>
    <row r="81" spans="1:12" s="1" customFormat="1" ht="45.9">
      <c r="A81" s="83"/>
      <c r="B81" s="29" t="s">
        <v>711</v>
      </c>
      <c r="C81" s="51" t="s">
        <v>844</v>
      </c>
      <c r="D81" s="5" t="s">
        <v>800</v>
      </c>
      <c r="E81" s="48" t="s">
        <v>17</v>
      </c>
      <c r="F81" s="44">
        <v>132</v>
      </c>
      <c r="L81" s="78"/>
    </row>
    <row r="82" spans="1:12" s="1" customFormat="1" ht="45" customHeight="1">
      <c r="A82" s="83"/>
      <c r="B82" s="29" t="s">
        <v>712</v>
      </c>
      <c r="C82" s="51" t="s">
        <v>658</v>
      </c>
      <c r="D82" s="30" t="s">
        <v>801</v>
      </c>
      <c r="E82" s="48" t="s">
        <v>17</v>
      </c>
      <c r="F82" s="9">
        <v>90</v>
      </c>
      <c r="L82" s="78"/>
    </row>
    <row r="83" spans="1:12" s="1" customFormat="1" ht="45.9">
      <c r="A83" s="83"/>
      <c r="B83" s="29" t="s">
        <v>713</v>
      </c>
      <c r="C83" s="51" t="s">
        <v>845</v>
      </c>
      <c r="D83" s="5" t="s">
        <v>802</v>
      </c>
      <c r="E83" s="48" t="s">
        <v>17</v>
      </c>
      <c r="F83" s="44">
        <v>35</v>
      </c>
      <c r="L83" s="78"/>
    </row>
    <row r="84" spans="1:12" s="1" customFormat="1" ht="45.9">
      <c r="A84" s="83"/>
      <c r="B84" s="29" t="s">
        <v>714</v>
      </c>
      <c r="C84" s="51" t="s">
        <v>846</v>
      </c>
      <c r="D84" s="5" t="s">
        <v>802</v>
      </c>
      <c r="E84" s="48" t="s">
        <v>17</v>
      </c>
      <c r="F84" s="44">
        <v>34</v>
      </c>
      <c r="L84" s="78"/>
    </row>
    <row r="85" spans="1:12" s="1" customFormat="1" ht="45.9">
      <c r="A85" s="83"/>
      <c r="B85" s="29" t="s">
        <v>715</v>
      </c>
      <c r="C85" s="32" t="s">
        <v>847</v>
      </c>
      <c r="D85" s="5" t="s">
        <v>687</v>
      </c>
      <c r="E85" s="48" t="s">
        <v>17</v>
      </c>
      <c r="F85" s="44">
        <v>70</v>
      </c>
      <c r="L85" s="78"/>
    </row>
    <row r="86" spans="1:12" s="1" customFormat="1" ht="45.9">
      <c r="A86" s="83"/>
      <c r="B86" s="29" t="s">
        <v>716</v>
      </c>
      <c r="C86" s="51" t="s">
        <v>659</v>
      </c>
      <c r="D86" s="30" t="s">
        <v>803</v>
      </c>
      <c r="E86" s="48" t="s">
        <v>17</v>
      </c>
      <c r="F86" s="9">
        <v>53</v>
      </c>
      <c r="L86" s="78"/>
    </row>
    <row r="87" spans="1:12" s="1" customFormat="1" ht="45.9">
      <c r="A87" s="83"/>
      <c r="B87" s="29" t="s">
        <v>717</v>
      </c>
      <c r="C87" s="51" t="s">
        <v>660</v>
      </c>
      <c r="D87" s="5" t="s">
        <v>688</v>
      </c>
      <c r="E87" s="48" t="s">
        <v>17</v>
      </c>
      <c r="F87" s="44">
        <v>8</v>
      </c>
      <c r="L87" s="78"/>
    </row>
    <row r="88" spans="1:12" s="1" customFormat="1" ht="45.9">
      <c r="A88" s="83"/>
      <c r="B88" s="29" t="s">
        <v>718</v>
      </c>
      <c r="C88" s="51" t="s">
        <v>848</v>
      </c>
      <c r="D88" s="30" t="s">
        <v>804</v>
      </c>
      <c r="E88" s="48" t="s">
        <v>17</v>
      </c>
      <c r="F88" s="9">
        <v>28</v>
      </c>
      <c r="L88" s="78"/>
    </row>
    <row r="89" spans="1:12" s="1" customFormat="1" ht="61.2">
      <c r="A89" s="83"/>
      <c r="B89" s="29" t="s">
        <v>719</v>
      </c>
      <c r="C89" s="51" t="s">
        <v>661</v>
      </c>
      <c r="D89" s="30" t="s">
        <v>805</v>
      </c>
      <c r="E89" s="48" t="s">
        <v>17</v>
      </c>
      <c r="F89" s="9">
        <v>57</v>
      </c>
      <c r="L89" s="78"/>
    </row>
    <row r="90" spans="1:12" s="1" customFormat="1" ht="45.9">
      <c r="A90" s="83"/>
      <c r="B90" s="29" t="s">
        <v>720</v>
      </c>
      <c r="C90" s="53" t="s">
        <v>662</v>
      </c>
      <c r="D90" s="5" t="s">
        <v>806</v>
      </c>
      <c r="E90" s="48" t="s">
        <v>17</v>
      </c>
      <c r="F90" s="11">
        <v>682</v>
      </c>
      <c r="L90" s="78"/>
    </row>
    <row r="91" spans="1:12" s="1" customFormat="1" ht="45.9">
      <c r="A91" s="83"/>
      <c r="B91" s="29" t="s">
        <v>721</v>
      </c>
      <c r="C91" s="51" t="s">
        <v>663</v>
      </c>
      <c r="D91" s="30" t="s">
        <v>807</v>
      </c>
      <c r="E91" s="48" t="s">
        <v>17</v>
      </c>
      <c r="F91" s="9">
        <v>74</v>
      </c>
      <c r="L91" s="78"/>
    </row>
    <row r="92" spans="1:12" s="1" customFormat="1" ht="45.9">
      <c r="A92" s="83"/>
      <c r="B92" s="29" t="s">
        <v>722</v>
      </c>
      <c r="C92" s="51" t="s">
        <v>664</v>
      </c>
      <c r="D92" s="30" t="s">
        <v>808</v>
      </c>
      <c r="E92" s="48" t="s">
        <v>17</v>
      </c>
      <c r="F92" s="9">
        <v>23</v>
      </c>
      <c r="L92" s="78"/>
    </row>
    <row r="93" spans="1:12" s="1" customFormat="1" ht="45.9">
      <c r="A93" s="83"/>
      <c r="B93" s="29" t="s">
        <v>723</v>
      </c>
      <c r="C93" s="51" t="s">
        <v>665</v>
      </c>
      <c r="D93" s="30" t="s">
        <v>809</v>
      </c>
      <c r="E93" s="48" t="s">
        <v>17</v>
      </c>
      <c r="F93" s="9">
        <v>55</v>
      </c>
      <c r="L93" s="78"/>
    </row>
    <row r="94" spans="1:12" s="1" customFormat="1" ht="45.9">
      <c r="A94" s="83"/>
      <c r="B94" s="29" t="s">
        <v>724</v>
      </c>
      <c r="C94" s="51" t="s">
        <v>666</v>
      </c>
      <c r="D94" s="30" t="s">
        <v>810</v>
      </c>
      <c r="E94" s="48" t="s">
        <v>17</v>
      </c>
      <c r="F94" s="9">
        <v>39</v>
      </c>
      <c r="L94" s="78"/>
    </row>
    <row r="95" spans="1:12" s="1" customFormat="1" ht="61.2">
      <c r="A95" s="83"/>
      <c r="B95" s="29" t="s">
        <v>725</v>
      </c>
      <c r="C95" s="51" t="s">
        <v>849</v>
      </c>
      <c r="D95" s="5" t="s">
        <v>811</v>
      </c>
      <c r="E95" s="48" t="s">
        <v>17</v>
      </c>
      <c r="F95" s="44">
        <v>184</v>
      </c>
      <c r="L95" s="78"/>
    </row>
    <row r="96" spans="1:12" s="1" customFormat="1" ht="45.9">
      <c r="A96" s="83"/>
      <c r="B96" s="29" t="s">
        <v>726</v>
      </c>
      <c r="C96" s="51" t="s">
        <v>850</v>
      </c>
      <c r="D96" s="5" t="s">
        <v>812</v>
      </c>
      <c r="E96" s="48" t="s">
        <v>17</v>
      </c>
      <c r="F96" s="44">
        <v>212</v>
      </c>
      <c r="L96" s="78"/>
    </row>
    <row r="97" spans="1:12" s="1" customFormat="1" ht="45.9">
      <c r="A97" s="83"/>
      <c r="B97" s="29" t="s">
        <v>727</v>
      </c>
      <c r="C97" s="51" t="s">
        <v>667</v>
      </c>
      <c r="D97" s="30" t="s">
        <v>813</v>
      </c>
      <c r="E97" s="48" t="s">
        <v>17</v>
      </c>
      <c r="F97" s="9">
        <v>54</v>
      </c>
      <c r="L97" s="78"/>
    </row>
    <row r="98" spans="1:12" s="1" customFormat="1" ht="45.9">
      <c r="A98" s="83"/>
      <c r="B98" s="29" t="s">
        <v>728</v>
      </c>
      <c r="C98" s="51" t="s">
        <v>851</v>
      </c>
      <c r="D98" s="5" t="s">
        <v>689</v>
      </c>
      <c r="E98" s="48" t="s">
        <v>17</v>
      </c>
      <c r="F98" s="44">
        <v>168</v>
      </c>
      <c r="L98" s="78"/>
    </row>
    <row r="99" spans="1:12" s="1" customFormat="1" ht="45.9">
      <c r="A99" s="83"/>
      <c r="B99" s="29" t="s">
        <v>729</v>
      </c>
      <c r="C99" s="51" t="s">
        <v>852</v>
      </c>
      <c r="D99" s="5" t="s">
        <v>814</v>
      </c>
      <c r="E99" s="48" t="s">
        <v>17</v>
      </c>
      <c r="F99" s="44">
        <v>495</v>
      </c>
      <c r="L99" s="78"/>
    </row>
    <row r="100" spans="1:12" s="1" customFormat="1" ht="45.9">
      <c r="A100" s="83"/>
      <c r="B100" s="29" t="s">
        <v>730</v>
      </c>
      <c r="C100" s="51" t="s">
        <v>853</v>
      </c>
      <c r="D100" s="30" t="s">
        <v>815</v>
      </c>
      <c r="E100" s="48" t="s">
        <v>17</v>
      </c>
      <c r="F100" s="9">
        <v>1055</v>
      </c>
      <c r="L100" s="78"/>
    </row>
    <row r="101" spans="1:12" s="1" customFormat="1" ht="61.2">
      <c r="A101" s="83"/>
      <c r="B101" s="29" t="s">
        <v>731</v>
      </c>
      <c r="C101" s="52" t="s">
        <v>668</v>
      </c>
      <c r="D101" s="54" t="s">
        <v>816</v>
      </c>
      <c r="E101" s="48" t="s">
        <v>17</v>
      </c>
      <c r="F101" s="9">
        <v>25</v>
      </c>
      <c r="L101" s="78"/>
    </row>
    <row r="102" spans="1:12" s="1" customFormat="1" ht="45.9">
      <c r="A102" s="83"/>
      <c r="B102" s="29" t="s">
        <v>732</v>
      </c>
      <c r="C102" s="52" t="s">
        <v>669</v>
      </c>
      <c r="D102" s="8" t="s">
        <v>690</v>
      </c>
      <c r="E102" s="48" t="s">
        <v>17</v>
      </c>
      <c r="F102" s="9">
        <v>28</v>
      </c>
      <c r="L102" s="78"/>
    </row>
    <row r="103" spans="1:12" s="1" customFormat="1" ht="45">
      <c r="A103" s="83"/>
      <c r="B103" s="13" t="s">
        <v>3</v>
      </c>
      <c r="C103" s="20" t="s">
        <v>39</v>
      </c>
      <c r="D103" s="21"/>
      <c r="E103" s="21"/>
      <c r="F103" s="21"/>
      <c r="L103" s="78"/>
    </row>
    <row r="104" spans="1:12" s="1" customFormat="1">
      <c r="A104" s="83"/>
      <c r="B104" s="22" t="s">
        <v>41</v>
      </c>
      <c r="C104" s="86" t="s">
        <v>69</v>
      </c>
      <c r="D104" s="86"/>
      <c r="E104" s="41"/>
      <c r="F104" s="41"/>
      <c r="L104" s="78"/>
    </row>
    <row r="105" spans="1:12" s="1" customFormat="1">
      <c r="A105" s="83"/>
      <c r="B105" s="24" t="s">
        <v>9</v>
      </c>
      <c r="C105" s="87" t="s">
        <v>430</v>
      </c>
      <c r="D105" s="87"/>
      <c r="E105" s="11"/>
      <c r="F105" s="11"/>
      <c r="L105" s="78"/>
    </row>
    <row r="106" spans="1:12" s="1" customFormat="1" ht="30" customHeight="1">
      <c r="A106" s="83"/>
      <c r="B106" s="29" t="s">
        <v>64</v>
      </c>
      <c r="C106" s="82" t="s">
        <v>458</v>
      </c>
      <c r="D106" s="82"/>
      <c r="E106" s="4" t="s">
        <v>17</v>
      </c>
      <c r="F106" s="55">
        <v>280</v>
      </c>
      <c r="L106" s="78"/>
    </row>
    <row r="107" spans="1:12" s="1" customFormat="1" ht="30" customHeight="1">
      <c r="A107" s="83"/>
      <c r="B107" s="29" t="s">
        <v>65</v>
      </c>
      <c r="C107" s="82" t="s">
        <v>837</v>
      </c>
      <c r="D107" s="82"/>
      <c r="E107" s="4" t="s">
        <v>17</v>
      </c>
      <c r="F107" s="55">
        <v>7</v>
      </c>
      <c r="L107" s="78"/>
    </row>
    <row r="108" spans="1:12" s="1" customFormat="1" ht="30" customHeight="1">
      <c r="A108" s="83"/>
      <c r="B108" s="29" t="s">
        <v>211</v>
      </c>
      <c r="C108" s="82" t="s">
        <v>459</v>
      </c>
      <c r="D108" s="82"/>
      <c r="E108" s="4" t="s">
        <v>17</v>
      </c>
      <c r="F108" s="55">
        <v>28</v>
      </c>
      <c r="L108" s="78"/>
    </row>
    <row r="109" spans="1:12" s="1" customFormat="1" ht="30" customHeight="1">
      <c r="A109" s="83"/>
      <c r="B109" s="29" t="s">
        <v>212</v>
      </c>
      <c r="C109" s="82" t="s">
        <v>460</v>
      </c>
      <c r="D109" s="82"/>
      <c r="E109" s="4" t="s">
        <v>17</v>
      </c>
      <c r="F109" s="55">
        <v>17</v>
      </c>
      <c r="L109" s="78"/>
    </row>
    <row r="110" spans="1:12" s="1" customFormat="1" ht="30" customHeight="1">
      <c r="A110" s="83"/>
      <c r="B110" s="29" t="s">
        <v>213</v>
      </c>
      <c r="C110" s="82" t="s">
        <v>461</v>
      </c>
      <c r="D110" s="82"/>
      <c r="E110" s="4" t="s">
        <v>17</v>
      </c>
      <c r="F110" s="55">
        <v>11</v>
      </c>
      <c r="L110" s="78"/>
    </row>
    <row r="111" spans="1:12" s="1" customFormat="1" ht="30" customHeight="1">
      <c r="A111" s="83"/>
      <c r="B111" s="29" t="s">
        <v>214</v>
      </c>
      <c r="C111" s="82" t="s">
        <v>462</v>
      </c>
      <c r="D111" s="82"/>
      <c r="E111" s="4" t="s">
        <v>17</v>
      </c>
      <c r="F111" s="55">
        <v>12</v>
      </c>
      <c r="L111" s="78"/>
    </row>
    <row r="112" spans="1:12" s="1" customFormat="1" ht="30" customHeight="1">
      <c r="A112" s="83"/>
      <c r="B112" s="29" t="s">
        <v>215</v>
      </c>
      <c r="C112" s="82" t="s">
        <v>463</v>
      </c>
      <c r="D112" s="82"/>
      <c r="E112" s="4" t="s">
        <v>17</v>
      </c>
      <c r="F112" s="55">
        <v>2</v>
      </c>
      <c r="L112" s="78"/>
    </row>
    <row r="113" spans="1:12" s="1" customFormat="1" ht="30" customHeight="1">
      <c r="A113" s="83"/>
      <c r="B113" s="29" t="s">
        <v>216</v>
      </c>
      <c r="C113" s="82" t="s">
        <v>464</v>
      </c>
      <c r="D113" s="82"/>
      <c r="E113" s="4" t="s">
        <v>17</v>
      </c>
      <c r="F113" s="55">
        <v>22</v>
      </c>
      <c r="L113" s="78"/>
    </row>
    <row r="114" spans="1:12" s="1" customFormat="1" ht="30" customHeight="1">
      <c r="A114" s="83"/>
      <c r="B114" s="29" t="s">
        <v>217</v>
      </c>
      <c r="C114" s="82" t="s">
        <v>465</v>
      </c>
      <c r="D114" s="82"/>
      <c r="E114" s="4" t="s">
        <v>17</v>
      </c>
      <c r="F114" s="55">
        <v>1</v>
      </c>
      <c r="L114" s="78"/>
    </row>
    <row r="115" spans="1:12" s="1" customFormat="1" ht="30" customHeight="1">
      <c r="A115" s="83"/>
      <c r="B115" s="29" t="s">
        <v>218</v>
      </c>
      <c r="C115" s="82" t="s">
        <v>466</v>
      </c>
      <c r="D115" s="82"/>
      <c r="E115" s="4" t="s">
        <v>17</v>
      </c>
      <c r="F115" s="55">
        <v>20</v>
      </c>
      <c r="L115" s="78"/>
    </row>
    <row r="116" spans="1:12" s="1" customFormat="1" ht="30" customHeight="1">
      <c r="A116" s="83"/>
      <c r="B116" s="29" t="s">
        <v>219</v>
      </c>
      <c r="C116" s="82" t="s">
        <v>467</v>
      </c>
      <c r="D116" s="82"/>
      <c r="E116" s="4" t="s">
        <v>17</v>
      </c>
      <c r="F116" s="55">
        <v>46</v>
      </c>
      <c r="L116" s="78"/>
    </row>
    <row r="117" spans="1:12" ht="30" customHeight="1">
      <c r="A117" s="83"/>
      <c r="B117" s="29" t="s">
        <v>220</v>
      </c>
      <c r="C117" s="82" t="s">
        <v>468</v>
      </c>
      <c r="D117" s="82"/>
      <c r="E117" s="4" t="s">
        <v>17</v>
      </c>
      <c r="F117" s="55">
        <v>22</v>
      </c>
      <c r="I117" s="1"/>
      <c r="L117" s="78"/>
    </row>
    <row r="118" spans="1:12" ht="30" customHeight="1">
      <c r="A118" s="83"/>
      <c r="B118" s="29" t="s">
        <v>221</v>
      </c>
      <c r="C118" s="82" t="s">
        <v>469</v>
      </c>
      <c r="D118" s="82"/>
      <c r="E118" s="4" t="s">
        <v>17</v>
      </c>
      <c r="F118" s="55">
        <v>6</v>
      </c>
      <c r="I118" s="1"/>
      <c r="L118" s="78"/>
    </row>
    <row r="119" spans="1:12" ht="30" customHeight="1">
      <c r="A119" s="83"/>
      <c r="B119" s="29" t="s">
        <v>222</v>
      </c>
      <c r="C119" s="82" t="s">
        <v>470</v>
      </c>
      <c r="D119" s="82"/>
      <c r="E119" s="4" t="s">
        <v>17</v>
      </c>
      <c r="F119" s="55">
        <v>53</v>
      </c>
      <c r="I119" s="1"/>
      <c r="L119" s="78"/>
    </row>
    <row r="120" spans="1:12" ht="30" customHeight="1">
      <c r="A120" s="56"/>
      <c r="B120" s="29" t="s">
        <v>223</v>
      </c>
      <c r="C120" s="82" t="s">
        <v>471</v>
      </c>
      <c r="D120" s="82"/>
      <c r="E120" s="4" t="s">
        <v>17</v>
      </c>
      <c r="F120" s="55">
        <v>6</v>
      </c>
      <c r="I120" s="1"/>
      <c r="L120" s="78"/>
    </row>
    <row r="121" spans="1:12" ht="30" customHeight="1">
      <c r="A121" s="56"/>
      <c r="B121" s="29" t="s">
        <v>224</v>
      </c>
      <c r="C121" s="82" t="s">
        <v>472</v>
      </c>
      <c r="D121" s="82"/>
      <c r="E121" s="4" t="s">
        <v>17</v>
      </c>
      <c r="F121" s="55">
        <v>3</v>
      </c>
      <c r="I121" s="1"/>
      <c r="L121" s="78"/>
    </row>
    <row r="122" spans="1:12" ht="30" customHeight="1">
      <c r="A122" s="56"/>
      <c r="B122" s="29" t="s">
        <v>225</v>
      </c>
      <c r="C122" s="82" t="s">
        <v>473</v>
      </c>
      <c r="D122" s="82"/>
      <c r="E122" s="4" t="s">
        <v>17</v>
      </c>
      <c r="F122" s="55">
        <v>12</v>
      </c>
      <c r="I122" s="1"/>
      <c r="L122" s="78"/>
    </row>
    <row r="123" spans="1:12" ht="30" customHeight="1">
      <c r="A123" s="56"/>
      <c r="B123" s="29" t="s">
        <v>226</v>
      </c>
      <c r="C123" s="82" t="s">
        <v>474</v>
      </c>
      <c r="D123" s="82"/>
      <c r="E123" s="4" t="s">
        <v>17</v>
      </c>
      <c r="F123" s="55">
        <v>6</v>
      </c>
      <c r="I123" s="1"/>
      <c r="L123" s="78"/>
    </row>
    <row r="124" spans="1:12" ht="15" customHeight="1">
      <c r="A124" s="56"/>
      <c r="B124" s="29" t="s">
        <v>227</v>
      </c>
      <c r="C124" s="82" t="s">
        <v>475</v>
      </c>
      <c r="D124" s="82"/>
      <c r="E124" s="4" t="s">
        <v>17</v>
      </c>
      <c r="F124" s="55">
        <v>3</v>
      </c>
      <c r="I124" s="1"/>
      <c r="L124" s="78"/>
    </row>
    <row r="125" spans="1:12" ht="15" customHeight="1">
      <c r="A125" s="56"/>
      <c r="B125" s="29" t="s">
        <v>228</v>
      </c>
      <c r="C125" s="82" t="s">
        <v>476</v>
      </c>
      <c r="D125" s="82"/>
      <c r="E125" s="4" t="s">
        <v>17</v>
      </c>
      <c r="F125" s="55">
        <v>3</v>
      </c>
      <c r="I125" s="1"/>
      <c r="L125" s="78"/>
    </row>
    <row r="126" spans="1:12" ht="15" customHeight="1">
      <c r="A126" s="56"/>
      <c r="B126" s="29" t="s">
        <v>229</v>
      </c>
      <c r="C126" s="82" t="s">
        <v>704</v>
      </c>
      <c r="D126" s="82"/>
      <c r="E126" s="4" t="s">
        <v>17</v>
      </c>
      <c r="F126" s="55">
        <v>200</v>
      </c>
      <c r="I126" s="1"/>
      <c r="L126" s="78"/>
    </row>
    <row r="127" spans="1:12" ht="31.5" customHeight="1">
      <c r="A127" s="56"/>
      <c r="B127" s="29" t="s">
        <v>230</v>
      </c>
      <c r="C127" s="82" t="s">
        <v>477</v>
      </c>
      <c r="D127" s="82"/>
      <c r="E127" s="4" t="s">
        <v>17</v>
      </c>
      <c r="F127" s="55">
        <v>1</v>
      </c>
      <c r="I127" s="1"/>
      <c r="L127" s="78"/>
    </row>
    <row r="128" spans="1:12" ht="45" customHeight="1">
      <c r="A128" s="56"/>
      <c r="B128" s="29" t="s">
        <v>231</v>
      </c>
      <c r="C128" s="82" t="s">
        <v>478</v>
      </c>
      <c r="D128" s="82"/>
      <c r="E128" s="4" t="s">
        <v>79</v>
      </c>
      <c r="F128" s="55">
        <v>180</v>
      </c>
      <c r="I128" s="1"/>
      <c r="L128" s="78"/>
    </row>
    <row r="129" spans="1:12" ht="45" customHeight="1">
      <c r="A129" s="56"/>
      <c r="B129" s="29" t="s">
        <v>232</v>
      </c>
      <c r="C129" s="82" t="s">
        <v>479</v>
      </c>
      <c r="D129" s="82"/>
      <c r="E129" s="4" t="s">
        <v>17</v>
      </c>
      <c r="F129" s="55">
        <v>280</v>
      </c>
      <c r="I129" s="1"/>
      <c r="L129" s="78"/>
    </row>
    <row r="130" spans="1:12" ht="45" customHeight="1">
      <c r="A130" s="56"/>
      <c r="B130" s="29" t="s">
        <v>233</v>
      </c>
      <c r="C130" s="82" t="s">
        <v>480</v>
      </c>
      <c r="D130" s="82"/>
      <c r="E130" s="4" t="s">
        <v>17</v>
      </c>
      <c r="F130" s="55">
        <v>280</v>
      </c>
      <c r="I130" s="1"/>
      <c r="L130" s="78"/>
    </row>
    <row r="131" spans="1:12" ht="60" customHeight="1">
      <c r="A131" s="56"/>
      <c r="B131" s="29" t="s">
        <v>234</v>
      </c>
      <c r="C131" s="82" t="s">
        <v>481</v>
      </c>
      <c r="D131" s="82"/>
      <c r="E131" s="4" t="s">
        <v>17</v>
      </c>
      <c r="F131" s="55">
        <v>9</v>
      </c>
      <c r="I131" s="1"/>
      <c r="L131" s="78"/>
    </row>
    <row r="132" spans="1:12" ht="60" customHeight="1">
      <c r="A132" s="56"/>
      <c r="B132" s="29" t="s">
        <v>431</v>
      </c>
      <c r="C132" s="82" t="s">
        <v>482</v>
      </c>
      <c r="D132" s="82"/>
      <c r="E132" s="4" t="s">
        <v>17</v>
      </c>
      <c r="F132" s="55">
        <v>15</v>
      </c>
      <c r="I132" s="1"/>
      <c r="L132" s="78"/>
    </row>
    <row r="133" spans="1:12" ht="45" customHeight="1">
      <c r="A133" s="56"/>
      <c r="B133" s="29" t="s">
        <v>432</v>
      </c>
      <c r="C133" s="82" t="s">
        <v>483</v>
      </c>
      <c r="D133" s="82"/>
      <c r="E133" s="4" t="s">
        <v>17</v>
      </c>
      <c r="F133" s="55">
        <v>48</v>
      </c>
      <c r="I133" s="1"/>
      <c r="L133" s="78"/>
    </row>
    <row r="134" spans="1:12" ht="150" customHeight="1">
      <c r="A134" s="56"/>
      <c r="B134" s="29" t="s">
        <v>433</v>
      </c>
      <c r="C134" s="82" t="s">
        <v>484</v>
      </c>
      <c r="D134" s="82"/>
      <c r="E134" s="4" t="s">
        <v>17</v>
      </c>
      <c r="F134" s="55">
        <v>1</v>
      </c>
      <c r="I134" s="1"/>
      <c r="L134" s="78"/>
    </row>
    <row r="135" spans="1:12" ht="30" customHeight="1">
      <c r="A135" s="56"/>
      <c r="B135" s="29" t="s">
        <v>434</v>
      </c>
      <c r="C135" s="82" t="s">
        <v>485</v>
      </c>
      <c r="D135" s="82"/>
      <c r="E135" s="4" t="s">
        <v>17</v>
      </c>
      <c r="F135" s="55">
        <v>3</v>
      </c>
      <c r="I135" s="1"/>
      <c r="L135" s="78"/>
    </row>
    <row r="136" spans="1:12" ht="30" customHeight="1">
      <c r="A136" s="56"/>
      <c r="B136" s="29" t="s">
        <v>435</v>
      </c>
      <c r="C136" s="82" t="s">
        <v>486</v>
      </c>
      <c r="D136" s="82"/>
      <c r="E136" s="4" t="s">
        <v>17</v>
      </c>
      <c r="F136" s="55">
        <v>1</v>
      </c>
      <c r="I136" s="1"/>
      <c r="L136" s="78"/>
    </row>
    <row r="137" spans="1:12" ht="30" customHeight="1">
      <c r="A137" s="56"/>
      <c r="B137" s="29" t="s">
        <v>436</v>
      </c>
      <c r="C137" s="82" t="s">
        <v>487</v>
      </c>
      <c r="D137" s="82"/>
      <c r="E137" s="4" t="s">
        <v>17</v>
      </c>
      <c r="F137" s="55">
        <v>6</v>
      </c>
      <c r="I137" s="1"/>
      <c r="L137" s="78"/>
    </row>
    <row r="138" spans="1:12" ht="30" customHeight="1">
      <c r="A138" s="56"/>
      <c r="B138" s="29" t="s">
        <v>437</v>
      </c>
      <c r="C138" s="82" t="s">
        <v>488</v>
      </c>
      <c r="D138" s="82"/>
      <c r="E138" s="4" t="s">
        <v>17</v>
      </c>
      <c r="F138" s="55">
        <v>2</v>
      </c>
      <c r="I138" s="1"/>
      <c r="L138" s="78"/>
    </row>
    <row r="139" spans="1:12" ht="15" customHeight="1">
      <c r="A139" s="56"/>
      <c r="B139" s="29" t="s">
        <v>438</v>
      </c>
      <c r="C139" s="82" t="s">
        <v>489</v>
      </c>
      <c r="D139" s="82"/>
      <c r="E139" s="4" t="s">
        <v>17</v>
      </c>
      <c r="F139" s="55">
        <v>7</v>
      </c>
      <c r="I139" s="1"/>
      <c r="L139" s="78"/>
    </row>
    <row r="140" spans="1:12" ht="15" customHeight="1">
      <c r="A140" s="56"/>
      <c r="B140" s="29" t="s">
        <v>439</v>
      </c>
      <c r="C140" s="82" t="s">
        <v>490</v>
      </c>
      <c r="D140" s="82"/>
      <c r="E140" s="4" t="s">
        <v>17</v>
      </c>
      <c r="F140" s="55">
        <v>2</v>
      </c>
      <c r="I140" s="1"/>
      <c r="L140" s="78"/>
    </row>
    <row r="141" spans="1:12" ht="15" customHeight="1">
      <c r="A141" s="56"/>
      <c r="B141" s="29" t="s">
        <v>440</v>
      </c>
      <c r="C141" s="82" t="s">
        <v>491</v>
      </c>
      <c r="D141" s="82"/>
      <c r="E141" s="4" t="s">
        <v>17</v>
      </c>
      <c r="F141" s="55">
        <v>4</v>
      </c>
      <c r="I141" s="1"/>
      <c r="L141" s="78"/>
    </row>
    <row r="142" spans="1:12" ht="15" customHeight="1">
      <c r="A142" s="56"/>
      <c r="B142" s="29" t="s">
        <v>441</v>
      </c>
      <c r="C142" s="82" t="s">
        <v>492</v>
      </c>
      <c r="D142" s="82"/>
      <c r="E142" s="4" t="s">
        <v>17</v>
      </c>
      <c r="F142" s="55">
        <v>2</v>
      </c>
      <c r="I142" s="1"/>
      <c r="L142" s="78"/>
    </row>
    <row r="143" spans="1:12" ht="15" customHeight="1">
      <c r="A143" s="56"/>
      <c r="B143" s="29" t="s">
        <v>442</v>
      </c>
      <c r="C143" s="82" t="s">
        <v>493</v>
      </c>
      <c r="D143" s="82"/>
      <c r="E143" s="4" t="s">
        <v>17</v>
      </c>
      <c r="F143" s="55">
        <v>9</v>
      </c>
      <c r="I143" s="1"/>
      <c r="L143" s="78"/>
    </row>
    <row r="144" spans="1:12" ht="15" customHeight="1">
      <c r="A144" s="56"/>
      <c r="B144" s="29" t="s">
        <v>443</v>
      </c>
      <c r="C144" s="82" t="s">
        <v>494</v>
      </c>
      <c r="D144" s="82"/>
      <c r="E144" s="4" t="s">
        <v>17</v>
      </c>
      <c r="F144" s="55">
        <v>8</v>
      </c>
      <c r="I144" s="1"/>
      <c r="L144" s="78"/>
    </row>
    <row r="145" spans="1:12" ht="15" customHeight="1">
      <c r="A145" s="56"/>
      <c r="B145" s="29" t="s">
        <v>444</v>
      </c>
      <c r="C145" s="82" t="s">
        <v>495</v>
      </c>
      <c r="D145" s="82"/>
      <c r="E145" s="4" t="s">
        <v>17</v>
      </c>
      <c r="F145" s="55">
        <v>8</v>
      </c>
      <c r="I145" s="1"/>
      <c r="L145" s="78"/>
    </row>
    <row r="146" spans="1:12" ht="30" customHeight="1">
      <c r="A146" s="56"/>
      <c r="B146" s="29" t="s">
        <v>445</v>
      </c>
      <c r="C146" s="82" t="s">
        <v>496</v>
      </c>
      <c r="D146" s="82"/>
      <c r="E146" s="4" t="s">
        <v>17</v>
      </c>
      <c r="F146" s="55">
        <v>9</v>
      </c>
      <c r="I146" s="1"/>
      <c r="L146" s="78"/>
    </row>
    <row r="147" spans="1:12" ht="15" customHeight="1">
      <c r="A147" s="56"/>
      <c r="B147" s="29" t="s">
        <v>446</v>
      </c>
      <c r="C147" s="82" t="s">
        <v>497</v>
      </c>
      <c r="D147" s="82"/>
      <c r="E147" s="4" t="s">
        <v>17</v>
      </c>
      <c r="F147" s="55">
        <v>8</v>
      </c>
      <c r="I147" s="1"/>
      <c r="L147" s="78"/>
    </row>
    <row r="148" spans="1:12" ht="30" customHeight="1">
      <c r="A148" s="56"/>
      <c r="B148" s="29" t="s">
        <v>447</v>
      </c>
      <c r="C148" s="82" t="s">
        <v>498</v>
      </c>
      <c r="D148" s="82"/>
      <c r="E148" s="4" t="s">
        <v>17</v>
      </c>
      <c r="F148" s="55">
        <v>9</v>
      </c>
      <c r="I148" s="1"/>
      <c r="L148" s="78"/>
    </row>
    <row r="149" spans="1:12" ht="30" customHeight="1">
      <c r="A149" s="56"/>
      <c r="B149" s="29" t="s">
        <v>448</v>
      </c>
      <c r="C149" s="82" t="s">
        <v>499</v>
      </c>
      <c r="D149" s="82"/>
      <c r="E149" s="4" t="s">
        <v>17</v>
      </c>
      <c r="F149" s="55">
        <v>31</v>
      </c>
      <c r="I149" s="1"/>
      <c r="L149" s="78"/>
    </row>
    <row r="150" spans="1:12" ht="15" customHeight="1">
      <c r="A150" s="56"/>
      <c r="B150" s="29" t="s">
        <v>449</v>
      </c>
      <c r="C150" s="90" t="s">
        <v>500</v>
      </c>
      <c r="D150" s="90"/>
      <c r="E150" s="4" t="s">
        <v>17</v>
      </c>
      <c r="F150" s="55">
        <v>1</v>
      </c>
      <c r="I150" s="1"/>
      <c r="L150" s="78"/>
    </row>
    <row r="151" spans="1:12" ht="15" customHeight="1">
      <c r="A151" s="56"/>
      <c r="B151" s="29" t="s">
        <v>450</v>
      </c>
      <c r="C151" s="90" t="s">
        <v>501</v>
      </c>
      <c r="D151" s="90"/>
      <c r="E151" s="4" t="s">
        <v>17</v>
      </c>
      <c r="F151" s="55">
        <v>1</v>
      </c>
      <c r="I151" s="1"/>
      <c r="L151" s="78"/>
    </row>
    <row r="152" spans="1:12" ht="15" customHeight="1">
      <c r="A152" s="56"/>
      <c r="B152" s="29" t="s">
        <v>451</v>
      </c>
      <c r="C152" s="90" t="s">
        <v>502</v>
      </c>
      <c r="D152" s="90"/>
      <c r="E152" s="4" t="s">
        <v>17</v>
      </c>
      <c r="F152" s="55">
        <v>57</v>
      </c>
      <c r="I152" s="1"/>
      <c r="L152" s="78"/>
    </row>
    <row r="153" spans="1:12" ht="15" customHeight="1">
      <c r="A153" s="56"/>
      <c r="B153" s="29" t="s">
        <v>452</v>
      </c>
      <c r="C153" s="90" t="s">
        <v>503</v>
      </c>
      <c r="D153" s="90"/>
      <c r="E153" s="4" t="s">
        <v>17</v>
      </c>
      <c r="F153" s="55">
        <v>57</v>
      </c>
      <c r="I153" s="1"/>
      <c r="L153" s="78"/>
    </row>
    <row r="154" spans="1:12" ht="15" customHeight="1">
      <c r="A154" s="56"/>
      <c r="B154" s="29" t="s">
        <v>453</v>
      </c>
      <c r="C154" s="90" t="s">
        <v>504</v>
      </c>
      <c r="D154" s="90"/>
      <c r="E154" s="4" t="s">
        <v>17</v>
      </c>
      <c r="F154" s="55">
        <v>1</v>
      </c>
      <c r="I154" s="1"/>
      <c r="L154" s="78"/>
    </row>
    <row r="155" spans="1:12" ht="15" customHeight="1">
      <c r="A155" s="56"/>
      <c r="B155" s="29" t="s">
        <v>454</v>
      </c>
      <c r="C155" s="90" t="s">
        <v>505</v>
      </c>
      <c r="D155" s="90"/>
      <c r="E155" s="4" t="s">
        <v>17</v>
      </c>
      <c r="F155" s="55">
        <v>2</v>
      </c>
      <c r="I155" s="1"/>
      <c r="L155" s="78"/>
    </row>
    <row r="156" spans="1:12" ht="15" customHeight="1">
      <c r="A156" s="56"/>
      <c r="B156" s="29" t="s">
        <v>455</v>
      </c>
      <c r="C156" s="90" t="s">
        <v>506</v>
      </c>
      <c r="D156" s="90"/>
      <c r="E156" s="4" t="s">
        <v>17</v>
      </c>
      <c r="F156" s="55">
        <v>1</v>
      </c>
      <c r="I156" s="1"/>
      <c r="L156" s="78"/>
    </row>
    <row r="157" spans="1:12" ht="15" customHeight="1">
      <c r="A157" s="56"/>
      <c r="B157" s="29" t="s">
        <v>456</v>
      </c>
      <c r="C157" s="90" t="s">
        <v>507</v>
      </c>
      <c r="D157" s="90"/>
      <c r="E157" s="4" t="s">
        <v>17</v>
      </c>
      <c r="F157" s="55">
        <v>1</v>
      </c>
      <c r="I157" s="1"/>
      <c r="L157" s="78"/>
    </row>
    <row r="158" spans="1:12" ht="15" customHeight="1">
      <c r="A158" s="56"/>
      <c r="B158" s="29" t="s">
        <v>457</v>
      </c>
      <c r="C158" s="90" t="s">
        <v>508</v>
      </c>
      <c r="D158" s="90"/>
      <c r="E158" s="4" t="s">
        <v>17</v>
      </c>
      <c r="F158" s="55">
        <v>30</v>
      </c>
      <c r="I158" s="1"/>
      <c r="L158" s="78"/>
    </row>
    <row r="159" spans="1:12">
      <c r="A159" s="56"/>
      <c r="B159" s="24" t="s">
        <v>10</v>
      </c>
      <c r="C159" s="87" t="s">
        <v>509</v>
      </c>
      <c r="D159" s="87"/>
      <c r="E159" s="11"/>
      <c r="F159" s="11"/>
      <c r="I159" s="1"/>
      <c r="L159" s="78"/>
    </row>
    <row r="160" spans="1:12">
      <c r="A160" s="56"/>
      <c r="B160" s="29" t="s">
        <v>235</v>
      </c>
      <c r="C160" s="82" t="s">
        <v>518</v>
      </c>
      <c r="D160" s="82"/>
      <c r="E160" s="4" t="s">
        <v>79</v>
      </c>
      <c r="F160" s="55">
        <v>40</v>
      </c>
      <c r="I160" s="1"/>
      <c r="L160" s="78"/>
    </row>
    <row r="161" spans="1:12">
      <c r="A161" s="56"/>
      <c r="B161" s="29" t="s">
        <v>236</v>
      </c>
      <c r="C161" s="82" t="s">
        <v>519</v>
      </c>
      <c r="D161" s="82"/>
      <c r="E161" s="4" t="s">
        <v>79</v>
      </c>
      <c r="F161" s="55">
        <v>200</v>
      </c>
      <c r="I161" s="1"/>
      <c r="L161" s="78"/>
    </row>
    <row r="162" spans="1:12" ht="15" customHeight="1">
      <c r="A162" s="56"/>
      <c r="B162" s="29" t="s">
        <v>237</v>
      </c>
      <c r="C162" s="82" t="s">
        <v>520</v>
      </c>
      <c r="D162" s="82"/>
      <c r="E162" s="4" t="s">
        <v>17</v>
      </c>
      <c r="F162" s="55">
        <v>2</v>
      </c>
      <c r="I162" s="1"/>
      <c r="L162" s="78"/>
    </row>
    <row r="163" spans="1:12" ht="15" customHeight="1">
      <c r="A163" s="56"/>
      <c r="B163" s="29" t="s">
        <v>238</v>
      </c>
      <c r="C163" s="82" t="s">
        <v>521</v>
      </c>
      <c r="D163" s="82"/>
      <c r="E163" s="4" t="s">
        <v>17</v>
      </c>
      <c r="F163" s="55">
        <v>8</v>
      </c>
      <c r="I163" s="1"/>
      <c r="L163" s="78"/>
    </row>
    <row r="164" spans="1:12" ht="15" customHeight="1">
      <c r="A164" s="56"/>
      <c r="B164" s="29" t="s">
        <v>239</v>
      </c>
      <c r="C164" s="82" t="s">
        <v>522</v>
      </c>
      <c r="D164" s="82"/>
      <c r="E164" s="4" t="s">
        <v>17</v>
      </c>
      <c r="F164" s="55">
        <v>25</v>
      </c>
      <c r="I164" s="1"/>
      <c r="L164" s="78"/>
    </row>
    <row r="165" spans="1:12" ht="15" customHeight="1">
      <c r="A165" s="56"/>
      <c r="B165" s="29" t="s">
        <v>240</v>
      </c>
      <c r="C165" s="82" t="s">
        <v>523</v>
      </c>
      <c r="D165" s="82"/>
      <c r="E165" s="4" t="s">
        <v>17</v>
      </c>
      <c r="F165" s="55">
        <v>9</v>
      </c>
      <c r="I165" s="1"/>
      <c r="L165" s="78"/>
    </row>
    <row r="166" spans="1:12" ht="15" customHeight="1">
      <c r="A166" s="56"/>
      <c r="B166" s="29" t="s">
        <v>241</v>
      </c>
      <c r="C166" s="82" t="s">
        <v>524</v>
      </c>
      <c r="D166" s="82"/>
      <c r="E166" s="4" t="s">
        <v>17</v>
      </c>
      <c r="F166" s="55">
        <v>9</v>
      </c>
      <c r="I166" s="1"/>
      <c r="L166" s="78"/>
    </row>
    <row r="167" spans="1:12" ht="15" customHeight="1">
      <c r="A167" s="56"/>
      <c r="B167" s="29" t="s">
        <v>242</v>
      </c>
      <c r="C167" s="82" t="s">
        <v>423</v>
      </c>
      <c r="D167" s="82"/>
      <c r="E167" s="4" t="s">
        <v>79</v>
      </c>
      <c r="F167" s="55">
        <v>1400</v>
      </c>
      <c r="I167" s="1"/>
      <c r="L167" s="78"/>
    </row>
    <row r="168" spans="1:12">
      <c r="A168" s="56"/>
      <c r="B168" s="29" t="s">
        <v>243</v>
      </c>
      <c r="C168" s="82" t="s">
        <v>525</v>
      </c>
      <c r="D168" s="82"/>
      <c r="E168" s="4" t="s">
        <v>17</v>
      </c>
      <c r="F168" s="55">
        <v>14</v>
      </c>
      <c r="I168" s="1"/>
      <c r="L168" s="78"/>
    </row>
    <row r="169" spans="1:12" ht="15" customHeight="1">
      <c r="A169" s="56"/>
      <c r="B169" s="29" t="s">
        <v>244</v>
      </c>
      <c r="C169" s="82" t="s">
        <v>526</v>
      </c>
      <c r="D169" s="82"/>
      <c r="E169" s="4" t="s">
        <v>17</v>
      </c>
      <c r="F169" s="55">
        <v>73</v>
      </c>
      <c r="I169" s="1"/>
      <c r="L169" s="78"/>
    </row>
    <row r="170" spans="1:12">
      <c r="A170" s="56"/>
      <c r="B170" s="29" t="s">
        <v>245</v>
      </c>
      <c r="C170" s="82" t="s">
        <v>527</v>
      </c>
      <c r="D170" s="82"/>
      <c r="E170" s="4" t="s">
        <v>17</v>
      </c>
      <c r="F170" s="55">
        <v>65</v>
      </c>
      <c r="I170" s="1"/>
      <c r="L170" s="78"/>
    </row>
    <row r="171" spans="1:12">
      <c r="A171" s="56"/>
      <c r="B171" s="29" t="s">
        <v>246</v>
      </c>
      <c r="C171" s="82" t="s">
        <v>528</v>
      </c>
      <c r="D171" s="82"/>
      <c r="E171" s="4" t="s">
        <v>17</v>
      </c>
      <c r="F171" s="55">
        <v>97</v>
      </c>
      <c r="I171" s="1"/>
      <c r="L171" s="78"/>
    </row>
    <row r="172" spans="1:12" ht="15" customHeight="1">
      <c r="A172" s="56"/>
      <c r="B172" s="29" t="s">
        <v>247</v>
      </c>
      <c r="C172" s="82" t="s">
        <v>529</v>
      </c>
      <c r="D172" s="82"/>
      <c r="E172" s="4" t="s">
        <v>17</v>
      </c>
      <c r="F172" s="55">
        <v>14</v>
      </c>
      <c r="I172" s="1"/>
      <c r="L172" s="78"/>
    </row>
    <row r="173" spans="1:12" ht="30" customHeight="1">
      <c r="A173" s="56"/>
      <c r="B173" s="29" t="s">
        <v>510</v>
      </c>
      <c r="C173" s="82" t="s">
        <v>530</v>
      </c>
      <c r="D173" s="82"/>
      <c r="E173" s="4" t="s">
        <v>17</v>
      </c>
      <c r="F173" s="55">
        <v>15</v>
      </c>
      <c r="I173" s="1"/>
      <c r="L173" s="78"/>
    </row>
    <row r="174" spans="1:12" ht="15" customHeight="1">
      <c r="A174" s="56"/>
      <c r="B174" s="29" t="s">
        <v>511</v>
      </c>
      <c r="C174" s="82" t="s">
        <v>531</v>
      </c>
      <c r="D174" s="82"/>
      <c r="E174" s="4" t="s">
        <v>17</v>
      </c>
      <c r="F174" s="55">
        <v>9</v>
      </c>
      <c r="I174" s="1"/>
      <c r="L174" s="78"/>
    </row>
    <row r="175" spans="1:12">
      <c r="A175" s="56"/>
      <c r="B175" s="29" t="s">
        <v>512</v>
      </c>
      <c r="C175" s="82" t="s">
        <v>532</v>
      </c>
      <c r="D175" s="82"/>
      <c r="E175" s="4" t="s">
        <v>17</v>
      </c>
      <c r="F175" s="55">
        <v>240</v>
      </c>
      <c r="I175" s="1"/>
      <c r="L175" s="78"/>
    </row>
    <row r="176" spans="1:12" ht="15" customHeight="1">
      <c r="A176" s="56"/>
      <c r="B176" s="29" t="s">
        <v>513</v>
      </c>
      <c r="C176" s="82" t="s">
        <v>533</v>
      </c>
      <c r="D176" s="82"/>
      <c r="E176" s="4" t="s">
        <v>17</v>
      </c>
      <c r="F176" s="55">
        <v>15</v>
      </c>
      <c r="I176" s="1"/>
      <c r="L176" s="78"/>
    </row>
    <row r="177" spans="1:12" ht="15" customHeight="1">
      <c r="A177" s="56"/>
      <c r="B177" s="29" t="s">
        <v>514</v>
      </c>
      <c r="C177" s="82" t="s">
        <v>534</v>
      </c>
      <c r="D177" s="82"/>
      <c r="E177" s="4" t="s">
        <v>79</v>
      </c>
      <c r="F177" s="55">
        <v>125</v>
      </c>
      <c r="I177" s="1"/>
      <c r="L177" s="78"/>
    </row>
    <row r="178" spans="1:12">
      <c r="A178" s="56"/>
      <c r="B178" s="29" t="s">
        <v>515</v>
      </c>
      <c r="C178" s="82" t="s">
        <v>535</v>
      </c>
      <c r="D178" s="82"/>
      <c r="E178" s="4" t="s">
        <v>79</v>
      </c>
      <c r="F178" s="55">
        <v>185</v>
      </c>
      <c r="I178" s="1"/>
      <c r="L178" s="78"/>
    </row>
    <row r="179" spans="1:12">
      <c r="A179" s="56"/>
      <c r="B179" s="29" t="s">
        <v>516</v>
      </c>
      <c r="C179" s="82" t="s">
        <v>536</v>
      </c>
      <c r="D179" s="82"/>
      <c r="E179" s="4" t="s">
        <v>79</v>
      </c>
      <c r="F179" s="55">
        <v>65</v>
      </c>
      <c r="I179" s="1"/>
      <c r="L179" s="78"/>
    </row>
    <row r="180" spans="1:12" ht="30" customHeight="1">
      <c r="A180" s="56"/>
      <c r="B180" s="29" t="s">
        <v>517</v>
      </c>
      <c r="C180" s="82" t="s">
        <v>577</v>
      </c>
      <c r="D180" s="82"/>
      <c r="E180" s="4" t="s">
        <v>79</v>
      </c>
      <c r="F180" s="55">
        <v>375</v>
      </c>
      <c r="I180" s="1"/>
      <c r="L180" s="78"/>
    </row>
    <row r="181" spans="1:12" ht="15" customHeight="1">
      <c r="A181" s="56"/>
      <c r="B181" s="24" t="s">
        <v>11</v>
      </c>
      <c r="C181" s="87" t="s">
        <v>542</v>
      </c>
      <c r="D181" s="87"/>
      <c r="E181" s="11"/>
      <c r="F181" s="11"/>
      <c r="I181" s="1"/>
      <c r="L181" s="78"/>
    </row>
    <row r="182" spans="1:12" ht="15" customHeight="1">
      <c r="A182" s="56"/>
      <c r="B182" s="29" t="s">
        <v>537</v>
      </c>
      <c r="C182" s="82" t="s">
        <v>540</v>
      </c>
      <c r="D182" s="82"/>
      <c r="E182" s="4" t="s">
        <v>17</v>
      </c>
      <c r="F182" s="55">
        <v>1</v>
      </c>
      <c r="I182" s="1"/>
      <c r="L182" s="78"/>
    </row>
    <row r="183" spans="1:12" ht="15" customHeight="1">
      <c r="A183" s="56"/>
      <c r="B183" s="29" t="s">
        <v>538</v>
      </c>
      <c r="C183" s="82" t="s">
        <v>541</v>
      </c>
      <c r="D183" s="82"/>
      <c r="E183" s="4" t="s">
        <v>79</v>
      </c>
      <c r="F183" s="55">
        <v>1175</v>
      </c>
      <c r="I183" s="1"/>
      <c r="L183" s="78"/>
    </row>
    <row r="184" spans="1:12" ht="48" customHeight="1">
      <c r="A184" s="56"/>
      <c r="B184" s="29" t="s">
        <v>539</v>
      </c>
      <c r="C184" s="82" t="s">
        <v>826</v>
      </c>
      <c r="D184" s="82"/>
      <c r="E184" s="4" t="s">
        <v>17</v>
      </c>
      <c r="F184" s="55">
        <v>1</v>
      </c>
      <c r="I184" s="1"/>
      <c r="L184" s="78"/>
    </row>
    <row r="185" spans="1:12" ht="15" customHeight="1">
      <c r="A185" s="56"/>
      <c r="B185" s="24" t="s">
        <v>18</v>
      </c>
      <c r="C185" s="91" t="s">
        <v>576</v>
      </c>
      <c r="D185" s="91"/>
      <c r="E185" s="11"/>
      <c r="F185" s="11"/>
      <c r="I185" s="1"/>
      <c r="L185" s="78"/>
    </row>
    <row r="186" spans="1:12" ht="180" customHeight="1">
      <c r="A186" s="56"/>
      <c r="B186" s="29" t="s">
        <v>543</v>
      </c>
      <c r="C186" s="82" t="s">
        <v>560</v>
      </c>
      <c r="D186" s="82"/>
      <c r="E186" s="4" t="s">
        <v>17</v>
      </c>
      <c r="F186" s="55">
        <v>1</v>
      </c>
      <c r="I186" s="1"/>
      <c r="L186" s="78"/>
    </row>
    <row r="187" spans="1:12" ht="30" customHeight="1">
      <c r="A187" s="56"/>
      <c r="B187" s="29" t="s">
        <v>544</v>
      </c>
      <c r="C187" s="82" t="s">
        <v>561</v>
      </c>
      <c r="D187" s="82"/>
      <c r="E187" s="4" t="s">
        <v>17</v>
      </c>
      <c r="F187" s="55">
        <v>1</v>
      </c>
      <c r="I187" s="1"/>
      <c r="L187" s="78"/>
    </row>
    <row r="188" spans="1:12" ht="15" customHeight="1">
      <c r="A188" s="56"/>
      <c r="B188" s="29" t="s">
        <v>545</v>
      </c>
      <c r="C188" s="82" t="s">
        <v>562</v>
      </c>
      <c r="D188" s="82"/>
      <c r="E188" s="4" t="s">
        <v>17</v>
      </c>
      <c r="F188" s="55">
        <v>1</v>
      </c>
      <c r="I188" s="1"/>
      <c r="L188" s="78"/>
    </row>
    <row r="189" spans="1:12" ht="15" customHeight="1">
      <c r="A189" s="56"/>
      <c r="B189" s="29" t="s">
        <v>546</v>
      </c>
      <c r="C189" s="82" t="s">
        <v>563</v>
      </c>
      <c r="D189" s="82"/>
      <c r="E189" s="4" t="s">
        <v>17</v>
      </c>
      <c r="F189" s="55">
        <v>1</v>
      </c>
      <c r="I189" s="1"/>
      <c r="L189" s="78"/>
    </row>
    <row r="190" spans="1:12">
      <c r="A190" s="56"/>
      <c r="B190" s="29" t="s">
        <v>547</v>
      </c>
      <c r="C190" s="82" t="s">
        <v>564</v>
      </c>
      <c r="D190" s="82"/>
      <c r="E190" s="4" t="s">
        <v>17</v>
      </c>
      <c r="F190" s="55">
        <v>1</v>
      </c>
      <c r="I190" s="1"/>
      <c r="L190" s="78"/>
    </row>
    <row r="191" spans="1:12">
      <c r="A191" s="56"/>
      <c r="B191" s="29" t="s">
        <v>548</v>
      </c>
      <c r="C191" s="82" t="s">
        <v>565</v>
      </c>
      <c r="D191" s="82"/>
      <c r="E191" s="4" t="s">
        <v>17</v>
      </c>
      <c r="F191" s="55">
        <v>1</v>
      </c>
      <c r="I191" s="1"/>
      <c r="L191" s="78"/>
    </row>
    <row r="192" spans="1:12">
      <c r="A192" s="56"/>
      <c r="B192" s="29" t="s">
        <v>549</v>
      </c>
      <c r="C192" s="82" t="s">
        <v>566</v>
      </c>
      <c r="D192" s="82"/>
      <c r="E192" s="4" t="s">
        <v>17</v>
      </c>
      <c r="F192" s="55">
        <v>1</v>
      </c>
      <c r="I192" s="1"/>
      <c r="L192" s="78"/>
    </row>
    <row r="193" spans="1:12">
      <c r="A193" s="56"/>
      <c r="B193" s="29" t="s">
        <v>550</v>
      </c>
      <c r="C193" s="82" t="s">
        <v>567</v>
      </c>
      <c r="D193" s="82"/>
      <c r="E193" s="4" t="s">
        <v>17</v>
      </c>
      <c r="F193" s="55">
        <v>1</v>
      </c>
      <c r="I193" s="1"/>
      <c r="L193" s="78"/>
    </row>
    <row r="194" spans="1:12" ht="28.5" customHeight="1">
      <c r="A194" s="56"/>
      <c r="B194" s="29" t="s">
        <v>551</v>
      </c>
      <c r="C194" s="82" t="s">
        <v>568</v>
      </c>
      <c r="D194" s="82"/>
      <c r="E194" s="4" t="s">
        <v>17</v>
      </c>
      <c r="F194" s="55">
        <v>1</v>
      </c>
      <c r="I194" s="1"/>
      <c r="L194" s="78"/>
    </row>
    <row r="195" spans="1:12">
      <c r="A195" s="56"/>
      <c r="B195" s="29" t="s">
        <v>552</v>
      </c>
      <c r="C195" s="82" t="s">
        <v>569</v>
      </c>
      <c r="D195" s="82"/>
      <c r="E195" s="4" t="s">
        <v>17</v>
      </c>
      <c r="F195" s="55">
        <v>1</v>
      </c>
      <c r="I195" s="1"/>
      <c r="L195" s="78"/>
    </row>
    <row r="196" spans="1:12">
      <c r="A196" s="56"/>
      <c r="B196" s="29" t="s">
        <v>553</v>
      </c>
      <c r="C196" s="82" t="s">
        <v>570</v>
      </c>
      <c r="D196" s="82"/>
      <c r="E196" s="4" t="s">
        <v>17</v>
      </c>
      <c r="F196" s="55">
        <v>1</v>
      </c>
      <c r="I196" s="1"/>
      <c r="L196" s="78"/>
    </row>
    <row r="197" spans="1:12">
      <c r="A197" s="56"/>
      <c r="B197" s="29" t="s">
        <v>554</v>
      </c>
      <c r="C197" s="82" t="s">
        <v>571</v>
      </c>
      <c r="D197" s="82"/>
      <c r="E197" s="4" t="s">
        <v>17</v>
      </c>
      <c r="F197" s="55">
        <v>1</v>
      </c>
      <c r="I197" s="1"/>
      <c r="L197" s="78"/>
    </row>
    <row r="198" spans="1:12" ht="15" customHeight="1">
      <c r="A198" s="56"/>
      <c r="B198" s="29" t="s">
        <v>555</v>
      </c>
      <c r="C198" s="82" t="s">
        <v>572</v>
      </c>
      <c r="D198" s="82"/>
      <c r="E198" s="4" t="s">
        <v>17</v>
      </c>
      <c r="F198" s="55">
        <v>1</v>
      </c>
      <c r="I198" s="1"/>
      <c r="L198" s="78"/>
    </row>
    <row r="199" spans="1:12" ht="15" customHeight="1">
      <c r="A199" s="56"/>
      <c r="B199" s="29" t="s">
        <v>556</v>
      </c>
      <c r="C199" s="82" t="s">
        <v>573</v>
      </c>
      <c r="D199" s="82"/>
      <c r="E199" s="4" t="s">
        <v>17</v>
      </c>
      <c r="F199" s="55">
        <v>1</v>
      </c>
      <c r="I199" s="1"/>
      <c r="L199" s="78"/>
    </row>
    <row r="200" spans="1:12" ht="45" customHeight="1">
      <c r="A200" s="56"/>
      <c r="B200" s="29" t="s">
        <v>557</v>
      </c>
      <c r="C200" s="82" t="s">
        <v>574</v>
      </c>
      <c r="D200" s="82"/>
      <c r="E200" s="4" t="s">
        <v>17</v>
      </c>
      <c r="F200" s="55">
        <v>1</v>
      </c>
      <c r="I200" s="1"/>
      <c r="L200" s="78"/>
    </row>
    <row r="201" spans="1:12" ht="15" customHeight="1">
      <c r="A201" s="56"/>
      <c r="B201" s="29" t="s">
        <v>558</v>
      </c>
      <c r="C201" s="82" t="s">
        <v>575</v>
      </c>
      <c r="D201" s="82"/>
      <c r="E201" s="4" t="s">
        <v>17</v>
      </c>
      <c r="F201" s="55">
        <v>1</v>
      </c>
      <c r="I201" s="1"/>
      <c r="L201" s="78"/>
    </row>
    <row r="202" spans="1:12" ht="45" customHeight="1">
      <c r="A202" s="56"/>
      <c r="B202" s="29" t="s">
        <v>559</v>
      </c>
      <c r="C202" s="82" t="s">
        <v>578</v>
      </c>
      <c r="D202" s="82"/>
      <c r="E202" s="4" t="s">
        <v>17</v>
      </c>
      <c r="F202" s="55">
        <v>1</v>
      </c>
      <c r="I202" s="1"/>
      <c r="L202" s="78"/>
    </row>
    <row r="203" spans="1:12" ht="15" customHeight="1">
      <c r="A203" s="56"/>
      <c r="B203" s="22" t="s">
        <v>42</v>
      </c>
      <c r="C203" s="86" t="s">
        <v>70</v>
      </c>
      <c r="D203" s="86"/>
      <c r="E203" s="41"/>
      <c r="F203" s="41"/>
      <c r="I203" s="1"/>
      <c r="L203" s="78"/>
    </row>
    <row r="204" spans="1:12" ht="30" customHeight="1">
      <c r="A204" s="56"/>
      <c r="B204" s="24" t="s">
        <v>44</v>
      </c>
      <c r="C204" s="92" t="s">
        <v>210</v>
      </c>
      <c r="D204" s="92"/>
      <c r="E204" s="11"/>
      <c r="F204" s="11"/>
      <c r="I204" s="1"/>
      <c r="L204" s="78"/>
    </row>
    <row r="205" spans="1:12" ht="15" customHeight="1">
      <c r="A205" s="56"/>
      <c r="B205" s="29" t="s">
        <v>209</v>
      </c>
      <c r="C205" s="90" t="s">
        <v>282</v>
      </c>
      <c r="D205" s="90"/>
      <c r="E205" s="9" t="s">
        <v>17</v>
      </c>
      <c r="F205" s="9">
        <v>7</v>
      </c>
      <c r="I205" s="1"/>
      <c r="L205" s="78"/>
    </row>
    <row r="206" spans="1:12" ht="15" customHeight="1">
      <c r="A206" s="56"/>
      <c r="B206" s="29" t="s">
        <v>248</v>
      </c>
      <c r="C206" s="90" t="s">
        <v>283</v>
      </c>
      <c r="D206" s="90"/>
      <c r="E206" s="9" t="s">
        <v>17</v>
      </c>
      <c r="F206" s="9">
        <v>7</v>
      </c>
      <c r="I206" s="1"/>
      <c r="L206" s="78"/>
    </row>
    <row r="207" spans="1:12" ht="15" customHeight="1">
      <c r="A207" s="56"/>
      <c r="B207" s="29" t="s">
        <v>249</v>
      </c>
      <c r="C207" s="90" t="s">
        <v>284</v>
      </c>
      <c r="D207" s="90"/>
      <c r="E207" s="9" t="s">
        <v>17</v>
      </c>
      <c r="F207" s="9">
        <v>14</v>
      </c>
      <c r="I207" s="1"/>
      <c r="L207" s="78"/>
    </row>
    <row r="208" spans="1:12" ht="15" customHeight="1">
      <c r="A208" s="56"/>
      <c r="B208" s="29" t="s">
        <v>250</v>
      </c>
      <c r="C208" s="90" t="s">
        <v>285</v>
      </c>
      <c r="D208" s="90"/>
      <c r="E208" s="9" t="s">
        <v>17</v>
      </c>
      <c r="F208" s="9">
        <v>7</v>
      </c>
      <c r="I208" s="1"/>
      <c r="L208" s="78"/>
    </row>
    <row r="209" spans="1:12" ht="232.5" customHeight="1">
      <c r="A209" s="56"/>
      <c r="B209" s="29" t="s">
        <v>251</v>
      </c>
      <c r="C209" s="90" t="s">
        <v>286</v>
      </c>
      <c r="D209" s="90"/>
      <c r="E209" s="9" t="s">
        <v>17</v>
      </c>
      <c r="F209" s="9">
        <v>7</v>
      </c>
      <c r="I209" s="1"/>
      <c r="L209" s="78"/>
    </row>
    <row r="210" spans="1:12" ht="107.25" customHeight="1">
      <c r="A210" s="56"/>
      <c r="B210" s="29" t="s">
        <v>252</v>
      </c>
      <c r="C210" s="90" t="s">
        <v>287</v>
      </c>
      <c r="D210" s="90"/>
      <c r="E210" s="9" t="s">
        <v>17</v>
      </c>
      <c r="F210" s="9">
        <v>3</v>
      </c>
      <c r="I210" s="1"/>
      <c r="L210" s="78"/>
    </row>
    <row r="211" spans="1:12" ht="105" customHeight="1">
      <c r="A211" s="56"/>
      <c r="B211" s="29" t="s">
        <v>253</v>
      </c>
      <c r="C211" s="90" t="s">
        <v>288</v>
      </c>
      <c r="D211" s="90"/>
      <c r="E211" s="9" t="s">
        <v>17</v>
      </c>
      <c r="F211" s="9">
        <v>2</v>
      </c>
      <c r="I211" s="1"/>
      <c r="L211" s="78"/>
    </row>
    <row r="212" spans="1:12" ht="135" customHeight="1">
      <c r="A212" s="56"/>
      <c r="B212" s="29" t="s">
        <v>254</v>
      </c>
      <c r="C212" s="90" t="s">
        <v>289</v>
      </c>
      <c r="D212" s="90"/>
      <c r="E212" s="9" t="s">
        <v>17</v>
      </c>
      <c r="F212" s="9">
        <v>1</v>
      </c>
      <c r="I212" s="1"/>
      <c r="L212" s="78"/>
    </row>
    <row r="213" spans="1:12">
      <c r="A213" s="56"/>
      <c r="B213" s="29" t="s">
        <v>255</v>
      </c>
      <c r="C213" s="90" t="s">
        <v>304</v>
      </c>
      <c r="D213" s="90"/>
      <c r="E213" s="9" t="s">
        <v>17</v>
      </c>
      <c r="F213" s="9">
        <v>1</v>
      </c>
      <c r="I213" s="1"/>
      <c r="L213" s="78"/>
    </row>
    <row r="214" spans="1:12" ht="45" customHeight="1">
      <c r="A214" s="56"/>
      <c r="B214" s="29" t="s">
        <v>256</v>
      </c>
      <c r="C214" s="90" t="s">
        <v>290</v>
      </c>
      <c r="D214" s="90"/>
      <c r="E214" s="9" t="s">
        <v>17</v>
      </c>
      <c r="F214" s="9">
        <v>1</v>
      </c>
      <c r="I214" s="1"/>
      <c r="L214" s="78"/>
    </row>
    <row r="215" spans="1:12" ht="45" customHeight="1">
      <c r="A215" s="56"/>
      <c r="B215" s="29" t="s">
        <v>257</v>
      </c>
      <c r="C215" s="90" t="s">
        <v>291</v>
      </c>
      <c r="D215" s="90"/>
      <c r="E215" s="9" t="s">
        <v>17</v>
      </c>
      <c r="F215" s="9">
        <v>7</v>
      </c>
      <c r="I215" s="1"/>
      <c r="L215" s="78"/>
    </row>
    <row r="216" spans="1:12" ht="57" customHeight="1">
      <c r="A216" s="56"/>
      <c r="B216" s="29" t="s">
        <v>258</v>
      </c>
      <c r="C216" s="90" t="s">
        <v>292</v>
      </c>
      <c r="D216" s="90"/>
      <c r="E216" s="9" t="s">
        <v>17</v>
      </c>
      <c r="F216" s="9">
        <v>1</v>
      </c>
      <c r="I216" s="1"/>
      <c r="L216" s="78"/>
    </row>
    <row r="217" spans="1:12" ht="15" customHeight="1">
      <c r="A217" s="56"/>
      <c r="B217" s="29" t="s">
        <v>259</v>
      </c>
      <c r="C217" s="90" t="s">
        <v>293</v>
      </c>
      <c r="D217" s="90"/>
      <c r="E217" s="9" t="s">
        <v>17</v>
      </c>
      <c r="F217" s="9">
        <v>1</v>
      </c>
      <c r="I217" s="1"/>
      <c r="L217" s="78"/>
    </row>
    <row r="218" spans="1:12" ht="49.5" customHeight="1">
      <c r="A218" s="56"/>
      <c r="B218" s="29" t="s">
        <v>270</v>
      </c>
      <c r="C218" s="90" t="s">
        <v>294</v>
      </c>
      <c r="D218" s="90"/>
      <c r="E218" s="9" t="s">
        <v>17</v>
      </c>
      <c r="F218" s="9">
        <v>1</v>
      </c>
      <c r="I218" s="1"/>
      <c r="L218" s="78"/>
    </row>
    <row r="219" spans="1:12" ht="15" customHeight="1">
      <c r="A219" s="56"/>
      <c r="B219" s="29" t="s">
        <v>271</v>
      </c>
      <c r="C219" s="90" t="s">
        <v>295</v>
      </c>
      <c r="D219" s="90"/>
      <c r="E219" s="9" t="s">
        <v>17</v>
      </c>
      <c r="F219" s="9">
        <v>5</v>
      </c>
      <c r="I219" s="1"/>
      <c r="L219" s="78"/>
    </row>
    <row r="220" spans="1:12" ht="30" customHeight="1">
      <c r="A220" s="56"/>
      <c r="B220" s="29" t="s">
        <v>272</v>
      </c>
      <c r="C220" s="90" t="s">
        <v>296</v>
      </c>
      <c r="D220" s="90"/>
      <c r="E220" s="9" t="s">
        <v>17</v>
      </c>
      <c r="F220" s="9">
        <v>4</v>
      </c>
      <c r="I220" s="1"/>
      <c r="L220" s="78"/>
    </row>
    <row r="221" spans="1:12" ht="15" customHeight="1">
      <c r="A221" s="56"/>
      <c r="B221" s="29" t="s">
        <v>273</v>
      </c>
      <c r="C221" s="90" t="s">
        <v>297</v>
      </c>
      <c r="D221" s="90"/>
      <c r="E221" s="9" t="s">
        <v>79</v>
      </c>
      <c r="F221" s="9">
        <v>25</v>
      </c>
      <c r="I221" s="1"/>
      <c r="L221" s="78"/>
    </row>
    <row r="222" spans="1:12" ht="45" customHeight="1">
      <c r="A222" s="56"/>
      <c r="B222" s="29" t="s">
        <v>274</v>
      </c>
      <c r="C222" s="90" t="s">
        <v>298</v>
      </c>
      <c r="D222" s="90"/>
      <c r="E222" s="9" t="s">
        <v>17</v>
      </c>
      <c r="F222" s="9">
        <v>5</v>
      </c>
      <c r="I222" s="1"/>
      <c r="L222" s="78"/>
    </row>
    <row r="223" spans="1:12" ht="45" customHeight="1">
      <c r="A223" s="56"/>
      <c r="B223" s="29" t="s">
        <v>275</v>
      </c>
      <c r="C223" s="90" t="s">
        <v>299</v>
      </c>
      <c r="D223" s="90"/>
      <c r="E223" s="9" t="s">
        <v>17</v>
      </c>
      <c r="F223" s="9">
        <v>2</v>
      </c>
      <c r="I223" s="1"/>
      <c r="L223" s="78"/>
    </row>
    <row r="224" spans="1:12" ht="60" customHeight="1">
      <c r="A224" s="56"/>
      <c r="B224" s="29" t="s">
        <v>276</v>
      </c>
      <c r="C224" s="90" t="s">
        <v>838</v>
      </c>
      <c r="D224" s="90"/>
      <c r="E224" s="9" t="s">
        <v>17</v>
      </c>
      <c r="F224" s="9">
        <v>1</v>
      </c>
      <c r="I224" s="1"/>
      <c r="L224" s="78"/>
    </row>
    <row r="225" spans="1:12" ht="48.75" customHeight="1">
      <c r="A225" s="56"/>
      <c r="B225" s="29" t="s">
        <v>277</v>
      </c>
      <c r="C225" s="90" t="s">
        <v>839</v>
      </c>
      <c r="D225" s="90"/>
      <c r="E225" s="9" t="s">
        <v>17</v>
      </c>
      <c r="F225" s="9">
        <v>1</v>
      </c>
      <c r="I225" s="1"/>
      <c r="L225" s="78"/>
    </row>
    <row r="226" spans="1:12" ht="30" customHeight="1">
      <c r="A226" s="56"/>
      <c r="B226" s="29" t="s">
        <v>278</v>
      </c>
      <c r="C226" s="90" t="s">
        <v>300</v>
      </c>
      <c r="D226" s="90"/>
      <c r="E226" s="9" t="s">
        <v>17</v>
      </c>
      <c r="F226" s="9">
        <v>120</v>
      </c>
      <c r="I226" s="1"/>
      <c r="L226" s="78"/>
    </row>
    <row r="227" spans="1:12" ht="15" customHeight="1">
      <c r="A227" s="56"/>
      <c r="B227" s="29" t="s">
        <v>279</v>
      </c>
      <c r="C227" s="90" t="s">
        <v>301</v>
      </c>
      <c r="D227" s="90"/>
      <c r="E227" s="9" t="s">
        <v>17</v>
      </c>
      <c r="F227" s="9">
        <v>120</v>
      </c>
      <c r="I227" s="1"/>
      <c r="L227" s="78"/>
    </row>
    <row r="228" spans="1:12" ht="15" customHeight="1">
      <c r="A228" s="56"/>
      <c r="B228" s="29" t="s">
        <v>280</v>
      </c>
      <c r="C228" s="90" t="s">
        <v>302</v>
      </c>
      <c r="D228" s="90"/>
      <c r="E228" s="9" t="s">
        <v>17</v>
      </c>
      <c r="F228" s="9">
        <v>1</v>
      </c>
      <c r="I228" s="1"/>
      <c r="L228" s="78"/>
    </row>
    <row r="229" spans="1:12" ht="15" customHeight="1">
      <c r="A229" s="56"/>
      <c r="B229" s="29" t="s">
        <v>281</v>
      </c>
      <c r="C229" s="90" t="s">
        <v>303</v>
      </c>
      <c r="D229" s="90"/>
      <c r="E229" s="9" t="s">
        <v>17</v>
      </c>
      <c r="F229" s="9">
        <v>1</v>
      </c>
      <c r="I229" s="1"/>
      <c r="L229" s="78"/>
    </row>
    <row r="230" spans="1:12" ht="30" customHeight="1">
      <c r="A230" s="56"/>
      <c r="B230" s="24" t="s">
        <v>45</v>
      </c>
      <c r="C230" s="92" t="s">
        <v>318</v>
      </c>
      <c r="D230" s="92"/>
      <c r="E230" s="11"/>
      <c r="F230" s="11"/>
      <c r="I230" s="1"/>
      <c r="L230" s="78"/>
    </row>
    <row r="231" spans="1:12">
      <c r="A231" s="56"/>
      <c r="B231" s="29" t="s">
        <v>305</v>
      </c>
      <c r="C231" s="92" t="s">
        <v>318</v>
      </c>
      <c r="D231" s="92"/>
      <c r="E231" s="9" t="s">
        <v>17</v>
      </c>
      <c r="F231" s="9">
        <v>1</v>
      </c>
      <c r="I231" s="1"/>
      <c r="L231" s="78"/>
    </row>
    <row r="232" spans="1:12" ht="15" customHeight="1">
      <c r="A232" s="56"/>
      <c r="B232" s="29" t="s">
        <v>306</v>
      </c>
      <c r="C232" s="90" t="s">
        <v>260</v>
      </c>
      <c r="D232" s="90"/>
      <c r="E232" s="9" t="s">
        <v>17</v>
      </c>
      <c r="F232" s="9">
        <v>5</v>
      </c>
      <c r="I232" s="1"/>
      <c r="L232" s="78"/>
    </row>
    <row r="233" spans="1:12" ht="105" customHeight="1">
      <c r="A233" s="56"/>
      <c r="B233" s="29" t="s">
        <v>307</v>
      </c>
      <c r="C233" s="90" t="s">
        <v>261</v>
      </c>
      <c r="D233" s="90"/>
      <c r="E233" s="9" t="s">
        <v>17</v>
      </c>
      <c r="F233" s="9">
        <v>1</v>
      </c>
      <c r="I233" s="1"/>
      <c r="L233" s="78"/>
    </row>
    <row r="234" spans="1:12" ht="45" customHeight="1">
      <c r="A234" s="56"/>
      <c r="B234" s="29" t="s">
        <v>308</v>
      </c>
      <c r="C234" s="90" t="s">
        <v>262</v>
      </c>
      <c r="D234" s="90"/>
      <c r="E234" s="9" t="s">
        <v>17</v>
      </c>
      <c r="F234" s="9">
        <v>2</v>
      </c>
      <c r="I234" s="1"/>
      <c r="L234" s="78"/>
    </row>
    <row r="235" spans="1:12" ht="45" customHeight="1">
      <c r="A235" s="56"/>
      <c r="B235" s="29" t="s">
        <v>309</v>
      </c>
      <c r="C235" s="90" t="s">
        <v>263</v>
      </c>
      <c r="D235" s="90"/>
      <c r="E235" s="9" t="s">
        <v>17</v>
      </c>
      <c r="F235" s="9">
        <v>1</v>
      </c>
      <c r="I235" s="1"/>
      <c r="L235" s="78"/>
    </row>
    <row r="236" spans="1:12" ht="45" customHeight="1">
      <c r="A236" s="56"/>
      <c r="B236" s="29" t="s">
        <v>310</v>
      </c>
      <c r="C236" s="90" t="s">
        <v>840</v>
      </c>
      <c r="D236" s="90"/>
      <c r="E236" s="9" t="s">
        <v>17</v>
      </c>
      <c r="F236" s="9">
        <v>1</v>
      </c>
      <c r="I236" s="1"/>
      <c r="L236" s="78"/>
    </row>
    <row r="237" spans="1:12" ht="30" customHeight="1">
      <c r="A237" s="56"/>
      <c r="B237" s="29" t="s">
        <v>311</v>
      </c>
      <c r="C237" s="90" t="s">
        <v>841</v>
      </c>
      <c r="D237" s="90"/>
      <c r="E237" s="9" t="s">
        <v>17</v>
      </c>
      <c r="F237" s="9">
        <v>1</v>
      </c>
      <c r="I237" s="1"/>
      <c r="L237" s="78"/>
    </row>
    <row r="238" spans="1:12" ht="105" customHeight="1">
      <c r="A238" s="56"/>
      <c r="B238" s="29" t="s">
        <v>312</v>
      </c>
      <c r="C238" s="90" t="s">
        <v>264</v>
      </c>
      <c r="D238" s="90"/>
      <c r="E238" s="9" t="s">
        <v>17</v>
      </c>
      <c r="F238" s="9">
        <v>1</v>
      </c>
      <c r="I238" s="1"/>
      <c r="L238" s="78"/>
    </row>
    <row r="239" spans="1:12" ht="105" customHeight="1">
      <c r="A239" s="56"/>
      <c r="B239" s="29" t="s">
        <v>313</v>
      </c>
      <c r="C239" s="90" t="s">
        <v>265</v>
      </c>
      <c r="D239" s="90"/>
      <c r="E239" s="9" t="s">
        <v>17</v>
      </c>
      <c r="F239" s="9">
        <v>1</v>
      </c>
      <c r="I239" s="1"/>
      <c r="L239" s="78"/>
    </row>
    <row r="240" spans="1:12" ht="44.25" customHeight="1">
      <c r="A240" s="56"/>
      <c r="B240" s="29" t="s">
        <v>314</v>
      </c>
      <c r="C240" s="90" t="s">
        <v>266</v>
      </c>
      <c r="D240" s="90"/>
      <c r="E240" s="9" t="s">
        <v>17</v>
      </c>
      <c r="F240" s="9">
        <v>1</v>
      </c>
      <c r="I240" s="1"/>
      <c r="L240" s="78"/>
    </row>
    <row r="241" spans="1:12" ht="30.75" customHeight="1">
      <c r="A241" s="56"/>
      <c r="B241" s="29" t="s">
        <v>315</v>
      </c>
      <c r="C241" s="90" t="s">
        <v>267</v>
      </c>
      <c r="D241" s="90"/>
      <c r="E241" s="9" t="s">
        <v>17</v>
      </c>
      <c r="F241" s="9">
        <v>1</v>
      </c>
      <c r="I241" s="1"/>
      <c r="L241" s="78"/>
    </row>
    <row r="242" spans="1:12">
      <c r="A242" s="56"/>
      <c r="B242" s="29" t="s">
        <v>316</v>
      </c>
      <c r="C242" s="90" t="s">
        <v>268</v>
      </c>
      <c r="D242" s="90"/>
      <c r="E242" s="9" t="s">
        <v>17</v>
      </c>
      <c r="F242" s="9">
        <v>1</v>
      </c>
      <c r="I242" s="1"/>
      <c r="L242" s="78"/>
    </row>
    <row r="243" spans="1:12" ht="30" customHeight="1">
      <c r="A243" s="56"/>
      <c r="B243" s="29" t="s">
        <v>317</v>
      </c>
      <c r="C243" s="90" t="s">
        <v>269</v>
      </c>
      <c r="D243" s="90"/>
      <c r="E243" s="9" t="s">
        <v>17</v>
      </c>
      <c r="F243" s="9">
        <v>1</v>
      </c>
      <c r="I243" s="1"/>
      <c r="L243" s="78"/>
    </row>
    <row r="244" spans="1:12">
      <c r="A244" s="56"/>
      <c r="B244" s="24" t="s">
        <v>46</v>
      </c>
      <c r="C244" s="92" t="s">
        <v>379</v>
      </c>
      <c r="D244" s="92"/>
      <c r="E244" s="11"/>
      <c r="F244" s="11"/>
      <c r="I244" s="1"/>
      <c r="L244" s="78"/>
    </row>
    <row r="245" spans="1:12" ht="15" customHeight="1">
      <c r="A245" s="56"/>
      <c r="B245" s="29" t="s">
        <v>319</v>
      </c>
      <c r="C245" s="90" t="s">
        <v>380</v>
      </c>
      <c r="D245" s="90"/>
      <c r="E245" s="9" t="s">
        <v>79</v>
      </c>
      <c r="F245" s="9">
        <v>6</v>
      </c>
      <c r="I245" s="1"/>
      <c r="L245" s="78"/>
    </row>
    <row r="246" spans="1:12" ht="15" customHeight="1">
      <c r="A246" s="56"/>
      <c r="B246" s="29" t="s">
        <v>320</v>
      </c>
      <c r="C246" s="90" t="s">
        <v>381</v>
      </c>
      <c r="D246" s="90"/>
      <c r="E246" s="9" t="s">
        <v>17</v>
      </c>
      <c r="F246" s="9">
        <v>3</v>
      </c>
      <c r="I246" s="1"/>
      <c r="L246" s="78"/>
    </row>
    <row r="247" spans="1:12" ht="15" customHeight="1">
      <c r="A247" s="56"/>
      <c r="B247" s="29" t="s">
        <v>321</v>
      </c>
      <c r="C247" s="90" t="s">
        <v>382</v>
      </c>
      <c r="D247" s="90"/>
      <c r="E247" s="9" t="s">
        <v>17</v>
      </c>
      <c r="F247" s="9">
        <v>1</v>
      </c>
      <c r="I247" s="1"/>
      <c r="L247" s="78"/>
    </row>
    <row r="248" spans="1:12" ht="15" customHeight="1">
      <c r="A248" s="56"/>
      <c r="B248" s="29" t="s">
        <v>322</v>
      </c>
      <c r="C248" s="90" t="s">
        <v>383</v>
      </c>
      <c r="D248" s="90"/>
      <c r="E248" s="9" t="s">
        <v>17</v>
      </c>
      <c r="F248" s="9">
        <v>1</v>
      </c>
      <c r="I248" s="1"/>
      <c r="L248" s="78"/>
    </row>
    <row r="249" spans="1:12" ht="33" customHeight="1">
      <c r="A249" s="56"/>
      <c r="B249" s="29" t="s">
        <v>323</v>
      </c>
      <c r="C249" s="90" t="s">
        <v>384</v>
      </c>
      <c r="D249" s="90"/>
      <c r="E249" s="9" t="s">
        <v>17</v>
      </c>
      <c r="F249" s="9">
        <v>1</v>
      </c>
      <c r="I249" s="1"/>
      <c r="L249" s="78"/>
    </row>
    <row r="250" spans="1:12" ht="15" customHeight="1">
      <c r="A250" s="56"/>
      <c r="B250" s="29" t="s">
        <v>324</v>
      </c>
      <c r="C250" s="90" t="s">
        <v>385</v>
      </c>
      <c r="D250" s="90"/>
      <c r="E250" s="9" t="s">
        <v>17</v>
      </c>
      <c r="F250" s="9">
        <v>2</v>
      </c>
      <c r="I250" s="1"/>
      <c r="L250" s="78"/>
    </row>
    <row r="251" spans="1:12" ht="15" customHeight="1">
      <c r="A251" s="56"/>
      <c r="B251" s="29" t="s">
        <v>325</v>
      </c>
      <c r="C251" s="90" t="s">
        <v>386</v>
      </c>
      <c r="D251" s="90"/>
      <c r="E251" s="9" t="s">
        <v>17</v>
      </c>
      <c r="F251" s="9">
        <v>2</v>
      </c>
      <c r="I251" s="1"/>
      <c r="L251" s="78"/>
    </row>
    <row r="252" spans="1:12" ht="15" customHeight="1">
      <c r="A252" s="56"/>
      <c r="B252" s="29" t="s">
        <v>326</v>
      </c>
      <c r="C252" s="90" t="s">
        <v>387</v>
      </c>
      <c r="D252" s="90"/>
      <c r="E252" s="9" t="s">
        <v>79</v>
      </c>
      <c r="F252" s="9">
        <v>16</v>
      </c>
      <c r="I252" s="1"/>
      <c r="L252" s="78"/>
    </row>
    <row r="253" spans="1:12" ht="15" customHeight="1">
      <c r="A253" s="56"/>
      <c r="B253" s="29" t="s">
        <v>327</v>
      </c>
      <c r="C253" s="90" t="s">
        <v>388</v>
      </c>
      <c r="D253" s="90"/>
      <c r="E253" s="9" t="s">
        <v>17</v>
      </c>
      <c r="F253" s="9">
        <v>1</v>
      </c>
      <c r="I253" s="1"/>
      <c r="L253" s="78"/>
    </row>
    <row r="254" spans="1:12" ht="15" customHeight="1">
      <c r="A254" s="56"/>
      <c r="B254" s="29" t="s">
        <v>328</v>
      </c>
      <c r="C254" s="90" t="s">
        <v>389</v>
      </c>
      <c r="D254" s="90"/>
      <c r="E254" s="9" t="s">
        <v>17</v>
      </c>
      <c r="F254" s="9">
        <v>3</v>
      </c>
      <c r="I254" s="1"/>
      <c r="L254" s="78"/>
    </row>
    <row r="255" spans="1:12" ht="21.75" customHeight="1">
      <c r="A255" s="56"/>
      <c r="B255" s="24" t="s">
        <v>118</v>
      </c>
      <c r="C255" s="92" t="s">
        <v>390</v>
      </c>
      <c r="D255" s="92"/>
      <c r="E255" s="11"/>
      <c r="F255" s="11"/>
      <c r="I255" s="1"/>
      <c r="L255" s="78"/>
    </row>
    <row r="256" spans="1:12" ht="21" customHeight="1">
      <c r="A256" s="56"/>
      <c r="B256" s="29" t="s">
        <v>329</v>
      </c>
      <c r="C256" s="90" t="s">
        <v>391</v>
      </c>
      <c r="D256" s="90"/>
      <c r="E256" s="9" t="s">
        <v>79</v>
      </c>
      <c r="F256" s="9">
        <v>11</v>
      </c>
      <c r="I256" s="1"/>
      <c r="L256" s="78"/>
    </row>
    <row r="257" spans="1:12" ht="17.25" customHeight="1">
      <c r="A257" s="56"/>
      <c r="B257" s="29" t="s">
        <v>330</v>
      </c>
      <c r="C257" s="90" t="s">
        <v>392</v>
      </c>
      <c r="D257" s="90"/>
      <c r="E257" s="9" t="s">
        <v>17</v>
      </c>
      <c r="F257" s="9">
        <v>7</v>
      </c>
      <c r="I257" s="1"/>
      <c r="L257" s="78"/>
    </row>
    <row r="258" spans="1:12" ht="30" customHeight="1">
      <c r="A258" s="56"/>
      <c r="B258" s="29" t="s">
        <v>331</v>
      </c>
      <c r="C258" s="90" t="s">
        <v>393</v>
      </c>
      <c r="D258" s="90"/>
      <c r="E258" s="9" t="s">
        <v>17</v>
      </c>
      <c r="F258" s="9">
        <v>2</v>
      </c>
      <c r="I258" s="1"/>
      <c r="L258" s="78"/>
    </row>
    <row r="259" spans="1:12" ht="15.75" customHeight="1">
      <c r="A259" s="56"/>
      <c r="B259" s="29" t="s">
        <v>332</v>
      </c>
      <c r="C259" s="90" t="s">
        <v>394</v>
      </c>
      <c r="D259" s="90"/>
      <c r="E259" s="9" t="s">
        <v>17</v>
      </c>
      <c r="F259" s="9">
        <v>1</v>
      </c>
      <c r="I259" s="1"/>
      <c r="L259" s="78"/>
    </row>
    <row r="260" spans="1:12" ht="15" customHeight="1">
      <c r="A260" s="56"/>
      <c r="B260" s="29" t="s">
        <v>333</v>
      </c>
      <c r="C260" s="90" t="s">
        <v>395</v>
      </c>
      <c r="D260" s="90"/>
      <c r="E260" s="9" t="s">
        <v>17</v>
      </c>
      <c r="F260" s="9">
        <v>1</v>
      </c>
      <c r="I260" s="1"/>
      <c r="L260" s="78"/>
    </row>
    <row r="261" spans="1:12">
      <c r="A261" s="56"/>
      <c r="B261" s="29" t="s">
        <v>334</v>
      </c>
      <c r="C261" s="90" t="s">
        <v>396</v>
      </c>
      <c r="D261" s="90"/>
      <c r="E261" s="9" t="s">
        <v>17</v>
      </c>
      <c r="F261" s="9">
        <v>1</v>
      </c>
      <c r="I261" s="1"/>
      <c r="L261" s="78"/>
    </row>
    <row r="262" spans="1:12" ht="15" customHeight="1">
      <c r="A262" s="56"/>
      <c r="B262" s="29" t="s">
        <v>335</v>
      </c>
      <c r="C262" s="90" t="s">
        <v>397</v>
      </c>
      <c r="D262" s="90"/>
      <c r="E262" s="9" t="s">
        <v>17</v>
      </c>
      <c r="F262" s="9">
        <v>1</v>
      </c>
      <c r="I262" s="1"/>
      <c r="L262" s="78"/>
    </row>
    <row r="263" spans="1:12" ht="15" customHeight="1">
      <c r="A263" s="56"/>
      <c r="B263" s="29" t="s">
        <v>336</v>
      </c>
      <c r="C263" s="90" t="s">
        <v>398</v>
      </c>
      <c r="D263" s="90"/>
      <c r="E263" s="9" t="s">
        <v>17</v>
      </c>
      <c r="F263" s="9">
        <v>2</v>
      </c>
      <c r="I263" s="1"/>
      <c r="L263" s="78"/>
    </row>
    <row r="264" spans="1:12">
      <c r="A264" s="56"/>
      <c r="B264" s="29" t="s">
        <v>337</v>
      </c>
      <c r="C264" s="90" t="s">
        <v>399</v>
      </c>
      <c r="D264" s="90"/>
      <c r="E264" s="9" t="s">
        <v>17</v>
      </c>
      <c r="F264" s="9">
        <v>1</v>
      </c>
      <c r="I264" s="1"/>
      <c r="L264" s="78"/>
    </row>
    <row r="265" spans="1:12" ht="15" customHeight="1">
      <c r="A265" s="56"/>
      <c r="B265" s="29" t="s">
        <v>338</v>
      </c>
      <c r="C265" s="90" t="s">
        <v>386</v>
      </c>
      <c r="D265" s="90"/>
      <c r="E265" s="9" t="s">
        <v>17</v>
      </c>
      <c r="F265" s="9">
        <v>1</v>
      </c>
      <c r="I265" s="1"/>
      <c r="L265" s="78"/>
    </row>
    <row r="266" spans="1:12" ht="15" customHeight="1">
      <c r="A266" s="56"/>
      <c r="B266" s="29" t="s">
        <v>339</v>
      </c>
      <c r="C266" s="90" t="s">
        <v>400</v>
      </c>
      <c r="D266" s="90"/>
      <c r="E266" s="9" t="s">
        <v>17</v>
      </c>
      <c r="F266" s="9">
        <v>3</v>
      </c>
      <c r="I266" s="1"/>
      <c r="L266" s="78"/>
    </row>
    <row r="267" spans="1:12" ht="15" customHeight="1">
      <c r="A267" s="56"/>
      <c r="B267" s="29" t="s">
        <v>340</v>
      </c>
      <c r="C267" s="90" t="s">
        <v>401</v>
      </c>
      <c r="D267" s="90"/>
      <c r="E267" s="9" t="s">
        <v>79</v>
      </c>
      <c r="F267" s="9">
        <v>8</v>
      </c>
      <c r="I267" s="1"/>
      <c r="L267" s="78"/>
    </row>
    <row r="268" spans="1:12" ht="15" customHeight="1">
      <c r="A268" s="56"/>
      <c r="B268" s="29" t="s">
        <v>341</v>
      </c>
      <c r="C268" s="90" t="s">
        <v>402</v>
      </c>
      <c r="D268" s="90"/>
      <c r="E268" s="9" t="s">
        <v>17</v>
      </c>
      <c r="F268" s="9">
        <v>1</v>
      </c>
      <c r="I268" s="1"/>
      <c r="L268" s="78"/>
    </row>
    <row r="269" spans="1:12" ht="15" customHeight="1">
      <c r="A269" s="56"/>
      <c r="B269" s="29" t="s">
        <v>342</v>
      </c>
      <c r="C269" s="90" t="s">
        <v>403</v>
      </c>
      <c r="D269" s="90"/>
      <c r="E269" s="9" t="s">
        <v>17</v>
      </c>
      <c r="F269" s="9">
        <v>1</v>
      </c>
      <c r="I269" s="1"/>
      <c r="L269" s="78"/>
    </row>
    <row r="270" spans="1:12" ht="15" customHeight="1">
      <c r="A270" s="56"/>
      <c r="B270" s="24" t="s">
        <v>119</v>
      </c>
      <c r="C270" s="92" t="s">
        <v>404</v>
      </c>
      <c r="D270" s="92"/>
      <c r="E270" s="11"/>
      <c r="F270" s="11"/>
      <c r="I270" s="1"/>
      <c r="L270" s="78"/>
    </row>
    <row r="271" spans="1:12" ht="15" customHeight="1">
      <c r="A271" s="56"/>
      <c r="B271" s="29" t="s">
        <v>344</v>
      </c>
      <c r="C271" s="90" t="s">
        <v>405</v>
      </c>
      <c r="D271" s="90"/>
      <c r="E271" s="9" t="s">
        <v>79</v>
      </c>
      <c r="F271" s="9">
        <v>5</v>
      </c>
      <c r="I271" s="1"/>
      <c r="L271" s="78"/>
    </row>
    <row r="272" spans="1:12">
      <c r="A272" s="56"/>
      <c r="B272" s="29" t="s">
        <v>343</v>
      </c>
      <c r="C272" s="90" t="s">
        <v>391</v>
      </c>
      <c r="D272" s="90"/>
      <c r="E272" s="9" t="s">
        <v>79</v>
      </c>
      <c r="F272" s="9">
        <v>5</v>
      </c>
      <c r="I272" s="1"/>
      <c r="L272" s="78"/>
    </row>
    <row r="273" spans="1:12" ht="15" customHeight="1">
      <c r="A273" s="56"/>
      <c r="B273" s="29" t="s">
        <v>345</v>
      </c>
      <c r="C273" s="90" t="s">
        <v>406</v>
      </c>
      <c r="D273" s="90"/>
      <c r="E273" s="9" t="s">
        <v>17</v>
      </c>
      <c r="F273" s="9">
        <v>1</v>
      </c>
      <c r="I273" s="1"/>
      <c r="L273" s="78"/>
    </row>
    <row r="274" spans="1:12" ht="30.75" customHeight="1">
      <c r="A274" s="56"/>
      <c r="B274" s="29" t="s">
        <v>346</v>
      </c>
      <c r="C274" s="90" t="s">
        <v>407</v>
      </c>
      <c r="D274" s="90"/>
      <c r="E274" s="9" t="s">
        <v>17</v>
      </c>
      <c r="F274" s="9">
        <v>1</v>
      </c>
      <c r="I274" s="1"/>
      <c r="L274" s="78"/>
    </row>
    <row r="275" spans="1:12" ht="15" customHeight="1">
      <c r="A275" s="56"/>
      <c r="B275" s="29" t="s">
        <v>347</v>
      </c>
      <c r="C275" s="90" t="s">
        <v>399</v>
      </c>
      <c r="D275" s="90"/>
      <c r="E275" s="9" t="s">
        <v>17</v>
      </c>
      <c r="F275" s="9">
        <v>1</v>
      </c>
      <c r="I275" s="1"/>
      <c r="L275" s="78"/>
    </row>
    <row r="276" spans="1:12">
      <c r="A276" s="56"/>
      <c r="B276" s="29" t="s">
        <v>348</v>
      </c>
      <c r="C276" s="90" t="s">
        <v>394</v>
      </c>
      <c r="D276" s="90"/>
      <c r="E276" s="9" t="s">
        <v>17</v>
      </c>
      <c r="F276" s="9">
        <v>1</v>
      </c>
      <c r="I276" s="1"/>
      <c r="L276" s="78"/>
    </row>
    <row r="277" spans="1:12" ht="15" customHeight="1">
      <c r="A277" s="56"/>
      <c r="B277" s="29" t="s">
        <v>349</v>
      </c>
      <c r="C277" s="90" t="s">
        <v>392</v>
      </c>
      <c r="D277" s="90"/>
      <c r="E277" s="9" t="s">
        <v>17</v>
      </c>
      <c r="F277" s="9">
        <v>6</v>
      </c>
      <c r="I277" s="1"/>
      <c r="L277" s="78"/>
    </row>
    <row r="278" spans="1:12" ht="15" customHeight="1">
      <c r="A278" s="56"/>
      <c r="B278" s="29" t="s">
        <v>350</v>
      </c>
      <c r="C278" s="90" t="s">
        <v>408</v>
      </c>
      <c r="D278" s="90"/>
      <c r="E278" s="9" t="s">
        <v>17</v>
      </c>
      <c r="F278" s="9">
        <v>2</v>
      </c>
      <c r="I278" s="1"/>
      <c r="L278" s="78"/>
    </row>
    <row r="279" spans="1:12" ht="30.75" customHeight="1">
      <c r="A279" s="56"/>
      <c r="B279" s="29" t="s">
        <v>351</v>
      </c>
      <c r="C279" s="90" t="s">
        <v>409</v>
      </c>
      <c r="D279" s="90"/>
      <c r="E279" s="9" t="s">
        <v>17</v>
      </c>
      <c r="F279" s="9">
        <v>1</v>
      </c>
      <c r="I279" s="1"/>
      <c r="L279" s="78"/>
    </row>
    <row r="280" spans="1:12" ht="15" customHeight="1">
      <c r="A280" s="56"/>
      <c r="B280" s="24" t="s">
        <v>120</v>
      </c>
      <c r="C280" s="92" t="s">
        <v>410</v>
      </c>
      <c r="D280" s="92"/>
      <c r="E280" s="11"/>
      <c r="F280" s="11"/>
      <c r="I280" s="1"/>
      <c r="L280" s="78"/>
    </row>
    <row r="281" spans="1:12" ht="15" customHeight="1">
      <c r="A281" s="56"/>
      <c r="B281" s="29" t="s">
        <v>352</v>
      </c>
      <c r="C281" s="90" t="s">
        <v>411</v>
      </c>
      <c r="D281" s="90"/>
      <c r="E281" s="9" t="s">
        <v>79</v>
      </c>
      <c r="F281" s="9">
        <v>3</v>
      </c>
      <c r="I281" s="1"/>
      <c r="L281" s="78"/>
    </row>
    <row r="282" spans="1:12" ht="15" customHeight="1">
      <c r="A282" s="56"/>
      <c r="B282" s="29" t="s">
        <v>353</v>
      </c>
      <c r="C282" s="90" t="s">
        <v>412</v>
      </c>
      <c r="D282" s="90"/>
      <c r="E282" s="9" t="s">
        <v>17</v>
      </c>
      <c r="F282" s="9">
        <v>3</v>
      </c>
      <c r="I282" s="1"/>
      <c r="L282" s="78"/>
    </row>
    <row r="283" spans="1:12" ht="15" customHeight="1">
      <c r="A283" s="56"/>
      <c r="B283" s="29" t="s">
        <v>354</v>
      </c>
      <c r="C283" s="90" t="s">
        <v>413</v>
      </c>
      <c r="D283" s="90"/>
      <c r="E283" s="9" t="s">
        <v>17</v>
      </c>
      <c r="F283" s="9">
        <v>1</v>
      </c>
      <c r="I283" s="1"/>
      <c r="L283" s="78"/>
    </row>
    <row r="284" spans="1:12" ht="15" customHeight="1">
      <c r="A284" s="56"/>
      <c r="B284" s="29" t="s">
        <v>355</v>
      </c>
      <c r="C284" s="90" t="s">
        <v>414</v>
      </c>
      <c r="D284" s="90"/>
      <c r="E284" s="9" t="s">
        <v>17</v>
      </c>
      <c r="F284" s="9">
        <v>2</v>
      </c>
      <c r="I284" s="1"/>
      <c r="L284" s="78"/>
    </row>
    <row r="285" spans="1:12" ht="15" customHeight="1">
      <c r="A285" s="56"/>
      <c r="B285" s="29" t="s">
        <v>356</v>
      </c>
      <c r="C285" s="90" t="s">
        <v>415</v>
      </c>
      <c r="D285" s="90"/>
      <c r="E285" s="9" t="s">
        <v>17</v>
      </c>
      <c r="F285" s="9">
        <v>3</v>
      </c>
      <c r="I285" s="1"/>
      <c r="L285" s="78"/>
    </row>
    <row r="286" spans="1:12" ht="15" customHeight="1">
      <c r="A286" s="56"/>
      <c r="B286" s="29" t="s">
        <v>357</v>
      </c>
      <c r="C286" s="90" t="s">
        <v>416</v>
      </c>
      <c r="D286" s="90"/>
      <c r="E286" s="9" t="s">
        <v>17</v>
      </c>
      <c r="F286" s="9">
        <v>1</v>
      </c>
      <c r="I286" s="1"/>
      <c r="L286" s="78"/>
    </row>
    <row r="287" spans="1:12">
      <c r="A287" s="56"/>
      <c r="B287" s="29" t="s">
        <v>358</v>
      </c>
      <c r="C287" s="90" t="s">
        <v>417</v>
      </c>
      <c r="D287" s="90"/>
      <c r="E287" s="9" t="s">
        <v>17</v>
      </c>
      <c r="F287" s="9">
        <v>2</v>
      </c>
      <c r="I287" s="1"/>
      <c r="L287" s="78"/>
    </row>
    <row r="288" spans="1:12">
      <c r="A288" s="56"/>
      <c r="B288" s="29" t="s">
        <v>359</v>
      </c>
      <c r="C288" s="90" t="s">
        <v>418</v>
      </c>
      <c r="D288" s="90"/>
      <c r="E288" s="9" t="s">
        <v>17</v>
      </c>
      <c r="F288" s="9">
        <v>2</v>
      </c>
      <c r="I288" s="1"/>
      <c r="L288" s="78"/>
    </row>
    <row r="289" spans="1:12" ht="15" customHeight="1">
      <c r="A289" s="56"/>
      <c r="B289" s="29" t="s">
        <v>360</v>
      </c>
      <c r="C289" s="90" t="s">
        <v>419</v>
      </c>
      <c r="D289" s="90"/>
      <c r="E289" s="9" t="s">
        <v>17</v>
      </c>
      <c r="F289" s="9">
        <v>2</v>
      </c>
      <c r="I289" s="1"/>
      <c r="L289" s="78"/>
    </row>
    <row r="290" spans="1:12" ht="15" customHeight="1">
      <c r="A290" s="56"/>
      <c r="B290" s="29" t="s">
        <v>361</v>
      </c>
      <c r="C290" s="90" t="s">
        <v>420</v>
      </c>
      <c r="D290" s="90"/>
      <c r="E290" s="9" t="s">
        <v>17</v>
      </c>
      <c r="F290" s="9">
        <v>1</v>
      </c>
      <c r="I290" s="1"/>
      <c r="L290" s="78"/>
    </row>
    <row r="291" spans="1:12" ht="15" customHeight="1">
      <c r="A291" s="56"/>
      <c r="B291" s="29" t="s">
        <v>362</v>
      </c>
      <c r="C291" s="90" t="s">
        <v>421</v>
      </c>
      <c r="D291" s="90"/>
      <c r="E291" s="9" t="s">
        <v>17</v>
      </c>
      <c r="F291" s="9">
        <v>3</v>
      </c>
      <c r="I291" s="1"/>
      <c r="L291" s="78"/>
    </row>
    <row r="292" spans="1:12" ht="15" customHeight="1">
      <c r="A292" s="56"/>
      <c r="B292" s="29" t="s">
        <v>363</v>
      </c>
      <c r="C292" s="90" t="s">
        <v>422</v>
      </c>
      <c r="D292" s="90"/>
      <c r="E292" s="9" t="s">
        <v>17</v>
      </c>
      <c r="F292" s="9">
        <v>1</v>
      </c>
      <c r="I292" s="1"/>
      <c r="L292" s="78"/>
    </row>
    <row r="293" spans="1:12" ht="15" customHeight="1">
      <c r="A293" s="56"/>
      <c r="B293" s="29" t="s">
        <v>364</v>
      </c>
      <c r="C293" s="90" t="s">
        <v>423</v>
      </c>
      <c r="D293" s="90"/>
      <c r="E293" s="9" t="s">
        <v>79</v>
      </c>
      <c r="F293" s="9">
        <v>8</v>
      </c>
      <c r="I293" s="1"/>
      <c r="L293" s="78"/>
    </row>
    <row r="294" spans="1:12" ht="15" customHeight="1">
      <c r="A294" s="56"/>
      <c r="B294" s="29" t="s">
        <v>365</v>
      </c>
      <c r="C294" s="90" t="s">
        <v>424</v>
      </c>
      <c r="D294" s="90"/>
      <c r="E294" s="9" t="s">
        <v>17</v>
      </c>
      <c r="F294" s="9">
        <v>1</v>
      </c>
      <c r="I294" s="1"/>
      <c r="L294" s="78"/>
    </row>
    <row r="295" spans="1:12" ht="15" customHeight="1">
      <c r="A295" s="56"/>
      <c r="B295" s="29" t="s">
        <v>366</v>
      </c>
      <c r="C295" s="90" t="s">
        <v>425</v>
      </c>
      <c r="D295" s="90"/>
      <c r="E295" s="9" t="s">
        <v>17</v>
      </c>
      <c r="F295" s="9">
        <v>1</v>
      </c>
      <c r="I295" s="1"/>
      <c r="L295" s="78"/>
    </row>
    <row r="296" spans="1:12" ht="15" customHeight="1">
      <c r="A296" s="56"/>
      <c r="B296" s="24" t="s">
        <v>121</v>
      </c>
      <c r="C296" s="92" t="s">
        <v>426</v>
      </c>
      <c r="D296" s="92"/>
      <c r="E296" s="11"/>
      <c r="F296" s="11"/>
      <c r="I296" s="1"/>
      <c r="L296" s="78"/>
    </row>
    <row r="297" spans="1:12">
      <c r="A297" s="56"/>
      <c r="B297" s="29" t="s">
        <v>367</v>
      </c>
      <c r="C297" s="90" t="s">
        <v>405</v>
      </c>
      <c r="D297" s="90"/>
      <c r="E297" s="9" t="s">
        <v>79</v>
      </c>
      <c r="F297" s="9">
        <v>12</v>
      </c>
      <c r="I297" s="1"/>
      <c r="L297" s="78"/>
    </row>
    <row r="298" spans="1:12" ht="15" customHeight="1">
      <c r="A298" s="56"/>
      <c r="B298" s="29" t="s">
        <v>368</v>
      </c>
      <c r="C298" s="90" t="s">
        <v>407</v>
      </c>
      <c r="D298" s="90"/>
      <c r="E298" s="9" t="s">
        <v>17</v>
      </c>
      <c r="F298" s="9">
        <v>1</v>
      </c>
      <c r="I298" s="1"/>
      <c r="L298" s="78"/>
    </row>
    <row r="299" spans="1:12" ht="15" customHeight="1">
      <c r="A299" s="56"/>
      <c r="B299" s="29" t="s">
        <v>369</v>
      </c>
      <c r="C299" s="90" t="s">
        <v>406</v>
      </c>
      <c r="D299" s="90"/>
      <c r="E299" s="9" t="s">
        <v>17</v>
      </c>
      <c r="F299" s="9">
        <v>2</v>
      </c>
      <c r="I299" s="1"/>
      <c r="L299" s="78"/>
    </row>
    <row r="300" spans="1:12" ht="15" customHeight="1">
      <c r="A300" s="56"/>
      <c r="B300" s="29" t="s">
        <v>370</v>
      </c>
      <c r="C300" s="90" t="s">
        <v>411</v>
      </c>
      <c r="D300" s="90"/>
      <c r="E300" s="9" t="s">
        <v>79</v>
      </c>
      <c r="F300" s="9">
        <v>1</v>
      </c>
      <c r="I300" s="1"/>
      <c r="L300" s="78"/>
    </row>
    <row r="301" spans="1:12" ht="30.75" customHeight="1">
      <c r="A301" s="56"/>
      <c r="B301" s="29" t="s">
        <v>371</v>
      </c>
      <c r="C301" s="90" t="s">
        <v>415</v>
      </c>
      <c r="D301" s="90"/>
      <c r="E301" s="9" t="s">
        <v>17</v>
      </c>
      <c r="F301" s="9">
        <v>2</v>
      </c>
      <c r="I301" s="1"/>
      <c r="L301" s="78"/>
    </row>
    <row r="302" spans="1:12" ht="15" customHeight="1">
      <c r="A302" s="56"/>
      <c r="B302" s="29" t="s">
        <v>372</v>
      </c>
      <c r="C302" s="90" t="s">
        <v>418</v>
      </c>
      <c r="D302" s="90"/>
      <c r="E302" s="9" t="s">
        <v>17</v>
      </c>
      <c r="F302" s="9">
        <v>1</v>
      </c>
      <c r="I302" s="1"/>
      <c r="L302" s="78"/>
    </row>
    <row r="303" spans="1:12" ht="15" customHeight="1">
      <c r="A303" s="56"/>
      <c r="B303" s="29" t="s">
        <v>373</v>
      </c>
      <c r="C303" s="90" t="s">
        <v>417</v>
      </c>
      <c r="D303" s="90"/>
      <c r="E303" s="9" t="s">
        <v>17</v>
      </c>
      <c r="F303" s="9">
        <v>2</v>
      </c>
      <c r="I303" s="1"/>
      <c r="L303" s="78"/>
    </row>
    <row r="304" spans="1:12">
      <c r="A304" s="56"/>
      <c r="B304" s="29" t="s">
        <v>374</v>
      </c>
      <c r="C304" s="90" t="s">
        <v>423</v>
      </c>
      <c r="D304" s="90"/>
      <c r="E304" s="9" t="s">
        <v>79</v>
      </c>
      <c r="F304" s="9">
        <v>8</v>
      </c>
      <c r="I304" s="1"/>
      <c r="L304" s="78"/>
    </row>
    <row r="305" spans="1:12" ht="15" customHeight="1">
      <c r="A305" s="56"/>
      <c r="B305" s="29" t="s">
        <v>375</v>
      </c>
      <c r="C305" s="90" t="s">
        <v>424</v>
      </c>
      <c r="D305" s="90"/>
      <c r="E305" s="9" t="s">
        <v>17</v>
      </c>
      <c r="F305" s="9">
        <v>1</v>
      </c>
      <c r="I305" s="1"/>
      <c r="L305" s="78"/>
    </row>
    <row r="306" spans="1:12" ht="15" customHeight="1">
      <c r="A306" s="56"/>
      <c r="B306" s="29" t="s">
        <v>376</v>
      </c>
      <c r="C306" s="90" t="s">
        <v>425</v>
      </c>
      <c r="D306" s="90"/>
      <c r="E306" s="9" t="s">
        <v>17</v>
      </c>
      <c r="F306" s="9">
        <v>1</v>
      </c>
      <c r="I306" s="1"/>
      <c r="L306" s="78"/>
    </row>
    <row r="307" spans="1:12" ht="15" customHeight="1">
      <c r="A307" s="56"/>
      <c r="B307" s="24" t="s">
        <v>122</v>
      </c>
      <c r="C307" s="92" t="s">
        <v>427</v>
      </c>
      <c r="D307" s="92"/>
      <c r="E307" s="11"/>
      <c r="F307" s="11"/>
      <c r="I307" s="1"/>
      <c r="L307" s="78"/>
    </row>
    <row r="308" spans="1:12" ht="31.5" customHeight="1">
      <c r="A308" s="56"/>
      <c r="B308" s="29" t="s">
        <v>377</v>
      </c>
      <c r="C308" s="90" t="s">
        <v>428</v>
      </c>
      <c r="D308" s="90"/>
      <c r="E308" s="9" t="s">
        <v>17</v>
      </c>
      <c r="F308" s="9">
        <v>1</v>
      </c>
      <c r="I308" s="1"/>
      <c r="L308" s="78"/>
    </row>
    <row r="309" spans="1:12" ht="21.75" customHeight="1">
      <c r="A309" s="56"/>
      <c r="B309" s="29" t="s">
        <v>378</v>
      </c>
      <c r="C309" s="90" t="s">
        <v>429</v>
      </c>
      <c r="D309" s="90"/>
      <c r="E309" s="9" t="s">
        <v>17</v>
      </c>
      <c r="F309" s="9">
        <v>1</v>
      </c>
      <c r="I309" s="1"/>
      <c r="L309" s="78"/>
    </row>
    <row r="310" spans="1:12">
      <c r="A310" s="56"/>
      <c r="B310" s="13" t="s">
        <v>4</v>
      </c>
      <c r="C310" s="20" t="s">
        <v>1</v>
      </c>
      <c r="D310" s="21"/>
      <c r="E310" s="21"/>
      <c r="F310" s="21"/>
      <c r="I310" s="1"/>
      <c r="L310" s="78"/>
    </row>
    <row r="311" spans="1:12" ht="15" customHeight="1">
      <c r="A311" s="56"/>
      <c r="B311" s="22" t="s">
        <v>41</v>
      </c>
      <c r="C311" s="84" t="s">
        <v>63</v>
      </c>
      <c r="D311" s="84"/>
      <c r="E311" s="23"/>
      <c r="F311" s="23"/>
      <c r="I311" s="1"/>
      <c r="L311" s="78"/>
    </row>
    <row r="312" spans="1:12" ht="15" customHeight="1">
      <c r="A312" s="56"/>
      <c r="B312" s="24" t="s">
        <v>9</v>
      </c>
      <c r="C312" s="25" t="s">
        <v>27</v>
      </c>
      <c r="D312" s="26"/>
      <c r="E312" s="28"/>
      <c r="F312" s="28"/>
      <c r="I312" s="1"/>
      <c r="L312" s="78"/>
    </row>
    <row r="313" spans="1:12" ht="102.75" customHeight="1">
      <c r="A313" s="56"/>
      <c r="B313" s="29" t="s">
        <v>64</v>
      </c>
      <c r="C313" s="57" t="s">
        <v>691</v>
      </c>
      <c r="D313" s="58" t="s">
        <v>742</v>
      </c>
      <c r="E313" s="7" t="s">
        <v>17</v>
      </c>
      <c r="F313" s="9">
        <v>35</v>
      </c>
      <c r="I313" s="1"/>
      <c r="L313" s="78"/>
    </row>
    <row r="314" spans="1:12" ht="15" customHeight="1">
      <c r="A314" s="56"/>
      <c r="B314" s="24" t="s">
        <v>10</v>
      </c>
      <c r="C314" s="25" t="s">
        <v>66</v>
      </c>
      <c r="D314" s="26"/>
      <c r="E314" s="59" t="s">
        <v>79</v>
      </c>
      <c r="F314" s="10">
        <v>140</v>
      </c>
      <c r="I314" s="1"/>
      <c r="L314" s="78"/>
    </row>
    <row r="315" spans="1:12" ht="30.6">
      <c r="A315" s="56"/>
      <c r="B315" s="29" t="s">
        <v>235</v>
      </c>
      <c r="C315" s="30" t="s">
        <v>705</v>
      </c>
      <c r="D315" s="60" t="s">
        <v>706</v>
      </c>
      <c r="E315" s="11" t="s">
        <v>170</v>
      </c>
      <c r="F315" s="9">
        <v>1.5</v>
      </c>
      <c r="I315" s="1"/>
      <c r="L315" s="78"/>
    </row>
    <row r="316" spans="1:12" ht="30" customHeight="1">
      <c r="A316" s="56"/>
      <c r="B316" s="29" t="s">
        <v>236</v>
      </c>
      <c r="C316" s="30" t="s">
        <v>696</v>
      </c>
      <c r="D316" s="8" t="s">
        <v>697</v>
      </c>
      <c r="E316" s="9" t="s">
        <v>79</v>
      </c>
      <c r="F316" s="9">
        <v>140</v>
      </c>
      <c r="I316" s="1"/>
      <c r="L316" s="78"/>
    </row>
    <row r="317" spans="1:12" ht="78" customHeight="1">
      <c r="A317" s="56"/>
      <c r="B317" s="29" t="s">
        <v>237</v>
      </c>
      <c r="C317" s="30" t="s">
        <v>753</v>
      </c>
      <c r="D317" s="8" t="s">
        <v>754</v>
      </c>
      <c r="E317" s="11" t="s">
        <v>170</v>
      </c>
      <c r="F317" s="9">
        <v>17.5</v>
      </c>
      <c r="I317" s="1"/>
      <c r="L317" s="78"/>
    </row>
    <row r="318" spans="1:12" ht="30" customHeight="1">
      <c r="A318" s="56"/>
      <c r="B318" s="29" t="s">
        <v>238</v>
      </c>
      <c r="C318" s="30" t="s">
        <v>692</v>
      </c>
      <c r="D318" s="60"/>
      <c r="E318" s="11" t="s">
        <v>171</v>
      </c>
      <c r="F318" s="9">
        <v>56</v>
      </c>
      <c r="I318" s="1"/>
      <c r="L318" s="78"/>
    </row>
    <row r="319" spans="1:12" ht="60" customHeight="1">
      <c r="A319" s="56"/>
      <c r="B319" s="29" t="s">
        <v>239</v>
      </c>
      <c r="C319" s="30" t="s">
        <v>693</v>
      </c>
      <c r="D319" s="60" t="s">
        <v>706</v>
      </c>
      <c r="E319" s="11" t="s">
        <v>170</v>
      </c>
      <c r="F319" s="9">
        <v>0.4</v>
      </c>
      <c r="I319" s="1"/>
      <c r="L319" s="78"/>
    </row>
    <row r="320" spans="1:12" ht="45.9">
      <c r="A320" s="56"/>
      <c r="B320" s="29" t="s">
        <v>240</v>
      </c>
      <c r="C320" s="30" t="s">
        <v>698</v>
      </c>
      <c r="D320" s="40" t="s">
        <v>695</v>
      </c>
      <c r="E320" s="9" t="s">
        <v>79</v>
      </c>
      <c r="F320" s="9">
        <v>140</v>
      </c>
      <c r="I320" s="1"/>
      <c r="L320" s="78"/>
    </row>
    <row r="321" spans="1:12" ht="45" customHeight="1">
      <c r="A321" s="56"/>
      <c r="B321" s="29" t="s">
        <v>241</v>
      </c>
      <c r="C321" s="30" t="s">
        <v>699</v>
      </c>
      <c r="D321" s="8" t="s">
        <v>744</v>
      </c>
      <c r="E321" s="9" t="s">
        <v>79</v>
      </c>
      <c r="F321" s="9">
        <v>140</v>
      </c>
      <c r="I321" s="1"/>
      <c r="L321" s="78"/>
    </row>
    <row r="322" spans="1:12" ht="45" customHeight="1">
      <c r="A322" s="56"/>
      <c r="B322" s="29" t="s">
        <v>242</v>
      </c>
      <c r="C322" s="30" t="s">
        <v>694</v>
      </c>
      <c r="D322" s="40" t="s">
        <v>700</v>
      </c>
      <c r="E322" s="9" t="s">
        <v>79</v>
      </c>
      <c r="F322" s="9">
        <v>140</v>
      </c>
      <c r="I322" s="1"/>
      <c r="L322" s="78"/>
    </row>
    <row r="323" spans="1:12" ht="195" customHeight="1">
      <c r="A323" s="56"/>
      <c r="B323" s="29" t="s">
        <v>11</v>
      </c>
      <c r="C323" s="54" t="s">
        <v>67</v>
      </c>
      <c r="D323" s="57" t="s">
        <v>741</v>
      </c>
      <c r="E323" s="4" t="s">
        <v>17</v>
      </c>
      <c r="F323" s="4">
        <v>1</v>
      </c>
      <c r="I323" s="1"/>
      <c r="L323" s="78"/>
    </row>
    <row r="324" spans="1:12" ht="165" customHeight="1">
      <c r="A324" s="56"/>
      <c r="B324" s="29" t="s">
        <v>18</v>
      </c>
      <c r="C324" s="54" t="s">
        <v>68</v>
      </c>
      <c r="D324" s="57" t="s">
        <v>743</v>
      </c>
      <c r="E324" s="4" t="s">
        <v>17</v>
      </c>
      <c r="F324" s="4">
        <v>31</v>
      </c>
      <c r="I324" s="1"/>
      <c r="L324" s="78"/>
    </row>
    <row r="325" spans="1:12" ht="15" customHeight="1">
      <c r="A325" s="56"/>
      <c r="B325" s="13" t="s">
        <v>5</v>
      </c>
      <c r="C325" s="20" t="s">
        <v>35</v>
      </c>
      <c r="D325" s="21"/>
      <c r="E325" s="21"/>
      <c r="F325" s="21"/>
      <c r="I325" s="1"/>
      <c r="L325" s="78"/>
    </row>
    <row r="326" spans="1:12" ht="15" customHeight="1">
      <c r="A326" s="56"/>
      <c r="B326" s="22" t="s">
        <v>41</v>
      </c>
      <c r="C326" s="84" t="s">
        <v>71</v>
      </c>
      <c r="D326" s="84"/>
      <c r="E326" s="23"/>
      <c r="F326" s="23"/>
      <c r="I326" s="1"/>
      <c r="L326" s="78"/>
    </row>
    <row r="327" spans="1:12" ht="15" customHeight="1">
      <c r="A327" s="56"/>
      <c r="B327" s="29" t="s">
        <v>644</v>
      </c>
      <c r="C327" s="46" t="s">
        <v>757</v>
      </c>
      <c r="D327" s="61" t="s">
        <v>758</v>
      </c>
      <c r="E327" s="62" t="s">
        <v>854</v>
      </c>
      <c r="F327" s="63">
        <v>416.6</v>
      </c>
      <c r="I327" s="1"/>
      <c r="L327" s="78"/>
    </row>
    <row r="328" spans="1:12" ht="15" customHeight="1">
      <c r="A328" s="56"/>
      <c r="B328" s="22" t="s">
        <v>41</v>
      </c>
      <c r="C328" s="94" t="s">
        <v>789</v>
      </c>
      <c r="D328" s="95"/>
      <c r="E328" s="22"/>
      <c r="F328" s="64"/>
      <c r="I328" s="1"/>
      <c r="L328" s="78"/>
    </row>
    <row r="329" spans="1:12" ht="15" customHeight="1">
      <c r="A329" s="56"/>
      <c r="B329" s="29" t="s">
        <v>9</v>
      </c>
      <c r="C329" s="46" t="s">
        <v>74</v>
      </c>
      <c r="D329" s="61" t="s">
        <v>758</v>
      </c>
      <c r="E329" s="62" t="s">
        <v>855</v>
      </c>
      <c r="F329" s="63">
        <v>30</v>
      </c>
      <c r="H329" s="65"/>
      <c r="I329" s="1"/>
      <c r="L329" s="78"/>
    </row>
    <row r="330" spans="1:12" ht="15" customHeight="1">
      <c r="A330" s="56"/>
      <c r="B330" s="29" t="s">
        <v>10</v>
      </c>
      <c r="C330" s="46" t="s">
        <v>72</v>
      </c>
      <c r="D330" s="61" t="s">
        <v>784</v>
      </c>
      <c r="E330" s="66" t="s">
        <v>733</v>
      </c>
      <c r="F330" s="63">
        <v>1779</v>
      </c>
      <c r="I330" s="1"/>
      <c r="L330" s="78"/>
    </row>
    <row r="331" spans="1:12" ht="15" customHeight="1">
      <c r="A331" s="56"/>
      <c r="B331" s="29" t="s">
        <v>11</v>
      </c>
      <c r="C331" s="46" t="s">
        <v>75</v>
      </c>
      <c r="D331" s="61" t="s">
        <v>785</v>
      </c>
      <c r="E331" s="62" t="s">
        <v>854</v>
      </c>
      <c r="F331" s="63">
        <v>23.71</v>
      </c>
      <c r="I331" s="1"/>
      <c r="L331" s="78"/>
    </row>
    <row r="332" spans="1:12" ht="15" customHeight="1">
      <c r="A332" s="56"/>
      <c r="B332" s="29" t="s">
        <v>18</v>
      </c>
      <c r="C332" s="46" t="s">
        <v>786</v>
      </c>
      <c r="D332" s="61" t="s">
        <v>758</v>
      </c>
      <c r="E332" s="62" t="s">
        <v>854</v>
      </c>
      <c r="F332" s="63">
        <v>28.95</v>
      </c>
      <c r="I332" s="1"/>
      <c r="L332" s="78"/>
    </row>
    <row r="333" spans="1:12" ht="15" customHeight="1">
      <c r="A333" s="56"/>
      <c r="B333" s="29" t="s">
        <v>19</v>
      </c>
      <c r="C333" s="46" t="s">
        <v>787</v>
      </c>
      <c r="D333" s="61" t="s">
        <v>758</v>
      </c>
      <c r="E333" s="62" t="s">
        <v>855</v>
      </c>
      <c r="F333" s="63">
        <v>121</v>
      </c>
      <c r="I333" s="1"/>
      <c r="L333" s="78"/>
    </row>
    <row r="334" spans="1:12" ht="15" customHeight="1">
      <c r="A334" s="56"/>
      <c r="B334" s="22" t="s">
        <v>42</v>
      </c>
      <c r="C334" s="94" t="s">
        <v>790</v>
      </c>
      <c r="D334" s="95"/>
      <c r="E334" s="22"/>
      <c r="F334" s="64"/>
      <c r="I334" s="1"/>
      <c r="L334" s="78"/>
    </row>
    <row r="335" spans="1:12" ht="15" customHeight="1">
      <c r="A335" s="56"/>
      <c r="B335" s="29" t="s">
        <v>44</v>
      </c>
      <c r="C335" s="67" t="s">
        <v>74</v>
      </c>
      <c r="D335" s="68" t="s">
        <v>758</v>
      </c>
      <c r="E335" s="62" t="s">
        <v>855</v>
      </c>
      <c r="F335" s="69">
        <v>35</v>
      </c>
      <c r="I335" s="1"/>
      <c r="L335" s="78"/>
    </row>
    <row r="336" spans="1:12" ht="15" customHeight="1">
      <c r="A336" s="56"/>
      <c r="B336" s="29" t="s">
        <v>45</v>
      </c>
      <c r="C336" s="67" t="s">
        <v>72</v>
      </c>
      <c r="D336" s="68" t="s">
        <v>784</v>
      </c>
      <c r="E336" s="62" t="s">
        <v>733</v>
      </c>
      <c r="F336" s="69">
        <v>1428</v>
      </c>
      <c r="I336" s="1"/>
      <c r="L336" s="78"/>
    </row>
    <row r="337" spans="1:12" ht="15" customHeight="1">
      <c r="A337" s="56"/>
      <c r="B337" s="29" t="s">
        <v>46</v>
      </c>
      <c r="C337" s="67" t="s">
        <v>75</v>
      </c>
      <c r="D337" s="68" t="s">
        <v>785</v>
      </c>
      <c r="E337" s="62" t="s">
        <v>854</v>
      </c>
      <c r="F337" s="69">
        <v>26.64</v>
      </c>
      <c r="I337" s="1"/>
      <c r="L337" s="78"/>
    </row>
    <row r="338" spans="1:12" ht="15" customHeight="1">
      <c r="A338" s="56"/>
      <c r="B338" s="22" t="s">
        <v>47</v>
      </c>
      <c r="C338" s="94" t="s">
        <v>830</v>
      </c>
      <c r="D338" s="95"/>
      <c r="E338" s="22"/>
      <c r="F338" s="64"/>
      <c r="I338" s="1"/>
      <c r="L338" s="78"/>
    </row>
    <row r="339" spans="1:12" ht="15" customHeight="1">
      <c r="A339" s="56"/>
      <c r="B339" s="29" t="s">
        <v>48</v>
      </c>
      <c r="C339" s="46" t="s">
        <v>74</v>
      </c>
      <c r="D339" s="61" t="s">
        <v>758</v>
      </c>
      <c r="E339" s="62" t="s">
        <v>855</v>
      </c>
      <c r="F339" s="63">
        <v>43</v>
      </c>
      <c r="I339" s="1"/>
      <c r="L339" s="78"/>
    </row>
    <row r="340" spans="1:12" ht="15" customHeight="1">
      <c r="A340" s="56"/>
      <c r="B340" s="29" t="s">
        <v>49</v>
      </c>
      <c r="C340" s="46" t="s">
        <v>72</v>
      </c>
      <c r="D340" s="61" t="s">
        <v>784</v>
      </c>
      <c r="E340" s="66" t="s">
        <v>733</v>
      </c>
      <c r="F340" s="63">
        <v>1426</v>
      </c>
      <c r="I340" s="1"/>
      <c r="L340" s="78"/>
    </row>
    <row r="341" spans="1:12" ht="15" customHeight="1">
      <c r="A341" s="56"/>
      <c r="B341" s="29" t="s">
        <v>50</v>
      </c>
      <c r="C341" s="46" t="s">
        <v>75</v>
      </c>
      <c r="D341" s="61" t="s">
        <v>785</v>
      </c>
      <c r="E341" s="62" t="s">
        <v>854</v>
      </c>
      <c r="F341" s="63">
        <v>20.18</v>
      </c>
      <c r="I341" s="1"/>
      <c r="L341" s="78"/>
    </row>
    <row r="342" spans="1:12" ht="15" customHeight="1">
      <c r="A342" s="56"/>
      <c r="B342" s="29" t="s">
        <v>146</v>
      </c>
      <c r="C342" s="46" t="s">
        <v>786</v>
      </c>
      <c r="D342" s="61" t="s">
        <v>758</v>
      </c>
      <c r="E342" s="62" t="s">
        <v>854</v>
      </c>
      <c r="F342" s="63">
        <v>23.72</v>
      </c>
      <c r="I342" s="1"/>
      <c r="L342" s="78"/>
    </row>
    <row r="343" spans="1:12" ht="15" customHeight="1">
      <c r="A343" s="56"/>
      <c r="B343" s="29" t="s">
        <v>147</v>
      </c>
      <c r="C343" s="46" t="s">
        <v>787</v>
      </c>
      <c r="D343" s="61" t="s">
        <v>758</v>
      </c>
      <c r="E343" s="62" t="s">
        <v>855</v>
      </c>
      <c r="F343" s="63">
        <v>99</v>
      </c>
      <c r="I343" s="1"/>
      <c r="L343" s="78"/>
    </row>
    <row r="344" spans="1:12" ht="15" customHeight="1">
      <c r="A344" s="56"/>
      <c r="B344" s="22" t="s">
        <v>51</v>
      </c>
      <c r="C344" s="94" t="s">
        <v>791</v>
      </c>
      <c r="D344" s="95"/>
      <c r="E344" s="22"/>
      <c r="F344" s="64"/>
      <c r="I344" s="1"/>
      <c r="L344" s="78"/>
    </row>
    <row r="345" spans="1:12" ht="15" customHeight="1">
      <c r="A345" s="56"/>
      <c r="B345" s="29" t="s">
        <v>53</v>
      </c>
      <c r="C345" s="46" t="s">
        <v>74</v>
      </c>
      <c r="D345" s="61" t="s">
        <v>758</v>
      </c>
      <c r="E345" s="62" t="s">
        <v>855</v>
      </c>
      <c r="F345" s="63">
        <v>4.5</v>
      </c>
      <c r="I345" s="1"/>
      <c r="L345" s="78"/>
    </row>
    <row r="346" spans="1:12" ht="15" customHeight="1">
      <c r="A346" s="56"/>
      <c r="B346" s="29" t="s">
        <v>55</v>
      </c>
      <c r="C346" s="46" t="s">
        <v>72</v>
      </c>
      <c r="D346" s="61" t="s">
        <v>784</v>
      </c>
      <c r="E346" s="66" t="s">
        <v>733</v>
      </c>
      <c r="F346" s="63">
        <v>137</v>
      </c>
      <c r="I346" s="1"/>
      <c r="L346" s="78"/>
    </row>
    <row r="347" spans="1:12" ht="15" customHeight="1">
      <c r="A347" s="56"/>
      <c r="B347" s="29" t="s">
        <v>56</v>
      </c>
      <c r="C347" s="46" t="s">
        <v>75</v>
      </c>
      <c r="D347" s="61" t="s">
        <v>785</v>
      </c>
      <c r="E347" s="62" t="s">
        <v>854</v>
      </c>
      <c r="F347" s="63">
        <v>1.85</v>
      </c>
      <c r="I347" s="1"/>
      <c r="L347" s="78"/>
    </row>
    <row r="348" spans="1:12" ht="15" customHeight="1">
      <c r="A348" s="56"/>
      <c r="B348" s="22" t="s">
        <v>73</v>
      </c>
      <c r="C348" s="94" t="s">
        <v>792</v>
      </c>
      <c r="D348" s="95"/>
      <c r="E348" s="22"/>
      <c r="F348" s="64"/>
      <c r="I348" s="1"/>
      <c r="L348" s="78"/>
    </row>
    <row r="349" spans="1:12" ht="15" customHeight="1">
      <c r="A349" s="56"/>
      <c r="B349" s="29" t="s">
        <v>759</v>
      </c>
      <c r="C349" s="46" t="s">
        <v>74</v>
      </c>
      <c r="D349" s="61"/>
      <c r="E349" s="62" t="s">
        <v>855</v>
      </c>
      <c r="F349" s="63">
        <v>1.23</v>
      </c>
      <c r="I349" s="1"/>
      <c r="L349" s="78"/>
    </row>
    <row r="350" spans="1:12" ht="15" customHeight="1">
      <c r="A350" s="56"/>
      <c r="B350" s="29" t="s">
        <v>760</v>
      </c>
      <c r="C350" s="46" t="s">
        <v>72</v>
      </c>
      <c r="D350" s="61" t="s">
        <v>784</v>
      </c>
      <c r="E350" s="66" t="s">
        <v>733</v>
      </c>
      <c r="F350" s="63">
        <v>137</v>
      </c>
      <c r="I350" s="1"/>
      <c r="L350" s="78"/>
    </row>
    <row r="351" spans="1:12" ht="15" customHeight="1">
      <c r="A351" s="56"/>
      <c r="B351" s="29" t="s">
        <v>761</v>
      </c>
      <c r="C351" s="46" t="s">
        <v>75</v>
      </c>
      <c r="D351" s="61" t="s">
        <v>785</v>
      </c>
      <c r="E351" s="62" t="s">
        <v>854</v>
      </c>
      <c r="F351" s="63">
        <v>1.85</v>
      </c>
      <c r="I351" s="1"/>
      <c r="L351" s="78"/>
    </row>
    <row r="352" spans="1:12" ht="15" customHeight="1">
      <c r="A352" s="56"/>
      <c r="B352" s="22" t="s">
        <v>647</v>
      </c>
      <c r="C352" s="94" t="s">
        <v>793</v>
      </c>
      <c r="D352" s="95"/>
      <c r="E352" s="22"/>
      <c r="F352" s="64"/>
      <c r="I352" s="1"/>
      <c r="L352" s="78"/>
    </row>
    <row r="353" spans="1:12" ht="15" customHeight="1">
      <c r="A353" s="56"/>
      <c r="B353" s="29" t="s">
        <v>762</v>
      </c>
      <c r="C353" s="46" t="s">
        <v>74</v>
      </c>
      <c r="D353" s="61"/>
      <c r="E353" s="62" t="s">
        <v>855</v>
      </c>
      <c r="F353" s="63">
        <v>1.23</v>
      </c>
      <c r="I353" s="1"/>
      <c r="L353" s="78"/>
    </row>
    <row r="354" spans="1:12" ht="15" customHeight="1">
      <c r="A354" s="56"/>
      <c r="B354" s="29" t="s">
        <v>763</v>
      </c>
      <c r="C354" s="46" t="s">
        <v>72</v>
      </c>
      <c r="D354" s="61" t="s">
        <v>784</v>
      </c>
      <c r="E354" s="66" t="s">
        <v>733</v>
      </c>
      <c r="F354" s="63">
        <v>137</v>
      </c>
      <c r="I354" s="1"/>
      <c r="L354" s="78"/>
    </row>
    <row r="355" spans="1:12" ht="15" customHeight="1">
      <c r="A355" s="56"/>
      <c r="B355" s="29" t="s">
        <v>764</v>
      </c>
      <c r="C355" s="46" t="s">
        <v>75</v>
      </c>
      <c r="D355" s="61" t="s">
        <v>785</v>
      </c>
      <c r="E355" s="62" t="s">
        <v>854</v>
      </c>
      <c r="F355" s="63">
        <v>1.85</v>
      </c>
      <c r="I355" s="1"/>
      <c r="L355" s="78"/>
    </row>
    <row r="356" spans="1:12" ht="15" customHeight="1">
      <c r="A356" s="56"/>
      <c r="B356" s="22" t="s">
        <v>765</v>
      </c>
      <c r="C356" s="94" t="s">
        <v>794</v>
      </c>
      <c r="D356" s="95"/>
      <c r="E356" s="22"/>
      <c r="F356" s="64"/>
      <c r="I356" s="1"/>
      <c r="L356" s="78"/>
    </row>
    <row r="357" spans="1:12" ht="15" customHeight="1">
      <c r="A357" s="56"/>
      <c r="B357" s="29" t="s">
        <v>766</v>
      </c>
      <c r="C357" s="46" t="s">
        <v>74</v>
      </c>
      <c r="D357" s="61" t="s">
        <v>758</v>
      </c>
      <c r="E357" s="62" t="s">
        <v>855</v>
      </c>
      <c r="F357" s="63">
        <v>48.87</v>
      </c>
      <c r="I357" s="1"/>
      <c r="L357" s="78"/>
    </row>
    <row r="358" spans="1:12" ht="15" customHeight="1">
      <c r="A358" s="56"/>
      <c r="B358" s="29" t="s">
        <v>767</v>
      </c>
      <c r="C358" s="46" t="s">
        <v>72</v>
      </c>
      <c r="D358" s="61" t="s">
        <v>784</v>
      </c>
      <c r="E358" s="66" t="s">
        <v>733</v>
      </c>
      <c r="F358" s="63">
        <v>779</v>
      </c>
      <c r="I358" s="1"/>
      <c r="L358" s="78"/>
    </row>
    <row r="359" spans="1:12" ht="15" customHeight="1">
      <c r="A359" s="56"/>
      <c r="B359" s="29" t="s">
        <v>768</v>
      </c>
      <c r="C359" s="46" t="s">
        <v>75</v>
      </c>
      <c r="D359" s="61" t="s">
        <v>785</v>
      </c>
      <c r="E359" s="62" t="s">
        <v>854</v>
      </c>
      <c r="F359" s="63">
        <v>10.9</v>
      </c>
      <c r="I359" s="1"/>
      <c r="L359" s="78"/>
    </row>
    <row r="360" spans="1:12" ht="15" customHeight="1">
      <c r="A360" s="56"/>
      <c r="B360" s="29" t="s">
        <v>769</v>
      </c>
      <c r="C360" s="46" t="s">
        <v>76</v>
      </c>
      <c r="D360" s="61" t="s">
        <v>788</v>
      </c>
      <c r="E360" s="66" t="s">
        <v>733</v>
      </c>
      <c r="F360" s="63">
        <v>5021.5</v>
      </c>
      <c r="I360" s="1"/>
      <c r="L360" s="78"/>
    </row>
    <row r="361" spans="1:12" ht="15" customHeight="1">
      <c r="A361" s="56"/>
      <c r="B361" s="22" t="s">
        <v>770</v>
      </c>
      <c r="C361" s="94" t="s">
        <v>795</v>
      </c>
      <c r="D361" s="95"/>
      <c r="E361" s="22"/>
      <c r="F361" s="64"/>
      <c r="I361" s="1"/>
      <c r="L361" s="78"/>
    </row>
    <row r="362" spans="1:12" ht="15" customHeight="1">
      <c r="A362" s="56"/>
      <c r="B362" s="29" t="s">
        <v>771</v>
      </c>
      <c r="C362" s="46" t="s">
        <v>74</v>
      </c>
      <c r="D362" s="29" t="s">
        <v>758</v>
      </c>
      <c r="E362" s="62" t="s">
        <v>855</v>
      </c>
      <c r="F362" s="70">
        <v>48.87</v>
      </c>
      <c r="I362" s="1"/>
      <c r="L362" s="78"/>
    </row>
    <row r="363" spans="1:12" ht="15" customHeight="1">
      <c r="A363" s="56"/>
      <c r="B363" s="29" t="s">
        <v>772</v>
      </c>
      <c r="C363" s="46" t="s">
        <v>72</v>
      </c>
      <c r="D363" s="29" t="s">
        <v>784</v>
      </c>
      <c r="E363" s="48" t="s">
        <v>733</v>
      </c>
      <c r="F363" s="70">
        <v>779</v>
      </c>
      <c r="I363" s="1"/>
      <c r="L363" s="78"/>
    </row>
    <row r="364" spans="1:12" ht="15" customHeight="1">
      <c r="A364" s="56"/>
      <c r="B364" s="29" t="s">
        <v>773</v>
      </c>
      <c r="C364" s="46" t="s">
        <v>75</v>
      </c>
      <c r="D364" s="29" t="s">
        <v>785</v>
      </c>
      <c r="E364" s="62" t="s">
        <v>854</v>
      </c>
      <c r="F364" s="70">
        <v>10.9</v>
      </c>
      <c r="I364" s="1"/>
      <c r="L364" s="78"/>
    </row>
    <row r="365" spans="1:12" ht="15" customHeight="1">
      <c r="A365" s="56"/>
      <c r="B365" s="29" t="s">
        <v>774</v>
      </c>
      <c r="C365" s="46" t="s">
        <v>76</v>
      </c>
      <c r="D365" s="29" t="s">
        <v>788</v>
      </c>
      <c r="E365" s="48" t="s">
        <v>733</v>
      </c>
      <c r="F365" s="70">
        <v>5021.5</v>
      </c>
      <c r="I365" s="1"/>
      <c r="L365" s="78"/>
    </row>
    <row r="366" spans="1:12" ht="15" customHeight="1">
      <c r="A366" s="56"/>
      <c r="B366" s="22" t="s">
        <v>775</v>
      </c>
      <c r="C366" s="94" t="s">
        <v>796</v>
      </c>
      <c r="D366" s="95"/>
      <c r="E366" s="22"/>
      <c r="F366" s="64"/>
      <c r="I366" s="1"/>
      <c r="L366" s="78"/>
    </row>
    <row r="367" spans="1:12" ht="15" customHeight="1">
      <c r="A367" s="56"/>
      <c r="B367" s="29" t="s">
        <v>776</v>
      </c>
      <c r="C367" s="46" t="s">
        <v>74</v>
      </c>
      <c r="D367" s="29" t="s">
        <v>758</v>
      </c>
      <c r="E367" s="62" t="s">
        <v>855</v>
      </c>
      <c r="F367" s="70">
        <v>63.36</v>
      </c>
      <c r="I367" s="1"/>
      <c r="L367" s="78"/>
    </row>
    <row r="368" spans="1:12" ht="15" customHeight="1">
      <c r="A368" s="56"/>
      <c r="B368" s="29" t="s">
        <v>777</v>
      </c>
      <c r="C368" s="46" t="s">
        <v>72</v>
      </c>
      <c r="D368" s="29" t="s">
        <v>784</v>
      </c>
      <c r="E368" s="48" t="s">
        <v>733</v>
      </c>
      <c r="F368" s="70">
        <v>1042</v>
      </c>
      <c r="I368" s="1"/>
      <c r="L368" s="78"/>
    </row>
    <row r="369" spans="1:12" ht="15" customHeight="1">
      <c r="A369" s="56"/>
      <c r="B369" s="29" t="s">
        <v>778</v>
      </c>
      <c r="C369" s="46" t="s">
        <v>75</v>
      </c>
      <c r="D369" s="29" t="s">
        <v>785</v>
      </c>
      <c r="E369" s="62" t="s">
        <v>854</v>
      </c>
      <c r="F369" s="70">
        <v>15.23</v>
      </c>
      <c r="I369" s="1"/>
      <c r="L369" s="78"/>
    </row>
    <row r="370" spans="1:12" ht="15" customHeight="1">
      <c r="A370" s="56"/>
      <c r="B370" s="22" t="s">
        <v>779</v>
      </c>
      <c r="C370" s="94" t="s">
        <v>797</v>
      </c>
      <c r="D370" s="95"/>
      <c r="E370" s="22"/>
      <c r="F370" s="64"/>
      <c r="I370" s="1"/>
      <c r="L370" s="78"/>
    </row>
    <row r="371" spans="1:12" ht="15" customHeight="1">
      <c r="A371" s="56"/>
      <c r="B371" s="29" t="s">
        <v>780</v>
      </c>
      <c r="C371" s="46" t="s">
        <v>74</v>
      </c>
      <c r="D371" s="29" t="s">
        <v>758</v>
      </c>
      <c r="E371" s="62" t="s">
        <v>855</v>
      </c>
      <c r="F371" s="70">
        <v>34.72</v>
      </c>
      <c r="I371" s="1"/>
      <c r="L371" s="78"/>
    </row>
    <row r="372" spans="1:12" ht="15" customHeight="1">
      <c r="A372" s="56"/>
      <c r="B372" s="29" t="s">
        <v>781</v>
      </c>
      <c r="C372" s="46" t="s">
        <v>72</v>
      </c>
      <c r="D372" s="29" t="s">
        <v>784</v>
      </c>
      <c r="E372" s="48" t="s">
        <v>733</v>
      </c>
      <c r="F372" s="70">
        <v>686</v>
      </c>
      <c r="I372" s="1"/>
      <c r="L372" s="78"/>
    </row>
    <row r="373" spans="1:12" ht="15" customHeight="1">
      <c r="A373" s="56"/>
      <c r="B373" s="29" t="s">
        <v>782</v>
      </c>
      <c r="C373" s="46" t="s">
        <v>75</v>
      </c>
      <c r="D373" s="29" t="s">
        <v>785</v>
      </c>
      <c r="E373" s="62" t="s">
        <v>854</v>
      </c>
      <c r="F373" s="70">
        <v>7.29</v>
      </c>
      <c r="I373" s="1"/>
      <c r="L373" s="78"/>
    </row>
    <row r="374" spans="1:12" ht="15" customHeight="1">
      <c r="A374" s="56"/>
      <c r="B374" s="29" t="s">
        <v>783</v>
      </c>
      <c r="C374" s="46" t="s">
        <v>76</v>
      </c>
      <c r="D374" s="29" t="s">
        <v>788</v>
      </c>
      <c r="E374" s="48" t="s">
        <v>733</v>
      </c>
      <c r="F374" s="70">
        <v>5162</v>
      </c>
      <c r="I374" s="1"/>
      <c r="L374" s="78"/>
    </row>
    <row r="375" spans="1:12" ht="15" customHeight="1">
      <c r="A375" s="56"/>
      <c r="B375" s="13" t="s">
        <v>6</v>
      </c>
      <c r="C375" s="20" t="s">
        <v>8</v>
      </c>
      <c r="D375" s="21"/>
      <c r="E375" s="21"/>
      <c r="F375" s="21"/>
      <c r="I375" s="1"/>
      <c r="L375" s="78"/>
    </row>
    <row r="376" spans="1:12" ht="15" customHeight="1">
      <c r="A376" s="56"/>
      <c r="B376" s="24" t="s">
        <v>41</v>
      </c>
      <c r="C376" s="84" t="s">
        <v>78</v>
      </c>
      <c r="D376" s="84"/>
      <c r="E376" s="23"/>
      <c r="F376" s="23"/>
      <c r="I376" s="1"/>
      <c r="L376" s="78"/>
    </row>
    <row r="377" spans="1:12" ht="45" customHeight="1">
      <c r="A377" s="56"/>
      <c r="B377" s="29" t="s">
        <v>48</v>
      </c>
      <c r="C377" s="93" t="s">
        <v>172</v>
      </c>
      <c r="D377" s="93"/>
      <c r="E377" s="11" t="s">
        <v>79</v>
      </c>
      <c r="F377" s="71">
        <v>20.5</v>
      </c>
      <c r="I377" s="1"/>
      <c r="L377" s="78"/>
    </row>
    <row r="378" spans="1:12" ht="45" customHeight="1">
      <c r="A378" s="56"/>
      <c r="B378" s="29" t="s">
        <v>49</v>
      </c>
      <c r="C378" s="93" t="s">
        <v>173</v>
      </c>
      <c r="D378" s="93"/>
      <c r="E378" s="11" t="s">
        <v>79</v>
      </c>
      <c r="F378" s="71">
        <v>12.1</v>
      </c>
      <c r="I378" s="1"/>
      <c r="L378" s="78"/>
    </row>
    <row r="379" spans="1:12" ht="45" customHeight="1">
      <c r="A379" s="56"/>
      <c r="B379" s="29" t="s">
        <v>50</v>
      </c>
      <c r="C379" s="93" t="s">
        <v>174</v>
      </c>
      <c r="D379" s="93"/>
      <c r="E379" s="11" t="s">
        <v>79</v>
      </c>
      <c r="F379" s="71">
        <v>62.7</v>
      </c>
      <c r="I379" s="1"/>
      <c r="L379" s="78"/>
    </row>
    <row r="380" spans="1:12" ht="15" customHeight="1">
      <c r="A380" s="56"/>
      <c r="B380" s="29" t="s">
        <v>146</v>
      </c>
      <c r="C380" s="93" t="s">
        <v>175</v>
      </c>
      <c r="D380" s="93"/>
      <c r="E380" s="11" t="s">
        <v>17</v>
      </c>
      <c r="F380" s="72">
        <v>1</v>
      </c>
      <c r="I380" s="1"/>
      <c r="L380" s="78"/>
    </row>
    <row r="381" spans="1:12" ht="15" customHeight="1">
      <c r="A381" s="56"/>
      <c r="B381" s="29" t="s">
        <v>147</v>
      </c>
      <c r="C381" s="93" t="s">
        <v>176</v>
      </c>
      <c r="D381" s="93"/>
      <c r="E381" s="11" t="s">
        <v>17</v>
      </c>
      <c r="F381" s="72">
        <v>2</v>
      </c>
      <c r="I381" s="1"/>
      <c r="L381" s="78"/>
    </row>
    <row r="382" spans="1:12" ht="30" customHeight="1">
      <c r="A382" s="56"/>
      <c r="B382" s="29" t="s">
        <v>148</v>
      </c>
      <c r="C382" s="93" t="s">
        <v>177</v>
      </c>
      <c r="D382" s="93"/>
      <c r="E382" s="11" t="s">
        <v>17</v>
      </c>
      <c r="F382" s="72">
        <v>2</v>
      </c>
      <c r="I382" s="1"/>
      <c r="L382" s="78"/>
    </row>
    <row r="383" spans="1:12" ht="30" customHeight="1">
      <c r="A383" s="56"/>
      <c r="B383" s="29" t="s">
        <v>149</v>
      </c>
      <c r="C383" s="93" t="s">
        <v>178</v>
      </c>
      <c r="D383" s="93"/>
      <c r="E383" s="11" t="s">
        <v>17</v>
      </c>
      <c r="F383" s="72">
        <v>2</v>
      </c>
      <c r="I383" s="1"/>
      <c r="L383" s="78"/>
    </row>
    <row r="384" spans="1:12" ht="15" customHeight="1">
      <c r="A384" s="56"/>
      <c r="B384" s="29" t="s">
        <v>150</v>
      </c>
      <c r="C384" s="93" t="s">
        <v>179</v>
      </c>
      <c r="D384" s="93"/>
      <c r="E384" s="11" t="s">
        <v>17</v>
      </c>
      <c r="F384" s="72">
        <v>1</v>
      </c>
      <c r="I384" s="1"/>
      <c r="L384" s="78"/>
    </row>
    <row r="385" spans="1:12" ht="30" customHeight="1">
      <c r="A385" s="56"/>
      <c r="B385" s="29" t="s">
        <v>151</v>
      </c>
      <c r="C385" s="93" t="s">
        <v>180</v>
      </c>
      <c r="D385" s="93"/>
      <c r="E385" s="11" t="s">
        <v>17</v>
      </c>
      <c r="F385" s="72">
        <v>2</v>
      </c>
      <c r="I385" s="1"/>
      <c r="L385" s="78"/>
    </row>
    <row r="386" spans="1:12" ht="30" customHeight="1">
      <c r="A386" s="56"/>
      <c r="B386" s="29" t="s">
        <v>152</v>
      </c>
      <c r="C386" s="93" t="s">
        <v>181</v>
      </c>
      <c r="D386" s="93"/>
      <c r="E386" s="11" t="s">
        <v>17</v>
      </c>
      <c r="F386" s="72">
        <v>1</v>
      </c>
      <c r="I386" s="1"/>
      <c r="L386" s="78"/>
    </row>
    <row r="387" spans="1:12" ht="15" customHeight="1">
      <c r="A387" s="56"/>
      <c r="B387" s="29" t="s">
        <v>153</v>
      </c>
      <c r="C387" s="93" t="s">
        <v>182</v>
      </c>
      <c r="D387" s="93"/>
      <c r="E387" s="11" t="s">
        <v>17</v>
      </c>
      <c r="F387" s="72">
        <v>1</v>
      </c>
      <c r="I387" s="1"/>
      <c r="L387" s="78"/>
    </row>
    <row r="388" spans="1:12" ht="30" customHeight="1">
      <c r="A388" s="56"/>
      <c r="B388" s="29" t="s">
        <v>154</v>
      </c>
      <c r="C388" s="93" t="s">
        <v>183</v>
      </c>
      <c r="D388" s="93"/>
      <c r="E388" s="11" t="s">
        <v>17</v>
      </c>
      <c r="F388" s="72">
        <v>1</v>
      </c>
      <c r="I388" s="1"/>
      <c r="L388" s="78"/>
    </row>
    <row r="389" spans="1:12" ht="30" customHeight="1">
      <c r="A389" s="56"/>
      <c r="B389" s="29" t="s">
        <v>155</v>
      </c>
      <c r="C389" s="93" t="s">
        <v>184</v>
      </c>
      <c r="D389" s="93"/>
      <c r="E389" s="11" t="s">
        <v>17</v>
      </c>
      <c r="F389" s="72">
        <v>1</v>
      </c>
      <c r="I389" s="1"/>
      <c r="L389" s="78"/>
    </row>
    <row r="390" spans="1:12" ht="30" customHeight="1">
      <c r="A390" s="56"/>
      <c r="B390" s="29" t="s">
        <v>156</v>
      </c>
      <c r="C390" s="93" t="s">
        <v>185</v>
      </c>
      <c r="D390" s="93"/>
      <c r="E390" s="11" t="s">
        <v>17</v>
      </c>
      <c r="F390" s="72">
        <v>1</v>
      </c>
      <c r="I390" s="1"/>
      <c r="L390" s="78"/>
    </row>
    <row r="391" spans="1:12" ht="15" customHeight="1">
      <c r="A391" s="56"/>
      <c r="B391" s="29" t="s">
        <v>157</v>
      </c>
      <c r="C391" s="93" t="s">
        <v>186</v>
      </c>
      <c r="D391" s="93"/>
      <c r="E391" s="11" t="s">
        <v>17</v>
      </c>
      <c r="F391" s="72">
        <v>1</v>
      </c>
      <c r="I391" s="1"/>
      <c r="L391" s="78"/>
    </row>
    <row r="392" spans="1:12" ht="30" customHeight="1">
      <c r="A392" s="56"/>
      <c r="B392" s="29" t="s">
        <v>158</v>
      </c>
      <c r="C392" s="93" t="s">
        <v>187</v>
      </c>
      <c r="D392" s="93"/>
      <c r="E392" s="11" t="s">
        <v>17</v>
      </c>
      <c r="F392" s="72">
        <v>1</v>
      </c>
      <c r="I392" s="1"/>
      <c r="L392" s="78"/>
    </row>
    <row r="393" spans="1:12" ht="15" customHeight="1">
      <c r="A393" s="56"/>
      <c r="B393" s="29" t="s">
        <v>159</v>
      </c>
      <c r="C393" s="93" t="s">
        <v>188</v>
      </c>
      <c r="D393" s="93"/>
      <c r="E393" s="11" t="s">
        <v>17</v>
      </c>
      <c r="F393" s="72">
        <v>1</v>
      </c>
      <c r="I393" s="1"/>
      <c r="L393" s="78"/>
    </row>
    <row r="394" spans="1:12" ht="30" customHeight="1">
      <c r="A394" s="56"/>
      <c r="B394" s="29" t="s">
        <v>160</v>
      </c>
      <c r="C394" s="93" t="s">
        <v>189</v>
      </c>
      <c r="D394" s="93"/>
      <c r="E394" s="11" t="s">
        <v>17</v>
      </c>
      <c r="F394" s="72">
        <v>1</v>
      </c>
      <c r="I394" s="1"/>
      <c r="L394" s="78"/>
    </row>
    <row r="395" spans="1:12" ht="15" customHeight="1">
      <c r="A395" s="56"/>
      <c r="B395" s="29" t="s">
        <v>161</v>
      </c>
      <c r="C395" s="93" t="s">
        <v>190</v>
      </c>
      <c r="D395" s="93"/>
      <c r="E395" s="11" t="s">
        <v>170</v>
      </c>
      <c r="F395" s="6">
        <v>19.877550000000003</v>
      </c>
      <c r="I395" s="1"/>
      <c r="L395" s="78"/>
    </row>
    <row r="396" spans="1:12" ht="15" customHeight="1">
      <c r="A396" s="56"/>
      <c r="B396" s="29" t="s">
        <v>162</v>
      </c>
      <c r="C396" s="93" t="s">
        <v>191</v>
      </c>
      <c r="D396" s="93"/>
      <c r="E396" s="11" t="s">
        <v>170</v>
      </c>
      <c r="F396" s="6">
        <v>33.129250000000006</v>
      </c>
      <c r="I396" s="1"/>
      <c r="L396" s="78"/>
    </row>
    <row r="397" spans="1:12" ht="15" customHeight="1">
      <c r="A397" s="56"/>
      <c r="B397" s="29" t="s">
        <v>163</v>
      </c>
      <c r="C397" s="96" t="s">
        <v>192</v>
      </c>
      <c r="D397" s="96"/>
      <c r="E397" s="11" t="s">
        <v>170</v>
      </c>
      <c r="F397" s="6">
        <v>79.510200000000012</v>
      </c>
      <c r="I397" s="1"/>
      <c r="L397" s="78"/>
    </row>
    <row r="398" spans="1:12" ht="15" customHeight="1">
      <c r="A398" s="56"/>
      <c r="B398" s="29" t="s">
        <v>164</v>
      </c>
      <c r="C398" s="93" t="s">
        <v>193</v>
      </c>
      <c r="D398" s="93"/>
      <c r="E398" s="11" t="s">
        <v>170</v>
      </c>
      <c r="F398" s="6">
        <v>132.51700000000002</v>
      </c>
      <c r="I398" s="1"/>
      <c r="L398" s="78"/>
    </row>
    <row r="399" spans="1:12" ht="15" customHeight="1">
      <c r="A399" s="56"/>
      <c r="B399" s="29" t="s">
        <v>165</v>
      </c>
      <c r="C399" s="93" t="s">
        <v>194</v>
      </c>
      <c r="D399" s="93"/>
      <c r="E399" s="11" t="s">
        <v>170</v>
      </c>
      <c r="F399" s="6">
        <v>132.51700000000002</v>
      </c>
      <c r="I399" s="1"/>
      <c r="L399" s="78"/>
    </row>
    <row r="400" spans="1:12" ht="15" customHeight="1">
      <c r="A400" s="56"/>
      <c r="B400" s="29" t="s">
        <v>166</v>
      </c>
      <c r="C400" s="93" t="s">
        <v>195</v>
      </c>
      <c r="D400" s="93"/>
      <c r="E400" s="11" t="s">
        <v>79</v>
      </c>
      <c r="F400" s="6">
        <v>94.655000000000015</v>
      </c>
      <c r="I400" s="1"/>
      <c r="L400" s="78"/>
    </row>
    <row r="401" spans="1:12" ht="15" customHeight="1">
      <c r="A401" s="56"/>
      <c r="B401" s="29" t="s">
        <v>167</v>
      </c>
      <c r="C401" s="93" t="s">
        <v>196</v>
      </c>
      <c r="D401" s="93"/>
      <c r="E401" s="11" t="s">
        <v>79</v>
      </c>
      <c r="F401" s="6">
        <v>94.655000000000015</v>
      </c>
      <c r="I401" s="1"/>
      <c r="L401" s="78"/>
    </row>
    <row r="402" spans="1:12" ht="15" customHeight="1">
      <c r="A402" s="56"/>
      <c r="B402" s="29" t="s">
        <v>168</v>
      </c>
      <c r="C402" s="93" t="s">
        <v>144</v>
      </c>
      <c r="D402" s="93"/>
      <c r="E402" s="73" t="s">
        <v>79</v>
      </c>
      <c r="F402" s="6">
        <v>94.655000000000015</v>
      </c>
      <c r="I402" s="1"/>
      <c r="L402" s="78"/>
    </row>
    <row r="403" spans="1:12" ht="30" customHeight="1">
      <c r="A403" s="56"/>
      <c r="B403" s="29" t="s">
        <v>169</v>
      </c>
      <c r="C403" s="93" t="s">
        <v>145</v>
      </c>
      <c r="D403" s="93"/>
      <c r="E403" s="73" t="s">
        <v>79</v>
      </c>
      <c r="F403" s="6">
        <v>94.655000000000015</v>
      </c>
      <c r="I403" s="1"/>
      <c r="L403" s="78"/>
    </row>
    <row r="404" spans="1:12" ht="15" customHeight="1">
      <c r="A404" s="56"/>
      <c r="B404" s="24" t="s">
        <v>42</v>
      </c>
      <c r="C404" s="84" t="s">
        <v>77</v>
      </c>
      <c r="D404" s="84"/>
      <c r="E404" s="23"/>
      <c r="F404" s="23"/>
      <c r="I404" s="1"/>
      <c r="L404" s="78"/>
    </row>
    <row r="405" spans="1:12" ht="45" customHeight="1">
      <c r="A405" s="56"/>
      <c r="B405" s="29" t="s">
        <v>53</v>
      </c>
      <c r="C405" s="93" t="s">
        <v>202</v>
      </c>
      <c r="D405" s="93"/>
      <c r="E405" s="73" t="s">
        <v>79</v>
      </c>
      <c r="F405" s="71">
        <v>5.3</v>
      </c>
      <c r="I405" s="1"/>
      <c r="L405" s="78"/>
    </row>
    <row r="406" spans="1:12" ht="45" customHeight="1">
      <c r="A406" s="56"/>
      <c r="B406" s="29" t="s">
        <v>55</v>
      </c>
      <c r="C406" s="93" t="s">
        <v>203</v>
      </c>
      <c r="D406" s="93"/>
      <c r="E406" s="73" t="s">
        <v>79</v>
      </c>
      <c r="F406" s="71">
        <v>79.599999999999994</v>
      </c>
      <c r="I406" s="1"/>
      <c r="L406" s="78"/>
    </row>
    <row r="407" spans="1:12" ht="30" customHeight="1">
      <c r="A407" s="56"/>
      <c r="B407" s="29" t="s">
        <v>56</v>
      </c>
      <c r="C407" s="93" t="s">
        <v>204</v>
      </c>
      <c r="D407" s="93"/>
      <c r="E407" s="11" t="s">
        <v>17</v>
      </c>
      <c r="F407" s="72">
        <v>1</v>
      </c>
      <c r="I407" s="1"/>
      <c r="L407" s="78"/>
    </row>
    <row r="408" spans="1:12" ht="60" customHeight="1">
      <c r="A408" s="56"/>
      <c r="B408" s="29" t="s">
        <v>58</v>
      </c>
      <c r="C408" s="97" t="s">
        <v>205</v>
      </c>
      <c r="D408" s="97"/>
      <c r="E408" s="11" t="s">
        <v>17</v>
      </c>
      <c r="F408" s="72">
        <v>4</v>
      </c>
      <c r="I408" s="1"/>
      <c r="L408" s="78"/>
    </row>
    <row r="409" spans="1:12" ht="60" customHeight="1">
      <c r="A409" s="56"/>
      <c r="B409" s="29" t="s">
        <v>60</v>
      </c>
      <c r="C409" s="97" t="s">
        <v>206</v>
      </c>
      <c r="D409" s="97"/>
      <c r="E409" s="11" t="s">
        <v>17</v>
      </c>
      <c r="F409" s="72">
        <v>1</v>
      </c>
      <c r="I409" s="1"/>
      <c r="L409" s="78"/>
    </row>
    <row r="410" spans="1:12" ht="30" customHeight="1">
      <c r="A410" s="56"/>
      <c r="B410" s="29" t="s">
        <v>197</v>
      </c>
      <c r="C410" s="97" t="s">
        <v>207</v>
      </c>
      <c r="D410" s="97"/>
      <c r="E410" s="73" t="s">
        <v>79</v>
      </c>
      <c r="F410" s="6">
        <v>104.61000000000001</v>
      </c>
      <c r="I410" s="1"/>
      <c r="L410" s="78"/>
    </row>
    <row r="411" spans="1:12" ht="15" customHeight="1">
      <c r="A411" s="56"/>
      <c r="B411" s="29" t="s">
        <v>198</v>
      </c>
      <c r="C411" s="93" t="s">
        <v>190</v>
      </c>
      <c r="D411" s="93"/>
      <c r="E411" s="11" t="s">
        <v>170</v>
      </c>
      <c r="F411" s="6">
        <v>15.691500000000001</v>
      </c>
      <c r="I411" s="1"/>
      <c r="L411" s="78"/>
    </row>
    <row r="412" spans="1:12" ht="15" customHeight="1">
      <c r="A412" s="56"/>
      <c r="B412" s="29" t="s">
        <v>200</v>
      </c>
      <c r="C412" s="93" t="s">
        <v>191</v>
      </c>
      <c r="D412" s="93"/>
      <c r="E412" s="11" t="s">
        <v>170</v>
      </c>
      <c r="F412" s="6">
        <v>26.152500000000003</v>
      </c>
      <c r="I412" s="1"/>
      <c r="L412" s="78"/>
    </row>
    <row r="413" spans="1:12" ht="15" customHeight="1">
      <c r="A413" s="56"/>
      <c r="B413" s="29" t="s">
        <v>199</v>
      </c>
      <c r="C413" s="93" t="s">
        <v>192</v>
      </c>
      <c r="D413" s="93"/>
      <c r="E413" s="11" t="s">
        <v>170</v>
      </c>
      <c r="F413" s="6">
        <v>576.35599999999999</v>
      </c>
      <c r="I413" s="1"/>
      <c r="L413" s="78"/>
    </row>
    <row r="414" spans="1:12" ht="15" customHeight="1">
      <c r="A414" s="56"/>
      <c r="B414" s="29" t="s">
        <v>200</v>
      </c>
      <c r="C414" s="93" t="s">
        <v>208</v>
      </c>
      <c r="D414" s="93"/>
      <c r="E414" s="11" t="s">
        <v>170</v>
      </c>
      <c r="F414" s="6">
        <v>618.20000000000005</v>
      </c>
      <c r="I414" s="1"/>
      <c r="L414" s="78"/>
    </row>
    <row r="415" spans="1:12" ht="15" customHeight="1">
      <c r="A415" s="56"/>
      <c r="B415" s="29" t="s">
        <v>201</v>
      </c>
      <c r="C415" s="93" t="s">
        <v>194</v>
      </c>
      <c r="D415" s="93"/>
      <c r="E415" s="11" t="s">
        <v>170</v>
      </c>
      <c r="F415" s="6">
        <v>618.20000000000005</v>
      </c>
      <c r="I415" s="1"/>
      <c r="L415" s="78"/>
    </row>
    <row r="416" spans="1:12">
      <c r="A416" s="56"/>
      <c r="B416" s="13" t="s">
        <v>7</v>
      </c>
      <c r="C416" s="20" t="s">
        <v>40</v>
      </c>
      <c r="D416" s="74"/>
      <c r="E416" s="74"/>
      <c r="F416" s="74"/>
      <c r="I416" s="1"/>
      <c r="L416" s="78"/>
    </row>
    <row r="417" spans="1:12" ht="15" customHeight="1">
      <c r="A417" s="56"/>
      <c r="B417" s="22" t="s">
        <v>41</v>
      </c>
      <c r="C417" s="86" t="s">
        <v>82</v>
      </c>
      <c r="D417" s="86"/>
      <c r="E417" s="41"/>
      <c r="F417" s="41"/>
      <c r="I417" s="1"/>
      <c r="L417" s="78"/>
    </row>
    <row r="418" spans="1:12" ht="15" customHeight="1">
      <c r="A418" s="56"/>
      <c r="B418" s="29" t="s">
        <v>9</v>
      </c>
      <c r="C418" s="98" t="s">
        <v>83</v>
      </c>
      <c r="D418" s="98"/>
      <c r="E418" s="4" t="s">
        <v>79</v>
      </c>
      <c r="F418" s="4">
        <v>350</v>
      </c>
      <c r="I418" s="1"/>
      <c r="L418" s="78"/>
    </row>
    <row r="419" spans="1:12" ht="30" customHeight="1">
      <c r="A419" s="56"/>
      <c r="B419" s="29" t="s">
        <v>10</v>
      </c>
      <c r="C419" s="98" t="s">
        <v>84</v>
      </c>
      <c r="D419" s="98"/>
      <c r="E419" s="4" t="s">
        <v>79</v>
      </c>
      <c r="F419" s="4">
        <v>350</v>
      </c>
      <c r="I419" s="1"/>
      <c r="L419" s="78"/>
    </row>
    <row r="420" spans="1:12" ht="30" customHeight="1">
      <c r="A420" s="56"/>
      <c r="B420" s="29" t="s">
        <v>11</v>
      </c>
      <c r="C420" s="98" t="s">
        <v>85</v>
      </c>
      <c r="D420" s="98"/>
      <c r="E420" s="4" t="s">
        <v>17</v>
      </c>
      <c r="F420" s="4">
        <v>25</v>
      </c>
      <c r="I420" s="1"/>
      <c r="L420" s="78"/>
    </row>
    <row r="421" spans="1:12" ht="15" customHeight="1">
      <c r="A421" s="56"/>
      <c r="B421" s="29" t="s">
        <v>18</v>
      </c>
      <c r="C421" s="98" t="s">
        <v>86</v>
      </c>
      <c r="D421" s="98"/>
      <c r="E421" s="4" t="s">
        <v>79</v>
      </c>
      <c r="F421" s="4">
        <v>850</v>
      </c>
      <c r="I421" s="1"/>
      <c r="L421" s="78"/>
    </row>
    <row r="422" spans="1:12" ht="15" customHeight="1">
      <c r="A422" s="56"/>
      <c r="B422" s="29" t="s">
        <v>19</v>
      </c>
      <c r="C422" s="98" t="s">
        <v>86</v>
      </c>
      <c r="D422" s="98"/>
      <c r="E422" s="4" t="s">
        <v>79</v>
      </c>
      <c r="F422" s="4">
        <v>200</v>
      </c>
      <c r="I422" s="1"/>
      <c r="L422" s="78"/>
    </row>
    <row r="423" spans="1:12" ht="15" customHeight="1">
      <c r="A423" s="56"/>
      <c r="B423" s="29" t="s">
        <v>20</v>
      </c>
      <c r="C423" s="98" t="s">
        <v>87</v>
      </c>
      <c r="D423" s="98"/>
      <c r="E423" s="4" t="s">
        <v>79</v>
      </c>
      <c r="F423" s="4">
        <v>400</v>
      </c>
      <c r="I423" s="1"/>
      <c r="L423" s="78"/>
    </row>
    <row r="424" spans="1:12" ht="45" customHeight="1">
      <c r="A424" s="56"/>
      <c r="B424" s="29" t="s">
        <v>21</v>
      </c>
      <c r="C424" s="98" t="s">
        <v>88</v>
      </c>
      <c r="D424" s="98"/>
      <c r="E424" s="4" t="s">
        <v>17</v>
      </c>
      <c r="F424" s="4">
        <v>19</v>
      </c>
      <c r="I424" s="1"/>
      <c r="L424" s="78"/>
    </row>
    <row r="425" spans="1:12" ht="45" customHeight="1">
      <c r="A425" s="56"/>
      <c r="B425" s="29" t="s">
        <v>22</v>
      </c>
      <c r="C425" s="98" t="s">
        <v>745</v>
      </c>
      <c r="D425" s="98"/>
      <c r="E425" s="4" t="s">
        <v>17</v>
      </c>
      <c r="F425" s="75">
        <v>19</v>
      </c>
      <c r="I425" s="1"/>
      <c r="L425" s="78"/>
    </row>
    <row r="426" spans="1:12" ht="45" customHeight="1">
      <c r="A426" s="56"/>
      <c r="B426" s="29" t="s">
        <v>23</v>
      </c>
      <c r="C426" s="98" t="s">
        <v>89</v>
      </c>
      <c r="D426" s="98"/>
      <c r="E426" s="4" t="s">
        <v>17</v>
      </c>
      <c r="F426" s="4">
        <v>19</v>
      </c>
      <c r="I426" s="1"/>
      <c r="L426" s="78"/>
    </row>
    <row r="427" spans="1:12">
      <c r="A427" s="56"/>
      <c r="B427" s="29" t="s">
        <v>24</v>
      </c>
      <c r="C427" s="98" t="s">
        <v>90</v>
      </c>
      <c r="D427" s="98"/>
      <c r="E427" s="4" t="s">
        <v>79</v>
      </c>
      <c r="F427" s="4">
        <v>100</v>
      </c>
      <c r="I427" s="1"/>
      <c r="L427" s="78"/>
    </row>
    <row r="428" spans="1:12" ht="15" customHeight="1">
      <c r="A428" s="56"/>
      <c r="B428" s="29" t="s">
        <v>25</v>
      </c>
      <c r="C428" s="98" t="s">
        <v>91</v>
      </c>
      <c r="D428" s="98"/>
      <c r="E428" s="4" t="s">
        <v>79</v>
      </c>
      <c r="F428" s="4">
        <v>350</v>
      </c>
      <c r="I428" s="1"/>
      <c r="L428" s="78"/>
    </row>
    <row r="429" spans="1:12" ht="30" customHeight="1">
      <c r="A429" s="56"/>
      <c r="B429" s="29" t="s">
        <v>26</v>
      </c>
      <c r="C429" s="98" t="s">
        <v>92</v>
      </c>
      <c r="D429" s="98"/>
      <c r="E429" s="4" t="s">
        <v>17</v>
      </c>
      <c r="F429" s="4">
        <v>1</v>
      </c>
      <c r="I429" s="1"/>
      <c r="L429" s="78"/>
    </row>
    <row r="430" spans="1:12" ht="30" customHeight="1">
      <c r="A430" s="56"/>
      <c r="B430" s="29" t="s">
        <v>37</v>
      </c>
      <c r="C430" s="98" t="s">
        <v>93</v>
      </c>
      <c r="D430" s="98"/>
      <c r="E430" s="4" t="s">
        <v>17</v>
      </c>
      <c r="F430" s="4">
        <v>1</v>
      </c>
      <c r="I430" s="1"/>
      <c r="L430" s="78"/>
    </row>
    <row r="431" spans="1:12" ht="15" customHeight="1">
      <c r="A431" s="56"/>
      <c r="B431" s="29" t="s">
        <v>100</v>
      </c>
      <c r="C431" s="98" t="s">
        <v>94</v>
      </c>
      <c r="D431" s="98"/>
      <c r="E431" s="4" t="s">
        <v>79</v>
      </c>
      <c r="F431" s="4">
        <v>40</v>
      </c>
      <c r="I431" s="1"/>
      <c r="L431" s="78"/>
    </row>
    <row r="432" spans="1:12" ht="45" customHeight="1">
      <c r="A432" s="56"/>
      <c r="B432" s="29" t="s">
        <v>101</v>
      </c>
      <c r="C432" s="98" t="s">
        <v>95</v>
      </c>
      <c r="D432" s="98"/>
      <c r="E432" s="4" t="s">
        <v>17</v>
      </c>
      <c r="F432" s="4">
        <v>15</v>
      </c>
      <c r="I432" s="1"/>
      <c r="L432" s="78"/>
    </row>
    <row r="433" spans="1:66" ht="30" customHeight="1">
      <c r="A433" s="56"/>
      <c r="B433" s="29" t="s">
        <v>102</v>
      </c>
      <c r="C433" s="98" t="s">
        <v>96</v>
      </c>
      <c r="D433" s="98"/>
      <c r="E433" s="4" t="s">
        <v>17</v>
      </c>
      <c r="F433" s="4">
        <v>12</v>
      </c>
      <c r="I433" s="1"/>
      <c r="L433" s="78"/>
    </row>
    <row r="434" spans="1:66" ht="30" customHeight="1">
      <c r="A434" s="56"/>
      <c r="B434" s="29" t="s">
        <v>103</v>
      </c>
      <c r="C434" s="98" t="s">
        <v>97</v>
      </c>
      <c r="D434" s="98"/>
      <c r="E434" s="4" t="s">
        <v>17</v>
      </c>
      <c r="F434" s="4">
        <v>3</v>
      </c>
      <c r="I434" s="1"/>
      <c r="L434" s="78"/>
    </row>
    <row r="435" spans="1:66" ht="45" customHeight="1">
      <c r="A435" s="56"/>
      <c r="B435" s="29" t="s">
        <v>104</v>
      </c>
      <c r="C435" s="98" t="s">
        <v>98</v>
      </c>
      <c r="D435" s="98"/>
      <c r="E435" s="4" t="s">
        <v>17</v>
      </c>
      <c r="F435" s="4">
        <v>12</v>
      </c>
      <c r="I435" s="1"/>
      <c r="L435" s="78"/>
    </row>
    <row r="436" spans="1:66" ht="45" customHeight="1">
      <c r="A436" s="56"/>
      <c r="B436" s="29" t="s">
        <v>105</v>
      </c>
      <c r="C436" s="98" t="s">
        <v>99</v>
      </c>
      <c r="D436" s="98"/>
      <c r="E436" s="4" t="s">
        <v>129</v>
      </c>
      <c r="F436" s="4">
        <v>1</v>
      </c>
      <c r="I436" s="1"/>
      <c r="L436" s="78"/>
    </row>
    <row r="437" spans="1:66">
      <c r="A437" s="56"/>
      <c r="B437" s="22" t="s">
        <v>42</v>
      </c>
      <c r="C437" s="86" t="s">
        <v>81</v>
      </c>
      <c r="D437" s="86"/>
      <c r="E437" s="41"/>
      <c r="F437" s="41"/>
      <c r="I437" s="1"/>
      <c r="L437" s="78"/>
    </row>
    <row r="438" spans="1:66">
      <c r="A438" s="56"/>
      <c r="B438" s="29" t="s">
        <v>44</v>
      </c>
      <c r="C438" s="99" t="s">
        <v>106</v>
      </c>
      <c r="D438" s="99"/>
      <c r="E438" s="3" t="s">
        <v>17</v>
      </c>
      <c r="F438" s="4">
        <v>7</v>
      </c>
      <c r="I438" s="1"/>
      <c r="L438" s="78"/>
    </row>
    <row r="439" spans="1:66">
      <c r="A439" s="56"/>
      <c r="B439" s="29" t="s">
        <v>45</v>
      </c>
      <c r="C439" s="99" t="s">
        <v>107</v>
      </c>
      <c r="D439" s="99"/>
      <c r="E439" s="3" t="s">
        <v>17</v>
      </c>
      <c r="F439" s="4">
        <v>1</v>
      </c>
      <c r="I439" s="1"/>
      <c r="L439" s="78"/>
    </row>
    <row r="440" spans="1:66" ht="15" customHeight="1">
      <c r="A440" s="56"/>
      <c r="B440" s="29" t="s">
        <v>46</v>
      </c>
      <c r="C440" s="98" t="s">
        <v>108</v>
      </c>
      <c r="D440" s="98"/>
      <c r="E440" s="11" t="s">
        <v>17</v>
      </c>
      <c r="F440" s="4">
        <v>1</v>
      </c>
      <c r="I440" s="1"/>
      <c r="L440" s="78"/>
    </row>
    <row r="441" spans="1:66" ht="45" customHeight="1">
      <c r="A441" s="56"/>
      <c r="B441" s="29" t="s">
        <v>118</v>
      </c>
      <c r="C441" s="98" t="s">
        <v>109</v>
      </c>
      <c r="D441" s="98"/>
      <c r="E441" s="11" t="s">
        <v>17</v>
      </c>
      <c r="F441" s="4">
        <v>1</v>
      </c>
      <c r="I441" s="1"/>
      <c r="L441" s="78"/>
    </row>
    <row r="442" spans="1:66" ht="192" customHeight="1">
      <c r="A442" s="56"/>
      <c r="B442" s="29" t="s">
        <v>119</v>
      </c>
      <c r="C442" s="98" t="s">
        <v>110</v>
      </c>
      <c r="D442" s="98"/>
      <c r="E442" s="11" t="s">
        <v>17</v>
      </c>
      <c r="F442" s="4">
        <v>1</v>
      </c>
      <c r="I442" s="1"/>
      <c r="L442" s="78"/>
    </row>
    <row r="443" spans="1:66" s="76" customFormat="1">
      <c r="A443" s="56"/>
      <c r="B443" s="29" t="s">
        <v>120</v>
      </c>
      <c r="C443" s="98" t="s">
        <v>827</v>
      </c>
      <c r="D443" s="98"/>
      <c r="E443" s="11" t="s">
        <v>17</v>
      </c>
      <c r="F443" s="4">
        <v>1</v>
      </c>
      <c r="G443" s="14"/>
      <c r="H443" s="14"/>
      <c r="I443" s="1"/>
      <c r="J443" s="14"/>
      <c r="K443" s="14"/>
      <c r="L443" s="78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</row>
    <row r="444" spans="1:66" ht="15" customHeight="1">
      <c r="A444" s="56"/>
      <c r="B444" s="29" t="s">
        <v>121</v>
      </c>
      <c r="C444" s="98" t="s">
        <v>111</v>
      </c>
      <c r="D444" s="98"/>
      <c r="E444" s="11" t="s">
        <v>17</v>
      </c>
      <c r="F444" s="4">
        <v>1</v>
      </c>
      <c r="I444" s="1"/>
      <c r="L444" s="78"/>
    </row>
    <row r="445" spans="1:66" ht="15" customHeight="1">
      <c r="A445" s="56"/>
      <c r="B445" s="29" t="s">
        <v>122</v>
      </c>
      <c r="C445" s="98" t="s">
        <v>112</v>
      </c>
      <c r="D445" s="98"/>
      <c r="E445" s="4" t="s">
        <v>79</v>
      </c>
      <c r="F445" s="4">
        <v>640</v>
      </c>
      <c r="I445" s="1"/>
      <c r="L445" s="78"/>
    </row>
    <row r="446" spans="1:66" ht="30.75" customHeight="1">
      <c r="A446" s="56"/>
      <c r="B446" s="29" t="s">
        <v>123</v>
      </c>
      <c r="C446" s="98" t="s">
        <v>828</v>
      </c>
      <c r="D446" s="98"/>
      <c r="E446" s="4" t="s">
        <v>79</v>
      </c>
      <c r="F446" s="4">
        <v>40</v>
      </c>
      <c r="I446" s="1"/>
      <c r="L446" s="78"/>
    </row>
    <row r="447" spans="1:66" ht="15" customHeight="1">
      <c r="A447" s="56"/>
      <c r="B447" s="29" t="s">
        <v>124</v>
      </c>
      <c r="C447" s="98" t="s">
        <v>113</v>
      </c>
      <c r="D447" s="98"/>
      <c r="E447" s="4" t="s">
        <v>79</v>
      </c>
      <c r="F447" s="4">
        <v>40</v>
      </c>
      <c r="I447" s="1"/>
      <c r="L447" s="78"/>
    </row>
    <row r="448" spans="1:66" ht="30" customHeight="1">
      <c r="A448" s="56"/>
      <c r="B448" s="29" t="s">
        <v>125</v>
      </c>
      <c r="C448" s="98" t="s">
        <v>114</v>
      </c>
      <c r="D448" s="98"/>
      <c r="E448" s="11" t="s">
        <v>17</v>
      </c>
      <c r="F448" s="4">
        <v>7</v>
      </c>
      <c r="I448" s="1"/>
      <c r="L448" s="78"/>
    </row>
    <row r="449" spans="1:12" ht="50.1" customHeight="1">
      <c r="A449" s="56"/>
      <c r="B449" s="29" t="s">
        <v>126</v>
      </c>
      <c r="C449" s="98" t="s">
        <v>115</v>
      </c>
      <c r="D449" s="98"/>
      <c r="E449" s="11" t="s">
        <v>17</v>
      </c>
      <c r="F449" s="4">
        <v>1</v>
      </c>
      <c r="I449" s="1"/>
      <c r="L449" s="78"/>
    </row>
    <row r="450" spans="1:12" ht="15" customHeight="1">
      <c r="A450" s="56"/>
      <c r="B450" s="29" t="s">
        <v>127</v>
      </c>
      <c r="C450" s="98" t="s">
        <v>116</v>
      </c>
      <c r="D450" s="98"/>
      <c r="E450" s="11" t="s">
        <v>17</v>
      </c>
      <c r="F450" s="4">
        <v>1</v>
      </c>
      <c r="I450" s="1"/>
      <c r="L450" s="78"/>
    </row>
    <row r="451" spans="1:12" ht="15" customHeight="1">
      <c r="A451" s="56"/>
      <c r="B451" s="29" t="s">
        <v>128</v>
      </c>
      <c r="C451" s="98" t="s">
        <v>117</v>
      </c>
      <c r="D451" s="98"/>
      <c r="E451" s="11" t="s">
        <v>17</v>
      </c>
      <c r="F451" s="4">
        <v>1</v>
      </c>
      <c r="I451" s="1"/>
      <c r="L451" s="78"/>
    </row>
    <row r="452" spans="1:12" ht="15" customHeight="1">
      <c r="A452" s="56"/>
      <c r="B452" s="22" t="s">
        <v>47</v>
      </c>
      <c r="C452" s="86" t="s">
        <v>80</v>
      </c>
      <c r="D452" s="86"/>
      <c r="E452" s="41"/>
      <c r="F452" s="41"/>
      <c r="I452" s="1"/>
      <c r="L452" s="78"/>
    </row>
    <row r="453" spans="1:12" ht="30" customHeight="1">
      <c r="A453" s="56"/>
      <c r="B453" s="29" t="s">
        <v>48</v>
      </c>
      <c r="C453" s="98" t="s">
        <v>130</v>
      </c>
      <c r="D453" s="98"/>
      <c r="E453" s="4" t="s">
        <v>17</v>
      </c>
      <c r="F453" s="4">
        <v>24</v>
      </c>
      <c r="I453" s="1"/>
      <c r="L453" s="78"/>
    </row>
    <row r="454" spans="1:12" ht="15" customHeight="1">
      <c r="A454" s="56"/>
      <c r="B454" s="29" t="s">
        <v>49</v>
      </c>
      <c r="C454" s="98" t="s">
        <v>131</v>
      </c>
      <c r="D454" s="98"/>
      <c r="E454" s="4" t="s">
        <v>17</v>
      </c>
      <c r="F454" s="4">
        <v>1</v>
      </c>
      <c r="I454" s="1"/>
      <c r="L454" s="78"/>
    </row>
    <row r="455" spans="1:12" ht="30" customHeight="1">
      <c r="A455" s="56"/>
      <c r="B455" s="29" t="s">
        <v>50</v>
      </c>
      <c r="C455" s="98" t="s">
        <v>132</v>
      </c>
      <c r="D455" s="98"/>
      <c r="E455" s="4" t="s">
        <v>79</v>
      </c>
      <c r="F455" s="4">
        <v>250</v>
      </c>
      <c r="I455" s="1"/>
      <c r="L455" s="78"/>
    </row>
    <row r="456" spans="1:12" ht="30" customHeight="1">
      <c r="A456" s="56"/>
      <c r="B456" s="29" t="s">
        <v>146</v>
      </c>
      <c r="C456" s="98" t="s">
        <v>133</v>
      </c>
      <c r="D456" s="98"/>
      <c r="E456" s="4" t="s">
        <v>129</v>
      </c>
      <c r="F456" s="4">
        <v>2</v>
      </c>
      <c r="I456" s="1"/>
      <c r="L456" s="78"/>
    </row>
    <row r="457" spans="1:12" ht="30" customHeight="1">
      <c r="A457" s="56"/>
      <c r="B457" s="29" t="s">
        <v>147</v>
      </c>
      <c r="C457" s="98" t="s">
        <v>134</v>
      </c>
      <c r="D457" s="98"/>
      <c r="E457" s="4" t="s">
        <v>79</v>
      </c>
      <c r="F457" s="4">
        <v>100</v>
      </c>
      <c r="I457" s="1"/>
      <c r="L457" s="78"/>
    </row>
    <row r="458" spans="1:12" ht="30" customHeight="1">
      <c r="A458" s="56"/>
      <c r="B458" s="29" t="s">
        <v>148</v>
      </c>
      <c r="C458" s="98" t="s">
        <v>135</v>
      </c>
      <c r="D458" s="98"/>
      <c r="E458" s="4" t="s">
        <v>79</v>
      </c>
      <c r="F458" s="4">
        <v>1</v>
      </c>
      <c r="I458" s="1"/>
      <c r="L458" s="78"/>
    </row>
    <row r="459" spans="1:12" ht="15" customHeight="1">
      <c r="A459" s="56"/>
      <c r="B459" s="29" t="s">
        <v>149</v>
      </c>
      <c r="C459" s="98" t="s">
        <v>136</v>
      </c>
      <c r="D459" s="98"/>
      <c r="E459" s="4" t="s">
        <v>17</v>
      </c>
      <c r="F459" s="4">
        <v>1</v>
      </c>
      <c r="I459" s="1"/>
      <c r="L459" s="78"/>
    </row>
    <row r="460" spans="1:12" ht="30" customHeight="1">
      <c r="A460" s="56"/>
      <c r="B460" s="29" t="s">
        <v>150</v>
      </c>
      <c r="C460" s="98" t="s">
        <v>137</v>
      </c>
      <c r="D460" s="98"/>
      <c r="E460" s="4" t="s">
        <v>79</v>
      </c>
      <c r="F460" s="4">
        <v>20</v>
      </c>
      <c r="I460" s="1"/>
      <c r="L460" s="78"/>
    </row>
    <row r="461" spans="1:12" ht="30" customHeight="1">
      <c r="A461" s="56"/>
      <c r="B461" s="29" t="s">
        <v>151</v>
      </c>
      <c r="C461" s="98" t="s">
        <v>138</v>
      </c>
      <c r="D461" s="98"/>
      <c r="E461" s="4" t="s">
        <v>17</v>
      </c>
      <c r="F461" s="4">
        <v>2</v>
      </c>
      <c r="I461" s="1"/>
      <c r="L461" s="78"/>
    </row>
    <row r="462" spans="1:12" ht="45" customHeight="1">
      <c r="A462" s="56"/>
      <c r="B462" s="29" t="s">
        <v>152</v>
      </c>
      <c r="C462" s="98" t="s">
        <v>139</v>
      </c>
      <c r="D462" s="98"/>
      <c r="E462" s="4" t="s">
        <v>17</v>
      </c>
      <c r="F462" s="4">
        <v>10</v>
      </c>
      <c r="I462" s="1"/>
      <c r="L462" s="78"/>
    </row>
    <row r="463" spans="1:12" ht="30" customHeight="1">
      <c r="A463" s="56"/>
      <c r="B463" s="29" t="s">
        <v>153</v>
      </c>
      <c r="C463" s="98" t="s">
        <v>140</v>
      </c>
      <c r="D463" s="98"/>
      <c r="E463" s="4" t="s">
        <v>17</v>
      </c>
      <c r="F463" s="4">
        <v>10</v>
      </c>
      <c r="I463" s="1"/>
      <c r="L463" s="78"/>
    </row>
    <row r="464" spans="1:12" ht="15" customHeight="1">
      <c r="A464" s="56"/>
      <c r="B464" s="29" t="s">
        <v>154</v>
      </c>
      <c r="C464" s="98" t="s">
        <v>141</v>
      </c>
      <c r="D464" s="98"/>
      <c r="E464" s="4" t="s">
        <v>79</v>
      </c>
      <c r="F464" s="4">
        <v>50</v>
      </c>
      <c r="I464" s="1"/>
      <c r="L464" s="78"/>
    </row>
    <row r="465" spans="1:6" ht="15" customHeight="1">
      <c r="A465" s="56"/>
      <c r="B465" s="77"/>
      <c r="C465" s="77"/>
      <c r="D465" s="77"/>
      <c r="E465" s="9"/>
      <c r="F465" s="79" t="s">
        <v>835</v>
      </c>
    </row>
    <row r="466" spans="1:6" ht="15" customHeight="1">
      <c r="A466" s="56"/>
      <c r="B466" s="77"/>
      <c r="C466" s="77"/>
      <c r="D466" s="77"/>
      <c r="E466" s="9"/>
      <c r="F466" s="80" t="s">
        <v>34</v>
      </c>
    </row>
    <row r="467" spans="1:6" ht="15" customHeight="1">
      <c r="A467" s="56"/>
      <c r="B467" s="77"/>
      <c r="C467" s="77"/>
      <c r="D467" s="77"/>
      <c r="E467" s="9"/>
      <c r="F467" s="81" t="s">
        <v>836</v>
      </c>
    </row>
  </sheetData>
  <mergeCells count="314">
    <mergeCell ref="C459:D459"/>
    <mergeCell ref="C460:D460"/>
    <mergeCell ref="C461:D461"/>
    <mergeCell ref="C462:D462"/>
    <mergeCell ref="C463:D463"/>
    <mergeCell ref="C464:D464"/>
    <mergeCell ref="C453:D453"/>
    <mergeCell ref="C454:D454"/>
    <mergeCell ref="C455:D455"/>
    <mergeCell ref="C456:D456"/>
    <mergeCell ref="C457:D457"/>
    <mergeCell ref="C458:D458"/>
    <mergeCell ref="C447:D447"/>
    <mergeCell ref="C448:D448"/>
    <mergeCell ref="C449:D449"/>
    <mergeCell ref="C450:D450"/>
    <mergeCell ref="C451:D451"/>
    <mergeCell ref="C452:D452"/>
    <mergeCell ref="C441:D441"/>
    <mergeCell ref="C442:D442"/>
    <mergeCell ref="C443:D443"/>
    <mergeCell ref="C444:D444"/>
    <mergeCell ref="C445:D445"/>
    <mergeCell ref="C446:D446"/>
    <mergeCell ref="C435:D435"/>
    <mergeCell ref="C436:D436"/>
    <mergeCell ref="C437:D437"/>
    <mergeCell ref="C438:D438"/>
    <mergeCell ref="C439:D439"/>
    <mergeCell ref="C440:D440"/>
    <mergeCell ref="C429:D429"/>
    <mergeCell ref="C430:D430"/>
    <mergeCell ref="C431:D431"/>
    <mergeCell ref="C432:D432"/>
    <mergeCell ref="C433:D433"/>
    <mergeCell ref="C434:D434"/>
    <mergeCell ref="C423:D423"/>
    <mergeCell ref="C424:D424"/>
    <mergeCell ref="C425:D425"/>
    <mergeCell ref="C426:D426"/>
    <mergeCell ref="C427:D427"/>
    <mergeCell ref="C428:D428"/>
    <mergeCell ref="C417:D417"/>
    <mergeCell ref="C418:D418"/>
    <mergeCell ref="C419:D419"/>
    <mergeCell ref="C420:D420"/>
    <mergeCell ref="C421:D421"/>
    <mergeCell ref="C422:D422"/>
    <mergeCell ref="C413:D413"/>
    <mergeCell ref="C414:D414"/>
    <mergeCell ref="C415:D415"/>
    <mergeCell ref="C408:D408"/>
    <mergeCell ref="C409:D409"/>
    <mergeCell ref="C410:D410"/>
    <mergeCell ref="C411:D411"/>
    <mergeCell ref="C412:D412"/>
    <mergeCell ref="C403:D403"/>
    <mergeCell ref="C404:D404"/>
    <mergeCell ref="C405:D405"/>
    <mergeCell ref="C406:D406"/>
    <mergeCell ref="C407:D407"/>
    <mergeCell ref="C397:D397"/>
    <mergeCell ref="C398:D398"/>
    <mergeCell ref="C399:D399"/>
    <mergeCell ref="C400:D400"/>
    <mergeCell ref="C401:D401"/>
    <mergeCell ref="C402:D402"/>
    <mergeCell ref="C391:D391"/>
    <mergeCell ref="C392:D392"/>
    <mergeCell ref="C393:D393"/>
    <mergeCell ref="C394:D394"/>
    <mergeCell ref="C395:D395"/>
    <mergeCell ref="C396:D396"/>
    <mergeCell ref="C385:D385"/>
    <mergeCell ref="C386:D386"/>
    <mergeCell ref="C387:D387"/>
    <mergeCell ref="C388:D388"/>
    <mergeCell ref="C389:D389"/>
    <mergeCell ref="C390:D390"/>
    <mergeCell ref="C379:D379"/>
    <mergeCell ref="C380:D380"/>
    <mergeCell ref="C381:D381"/>
    <mergeCell ref="C382:D382"/>
    <mergeCell ref="C383:D383"/>
    <mergeCell ref="C384:D384"/>
    <mergeCell ref="C376:D376"/>
    <mergeCell ref="C377:D377"/>
    <mergeCell ref="C378:D378"/>
    <mergeCell ref="C352:D352"/>
    <mergeCell ref="C356:D356"/>
    <mergeCell ref="C361:D361"/>
    <mergeCell ref="C366:D366"/>
    <mergeCell ref="C370:D370"/>
    <mergeCell ref="C326:D326"/>
    <mergeCell ref="C328:D328"/>
    <mergeCell ref="C334:D334"/>
    <mergeCell ref="C338:D338"/>
    <mergeCell ref="C344:D344"/>
    <mergeCell ref="C348:D348"/>
    <mergeCell ref="C311:D311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305:D305"/>
    <mergeCell ref="C294:D294"/>
    <mergeCell ref="C295:D295"/>
    <mergeCell ref="C296:D296"/>
    <mergeCell ref="C297:D297"/>
    <mergeCell ref="C298:D298"/>
    <mergeCell ref="C299:D299"/>
    <mergeCell ref="C288:D288"/>
    <mergeCell ref="C289:D289"/>
    <mergeCell ref="C290:D290"/>
    <mergeCell ref="C291:D291"/>
    <mergeCell ref="C292:D292"/>
    <mergeCell ref="C293:D293"/>
    <mergeCell ref="C282:D282"/>
    <mergeCell ref="C283:D283"/>
    <mergeCell ref="C284:D284"/>
    <mergeCell ref="C285:D285"/>
    <mergeCell ref="C286:D286"/>
    <mergeCell ref="C287:D287"/>
    <mergeCell ref="C276:D276"/>
    <mergeCell ref="C277:D277"/>
    <mergeCell ref="C278:D278"/>
    <mergeCell ref="C279:D279"/>
    <mergeCell ref="C280:D280"/>
    <mergeCell ref="C281:D281"/>
    <mergeCell ref="C270:D270"/>
    <mergeCell ref="C271:D271"/>
    <mergeCell ref="C272:D272"/>
    <mergeCell ref="C273:D273"/>
    <mergeCell ref="C274:D274"/>
    <mergeCell ref="C275:D275"/>
    <mergeCell ref="C264:D264"/>
    <mergeCell ref="C265:D265"/>
    <mergeCell ref="C266:D266"/>
    <mergeCell ref="C267:D267"/>
    <mergeCell ref="C268:D268"/>
    <mergeCell ref="C269:D269"/>
    <mergeCell ref="C258:D258"/>
    <mergeCell ref="C259:D259"/>
    <mergeCell ref="C260:D260"/>
    <mergeCell ref="C261:D261"/>
    <mergeCell ref="C262:D262"/>
    <mergeCell ref="C263:D263"/>
    <mergeCell ref="C252:D252"/>
    <mergeCell ref="C253:D253"/>
    <mergeCell ref="C254:D254"/>
    <mergeCell ref="C255:D255"/>
    <mergeCell ref="C256:D256"/>
    <mergeCell ref="C257:D257"/>
    <mergeCell ref="C246:D246"/>
    <mergeCell ref="C247:D247"/>
    <mergeCell ref="C248:D248"/>
    <mergeCell ref="C249:D249"/>
    <mergeCell ref="C250:D250"/>
    <mergeCell ref="C251:D251"/>
    <mergeCell ref="C240:D240"/>
    <mergeCell ref="C241:D241"/>
    <mergeCell ref="C242:D242"/>
    <mergeCell ref="C243:D243"/>
    <mergeCell ref="C244:D244"/>
    <mergeCell ref="C245:D245"/>
    <mergeCell ref="C234:D234"/>
    <mergeCell ref="C235:D235"/>
    <mergeCell ref="C236:D236"/>
    <mergeCell ref="C237:D237"/>
    <mergeCell ref="C238:D238"/>
    <mergeCell ref="C239:D239"/>
    <mergeCell ref="C229:D229"/>
    <mergeCell ref="C230:D230"/>
    <mergeCell ref="C231:D231"/>
    <mergeCell ref="C232:D232"/>
    <mergeCell ref="C233:D233"/>
    <mergeCell ref="C223:D223"/>
    <mergeCell ref="C224:D224"/>
    <mergeCell ref="C225:D225"/>
    <mergeCell ref="C226:D226"/>
    <mergeCell ref="C227:D227"/>
    <mergeCell ref="C228:D228"/>
    <mergeCell ref="C217:D217"/>
    <mergeCell ref="C218:D218"/>
    <mergeCell ref="C219:D219"/>
    <mergeCell ref="C220:D220"/>
    <mergeCell ref="C221:D221"/>
    <mergeCell ref="C222:D222"/>
    <mergeCell ref="C211:D211"/>
    <mergeCell ref="C212:D212"/>
    <mergeCell ref="C213:D213"/>
    <mergeCell ref="C214:D214"/>
    <mergeCell ref="C215:D215"/>
    <mergeCell ref="C216:D216"/>
    <mergeCell ref="C205:D205"/>
    <mergeCell ref="C206:D206"/>
    <mergeCell ref="C207:D207"/>
    <mergeCell ref="C208:D208"/>
    <mergeCell ref="C209:D209"/>
    <mergeCell ref="C210:D210"/>
    <mergeCell ref="C199:D199"/>
    <mergeCell ref="C200:D200"/>
    <mergeCell ref="C201:D201"/>
    <mergeCell ref="C202:D202"/>
    <mergeCell ref="C203:D203"/>
    <mergeCell ref="C204:D204"/>
    <mergeCell ref="C193:D193"/>
    <mergeCell ref="C194:D194"/>
    <mergeCell ref="C195:D195"/>
    <mergeCell ref="C196:D196"/>
    <mergeCell ref="C197:D197"/>
    <mergeCell ref="C198:D198"/>
    <mergeCell ref="C187:D187"/>
    <mergeCell ref="C188:D188"/>
    <mergeCell ref="C189:D189"/>
    <mergeCell ref="C190:D190"/>
    <mergeCell ref="C191:D191"/>
    <mergeCell ref="C192:D192"/>
    <mergeCell ref="C183:D183"/>
    <mergeCell ref="C184:D184"/>
    <mergeCell ref="C185:D185"/>
    <mergeCell ref="C186:D186"/>
    <mergeCell ref="C177:D177"/>
    <mergeCell ref="C178:D178"/>
    <mergeCell ref="C179:D179"/>
    <mergeCell ref="C180:D180"/>
    <mergeCell ref="C181:D181"/>
    <mergeCell ref="C182:D182"/>
    <mergeCell ref="C171:D171"/>
    <mergeCell ref="C172:D172"/>
    <mergeCell ref="C173:D173"/>
    <mergeCell ref="C174:D174"/>
    <mergeCell ref="C175:D175"/>
    <mergeCell ref="C176:D176"/>
    <mergeCell ref="C165:D165"/>
    <mergeCell ref="C166:D166"/>
    <mergeCell ref="C167:D167"/>
    <mergeCell ref="C168:D168"/>
    <mergeCell ref="C169:D169"/>
    <mergeCell ref="C170:D170"/>
    <mergeCell ref="C159:D159"/>
    <mergeCell ref="C160:D160"/>
    <mergeCell ref="C161:D161"/>
    <mergeCell ref="C162:D162"/>
    <mergeCell ref="C163:D163"/>
    <mergeCell ref="C164:D164"/>
    <mergeCell ref="C153:D153"/>
    <mergeCell ref="C154:D154"/>
    <mergeCell ref="C155:D155"/>
    <mergeCell ref="C156:D156"/>
    <mergeCell ref="C157:D157"/>
    <mergeCell ref="C158:D158"/>
    <mergeCell ref="C147:D147"/>
    <mergeCell ref="C148:D148"/>
    <mergeCell ref="C149:D149"/>
    <mergeCell ref="C150:D150"/>
    <mergeCell ref="C151:D151"/>
    <mergeCell ref="C152:D152"/>
    <mergeCell ref="C127:D127"/>
    <mergeCell ref="C128:D128"/>
    <mergeCell ref="C141:D141"/>
    <mergeCell ref="C142:D142"/>
    <mergeCell ref="C143:D143"/>
    <mergeCell ref="C144:D144"/>
    <mergeCell ref="C145:D145"/>
    <mergeCell ref="C146:D146"/>
    <mergeCell ref="C135:D135"/>
    <mergeCell ref="C136:D136"/>
    <mergeCell ref="C137:D137"/>
    <mergeCell ref="C138:D138"/>
    <mergeCell ref="C139:D139"/>
    <mergeCell ref="C140:D140"/>
    <mergeCell ref="C129:D129"/>
    <mergeCell ref="C130:D130"/>
    <mergeCell ref="C131:D131"/>
    <mergeCell ref="C132:D132"/>
    <mergeCell ref="C133:D133"/>
    <mergeCell ref="C134:D134"/>
    <mergeCell ref="B1:F1"/>
    <mergeCell ref="B2:F2"/>
    <mergeCell ref="B5:F5"/>
    <mergeCell ref="C114:D114"/>
    <mergeCell ref="C115:D115"/>
    <mergeCell ref="C116:D116"/>
    <mergeCell ref="C117:D117"/>
    <mergeCell ref="C118:D118"/>
    <mergeCell ref="C119:D119"/>
    <mergeCell ref="C108:D108"/>
    <mergeCell ref="C109:D109"/>
    <mergeCell ref="C110:D110"/>
    <mergeCell ref="C111:D111"/>
    <mergeCell ref="C112:D112"/>
    <mergeCell ref="C113:D113"/>
    <mergeCell ref="C120:D120"/>
    <mergeCell ref="C121:D121"/>
    <mergeCell ref="C122:D122"/>
    <mergeCell ref="C123:D123"/>
    <mergeCell ref="C124:D124"/>
    <mergeCell ref="C125:D125"/>
    <mergeCell ref="C126:D126"/>
    <mergeCell ref="A6:A119"/>
    <mergeCell ref="C7:D7"/>
    <mergeCell ref="C34:D34"/>
    <mergeCell ref="C43:D43"/>
    <mergeCell ref="C50:D50"/>
    <mergeCell ref="C104:D104"/>
    <mergeCell ref="C105:D105"/>
    <mergeCell ref="C106:D106"/>
    <mergeCell ref="C107:D107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83BD09951CF204BA1C799E3B5F8A840" ma:contentTypeVersion="12" ma:contentTypeDescription="Създаване на нов документ" ma:contentTypeScope="" ma:versionID="051df34e11d58c39cce210f64a888bca">
  <xsd:schema xmlns:xsd="http://www.w3.org/2001/XMLSchema" xmlns:xs="http://www.w3.org/2001/XMLSchema" xmlns:p="http://schemas.microsoft.com/office/2006/metadata/properties" xmlns:ns3="ac2c0107-2cb6-4a7c-be67-95dabb47b09f" targetNamespace="http://schemas.microsoft.com/office/2006/metadata/properties" ma:root="true" ma:fieldsID="685bb819aa6068d48b386c37f19daafe" ns3:_="">
    <xsd:import namespace="ac2c0107-2cb6-4a7c-be67-95dabb47b0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c0107-2cb6-4a7c-be67-95dabb47b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2c0107-2cb6-4a7c-be67-95dabb47b09f" xsi:nil="true"/>
  </documentManagement>
</p:properties>
</file>

<file path=customXml/itemProps1.xml><?xml version="1.0" encoding="utf-8"?>
<ds:datastoreItem xmlns:ds="http://schemas.openxmlformats.org/officeDocument/2006/customXml" ds:itemID="{BCFFF476-3ECD-4F8C-80A4-ECD131BE90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2c0107-2cb6-4a7c-be67-95dabb47b0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1603AC-924E-4B80-8ABC-A2EC7749B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866784-2491-4CC3-B70E-ACA51BE8D907}">
  <ds:schemaRefs>
    <ds:schemaRef ds:uri="http://www.w3.org/XML/1998/namespace"/>
    <ds:schemaRef ds:uri="ac2c0107-2cb6-4a7c-be67-95dabb47b09f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КСС</vt:lpstr>
      <vt:lpstr>КСС!Print_Titles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Мирела</dc:creator>
  <cp:lastModifiedBy>Ognyan Chakarov</cp:lastModifiedBy>
  <cp:lastPrinted>2023-04-20T14:38:44Z</cp:lastPrinted>
  <dcterms:created xsi:type="dcterms:W3CDTF">2021-02-25T10:10:45Z</dcterms:created>
  <dcterms:modified xsi:type="dcterms:W3CDTF">2026-10-08T16:56:21Z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0x010100F83BD09951CF204BA1C799E3B5F8A840</vt:lpwstr>
  </property>
</Properties>
</file>